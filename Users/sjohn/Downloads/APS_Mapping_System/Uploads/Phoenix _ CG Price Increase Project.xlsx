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onnie O'Neal\Desktop\"/>
    </mc:Choice>
  </mc:AlternateContent>
  <xr:revisionPtr revIDLastSave="0" documentId="13_ncr:1_{8B52D370-472D-4238-8A12-FBD55B1F28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hoenix &amp; CG Account List with " sheetId="1" r:id="rId1"/>
    <sheet name="Sheet1" sheetId="2" r:id="rId2"/>
  </sheets>
  <definedNames>
    <definedName name="_xlnm._FilterDatabase" localSheetId="0" hidden="1">'Phoenix &amp; CG Account List with '!$A$1:$U$1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3Fo4n9U3jk52+yCwBImWsVd/Mxulyo0MRUJLpjlhxiE="/>
    </ext>
  </extLst>
</workbook>
</file>

<file path=xl/calcChain.xml><?xml version="1.0" encoding="utf-8"?>
<calcChain xmlns="http://schemas.openxmlformats.org/spreadsheetml/2006/main">
  <c r="T1663" i="1" l="1"/>
  <c r="T1662" i="1"/>
  <c r="T1664" i="1"/>
  <c r="T1659" i="1"/>
  <c r="T1656" i="1"/>
  <c r="L1654" i="1"/>
  <c r="M1654" i="1"/>
  <c r="T1658" i="1" s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821" i="1"/>
  <c r="U822" i="1"/>
  <c r="T1423" i="1"/>
  <c r="U1423" i="1" s="1"/>
  <c r="T1424" i="1"/>
  <c r="U1424" i="1" s="1"/>
  <c r="T1425" i="1"/>
  <c r="U1425" i="1" s="1"/>
  <c r="T1426" i="1"/>
  <c r="U1426" i="1" s="1"/>
  <c r="T1427" i="1"/>
  <c r="U1427" i="1" s="1"/>
  <c r="T1428" i="1"/>
  <c r="U1428" i="1" s="1"/>
  <c r="T1429" i="1"/>
  <c r="U1429" i="1" s="1"/>
  <c r="T1430" i="1"/>
  <c r="U1430" i="1" s="1"/>
  <c r="T1431" i="1"/>
  <c r="U1431" i="1" s="1"/>
  <c r="T1432" i="1"/>
  <c r="U1432" i="1" s="1"/>
  <c r="T1433" i="1"/>
  <c r="U1433" i="1" s="1"/>
  <c r="T1434" i="1"/>
  <c r="U1434" i="1" s="1"/>
  <c r="T1435" i="1"/>
  <c r="U1435" i="1" s="1"/>
  <c r="T1436" i="1"/>
  <c r="U1436" i="1" s="1"/>
  <c r="T1437" i="1"/>
  <c r="U1437" i="1" s="1"/>
  <c r="T1438" i="1"/>
  <c r="U1438" i="1" s="1"/>
  <c r="T1439" i="1"/>
  <c r="U1439" i="1" s="1"/>
  <c r="T1440" i="1"/>
  <c r="U1440" i="1" s="1"/>
  <c r="T1441" i="1"/>
  <c r="U1441" i="1" s="1"/>
  <c r="T1442" i="1"/>
  <c r="U1442" i="1" s="1"/>
  <c r="T1443" i="1"/>
  <c r="U1443" i="1" s="1"/>
  <c r="T1444" i="1"/>
  <c r="U1444" i="1" s="1"/>
  <c r="T1445" i="1"/>
  <c r="U1445" i="1" s="1"/>
  <c r="T1446" i="1"/>
  <c r="U1446" i="1" s="1"/>
  <c r="T1447" i="1"/>
  <c r="U1447" i="1" s="1"/>
  <c r="T1448" i="1"/>
  <c r="U1448" i="1" s="1"/>
  <c r="T1449" i="1"/>
  <c r="U1449" i="1" s="1"/>
  <c r="T1450" i="1"/>
  <c r="U1450" i="1" s="1"/>
  <c r="T1451" i="1"/>
  <c r="U1451" i="1" s="1"/>
  <c r="T1452" i="1"/>
  <c r="U1452" i="1" s="1"/>
  <c r="T1453" i="1"/>
  <c r="U1453" i="1" s="1"/>
  <c r="T1454" i="1"/>
  <c r="U1454" i="1" s="1"/>
  <c r="T1455" i="1"/>
  <c r="U1455" i="1" s="1"/>
  <c r="T1456" i="1"/>
  <c r="U1456" i="1" s="1"/>
  <c r="T1457" i="1"/>
  <c r="U1457" i="1" s="1"/>
  <c r="T1458" i="1"/>
  <c r="U1458" i="1" s="1"/>
  <c r="T1459" i="1"/>
  <c r="U1459" i="1" s="1"/>
  <c r="T1460" i="1"/>
  <c r="U1460" i="1" s="1"/>
  <c r="T1461" i="1"/>
  <c r="U1461" i="1" s="1"/>
  <c r="T1462" i="1"/>
  <c r="U1462" i="1" s="1"/>
  <c r="T1463" i="1"/>
  <c r="U1463" i="1" s="1"/>
  <c r="T1464" i="1"/>
  <c r="U1464" i="1" s="1"/>
  <c r="T1465" i="1"/>
  <c r="U1465" i="1" s="1"/>
  <c r="T1466" i="1"/>
  <c r="U1466" i="1" s="1"/>
  <c r="T1467" i="1"/>
  <c r="U1467" i="1" s="1"/>
  <c r="T1468" i="1"/>
  <c r="U1468" i="1" s="1"/>
  <c r="T1469" i="1"/>
  <c r="U1469" i="1" s="1"/>
  <c r="T1470" i="1"/>
  <c r="U1470" i="1" s="1"/>
  <c r="T1471" i="1"/>
  <c r="U1471" i="1" s="1"/>
  <c r="T1472" i="1"/>
  <c r="U1472" i="1" s="1"/>
  <c r="T1473" i="1"/>
  <c r="U1473" i="1" s="1"/>
  <c r="T1474" i="1"/>
  <c r="U1474" i="1" s="1"/>
  <c r="T1475" i="1"/>
  <c r="U1475" i="1" s="1"/>
  <c r="T1476" i="1"/>
  <c r="U1476" i="1" s="1"/>
  <c r="T1477" i="1"/>
  <c r="U1477" i="1" s="1"/>
  <c r="T1478" i="1"/>
  <c r="U1478" i="1" s="1"/>
  <c r="T1479" i="1"/>
  <c r="U1479" i="1" s="1"/>
  <c r="T1480" i="1"/>
  <c r="U1480" i="1" s="1"/>
  <c r="T1481" i="1"/>
  <c r="U1481" i="1" s="1"/>
  <c r="T1482" i="1"/>
  <c r="U1482" i="1" s="1"/>
  <c r="T1483" i="1"/>
  <c r="U1483" i="1" s="1"/>
  <c r="T1484" i="1"/>
  <c r="U1484" i="1" s="1"/>
  <c r="T1485" i="1"/>
  <c r="U1485" i="1" s="1"/>
  <c r="T1486" i="1"/>
  <c r="U1486" i="1" s="1"/>
  <c r="T1487" i="1"/>
  <c r="U1487" i="1" s="1"/>
  <c r="T1488" i="1"/>
  <c r="U1488" i="1" s="1"/>
  <c r="T1489" i="1"/>
  <c r="U1489" i="1" s="1"/>
  <c r="T1490" i="1"/>
  <c r="U1490" i="1" s="1"/>
  <c r="T1491" i="1"/>
  <c r="U1491" i="1" s="1"/>
  <c r="T1492" i="1"/>
  <c r="U1492" i="1" s="1"/>
  <c r="T1493" i="1"/>
  <c r="U1493" i="1" s="1"/>
  <c r="T1494" i="1"/>
  <c r="U1494" i="1" s="1"/>
  <c r="T1495" i="1"/>
  <c r="U1495" i="1" s="1"/>
  <c r="T1496" i="1"/>
  <c r="U1496" i="1" s="1"/>
  <c r="T1497" i="1"/>
  <c r="U1497" i="1" s="1"/>
  <c r="T1498" i="1"/>
  <c r="U1498" i="1" s="1"/>
  <c r="T1499" i="1"/>
  <c r="U1499" i="1" s="1"/>
  <c r="T1500" i="1"/>
  <c r="U1500" i="1" s="1"/>
  <c r="T1501" i="1"/>
  <c r="U1501" i="1" s="1"/>
  <c r="T1502" i="1"/>
  <c r="U1502" i="1" s="1"/>
  <c r="T1503" i="1"/>
  <c r="U1503" i="1" s="1"/>
  <c r="T1504" i="1"/>
  <c r="U1504" i="1" s="1"/>
  <c r="T1505" i="1"/>
  <c r="U1505" i="1" s="1"/>
  <c r="T1506" i="1"/>
  <c r="U1506" i="1" s="1"/>
  <c r="T1507" i="1"/>
  <c r="U1507" i="1" s="1"/>
  <c r="T1508" i="1"/>
  <c r="U1508" i="1" s="1"/>
  <c r="T1509" i="1"/>
  <c r="U1509" i="1" s="1"/>
  <c r="T1510" i="1"/>
  <c r="U1510" i="1" s="1"/>
  <c r="T1511" i="1"/>
  <c r="U1511" i="1" s="1"/>
  <c r="T1512" i="1"/>
  <c r="U1512" i="1" s="1"/>
  <c r="T1513" i="1"/>
  <c r="U1513" i="1" s="1"/>
  <c r="T1514" i="1"/>
  <c r="U1514" i="1" s="1"/>
  <c r="T1515" i="1"/>
  <c r="U1515" i="1" s="1"/>
  <c r="T1516" i="1"/>
  <c r="U1516" i="1" s="1"/>
  <c r="T1517" i="1"/>
  <c r="U1517" i="1" s="1"/>
  <c r="T1518" i="1"/>
  <c r="U1518" i="1" s="1"/>
  <c r="T1519" i="1"/>
  <c r="U1519" i="1" s="1"/>
  <c r="T1520" i="1"/>
  <c r="U1520" i="1" s="1"/>
  <c r="T1521" i="1"/>
  <c r="U1521" i="1" s="1"/>
  <c r="T1522" i="1"/>
  <c r="U1522" i="1" s="1"/>
  <c r="T1523" i="1"/>
  <c r="U1523" i="1" s="1"/>
  <c r="T1524" i="1"/>
  <c r="U1524" i="1" s="1"/>
  <c r="T1525" i="1"/>
  <c r="U1525" i="1" s="1"/>
  <c r="T1526" i="1"/>
  <c r="U1526" i="1" s="1"/>
  <c r="T1527" i="1"/>
  <c r="U1527" i="1" s="1"/>
  <c r="T1528" i="1"/>
  <c r="U1528" i="1" s="1"/>
  <c r="T1529" i="1"/>
  <c r="U1529" i="1" s="1"/>
  <c r="T1530" i="1"/>
  <c r="U1530" i="1" s="1"/>
  <c r="T1531" i="1"/>
  <c r="U1531" i="1" s="1"/>
  <c r="T1532" i="1"/>
  <c r="U1532" i="1" s="1"/>
  <c r="T1533" i="1"/>
  <c r="U1533" i="1" s="1"/>
  <c r="T1534" i="1"/>
  <c r="U1534" i="1" s="1"/>
  <c r="T1535" i="1"/>
  <c r="U1535" i="1" s="1"/>
  <c r="T1536" i="1"/>
  <c r="U1536" i="1" s="1"/>
  <c r="T1537" i="1"/>
  <c r="U1537" i="1" s="1"/>
  <c r="T1538" i="1"/>
  <c r="U1538" i="1" s="1"/>
  <c r="T1539" i="1"/>
  <c r="U1539" i="1" s="1"/>
  <c r="T1540" i="1"/>
  <c r="U1540" i="1" s="1"/>
  <c r="T1541" i="1"/>
  <c r="U1541" i="1" s="1"/>
  <c r="T1542" i="1"/>
  <c r="U1542" i="1" s="1"/>
  <c r="T1543" i="1"/>
  <c r="U1543" i="1" s="1"/>
  <c r="T1544" i="1"/>
  <c r="U1544" i="1" s="1"/>
  <c r="T1545" i="1"/>
  <c r="U1545" i="1" s="1"/>
  <c r="T1546" i="1"/>
  <c r="U1546" i="1" s="1"/>
  <c r="T1547" i="1"/>
  <c r="U1547" i="1" s="1"/>
  <c r="T1548" i="1"/>
  <c r="U1548" i="1" s="1"/>
  <c r="T1549" i="1"/>
  <c r="U1549" i="1" s="1"/>
  <c r="T1550" i="1"/>
  <c r="U1550" i="1" s="1"/>
  <c r="T1551" i="1"/>
  <c r="U1551" i="1" s="1"/>
  <c r="T1552" i="1"/>
  <c r="U1552" i="1" s="1"/>
  <c r="T1553" i="1"/>
  <c r="U1553" i="1" s="1"/>
  <c r="T1554" i="1"/>
  <c r="U1554" i="1" s="1"/>
  <c r="T1555" i="1"/>
  <c r="U1555" i="1" s="1"/>
  <c r="T1556" i="1"/>
  <c r="U1556" i="1" s="1"/>
  <c r="T1557" i="1"/>
  <c r="U1557" i="1" s="1"/>
  <c r="T1558" i="1"/>
  <c r="U1558" i="1" s="1"/>
  <c r="T1559" i="1"/>
  <c r="U1559" i="1" s="1"/>
  <c r="T1560" i="1"/>
  <c r="U1560" i="1" s="1"/>
  <c r="T1561" i="1"/>
  <c r="U1561" i="1" s="1"/>
  <c r="T1562" i="1"/>
  <c r="U1562" i="1" s="1"/>
  <c r="T1563" i="1"/>
  <c r="U1563" i="1" s="1"/>
  <c r="T1564" i="1"/>
  <c r="U1564" i="1" s="1"/>
  <c r="T1565" i="1"/>
  <c r="U1565" i="1" s="1"/>
  <c r="T1566" i="1"/>
  <c r="U1566" i="1" s="1"/>
  <c r="T1567" i="1"/>
  <c r="U1567" i="1" s="1"/>
  <c r="T1568" i="1"/>
  <c r="U1568" i="1" s="1"/>
  <c r="T1569" i="1"/>
  <c r="U1569" i="1" s="1"/>
  <c r="T1570" i="1"/>
  <c r="U1570" i="1" s="1"/>
  <c r="T1571" i="1"/>
  <c r="U1571" i="1" s="1"/>
  <c r="T1572" i="1"/>
  <c r="U1572" i="1" s="1"/>
  <c r="T1573" i="1"/>
  <c r="U1573" i="1" s="1"/>
  <c r="T1574" i="1"/>
  <c r="U1574" i="1" s="1"/>
  <c r="T1575" i="1"/>
  <c r="U1575" i="1" s="1"/>
  <c r="T1576" i="1"/>
  <c r="U1576" i="1" s="1"/>
  <c r="T1577" i="1"/>
  <c r="U1577" i="1" s="1"/>
  <c r="T1578" i="1"/>
  <c r="U1578" i="1" s="1"/>
  <c r="T1579" i="1"/>
  <c r="U1579" i="1" s="1"/>
  <c r="T1580" i="1"/>
  <c r="U1580" i="1" s="1"/>
  <c r="T1581" i="1"/>
  <c r="U1581" i="1" s="1"/>
  <c r="T1582" i="1"/>
  <c r="U1582" i="1" s="1"/>
  <c r="T1583" i="1"/>
  <c r="U1583" i="1" s="1"/>
  <c r="T1584" i="1"/>
  <c r="U1584" i="1" s="1"/>
  <c r="T1585" i="1"/>
  <c r="U1585" i="1" s="1"/>
  <c r="T1586" i="1"/>
  <c r="U1586" i="1" s="1"/>
  <c r="T1587" i="1"/>
  <c r="U1587" i="1" s="1"/>
  <c r="T1588" i="1"/>
  <c r="U1588" i="1" s="1"/>
  <c r="T1589" i="1"/>
  <c r="U1589" i="1" s="1"/>
  <c r="T1590" i="1"/>
  <c r="U1590" i="1" s="1"/>
  <c r="T1591" i="1"/>
  <c r="U1591" i="1" s="1"/>
  <c r="T1592" i="1"/>
  <c r="U1592" i="1" s="1"/>
  <c r="T1593" i="1"/>
  <c r="U1593" i="1" s="1"/>
  <c r="T1594" i="1"/>
  <c r="U1594" i="1" s="1"/>
  <c r="T1595" i="1"/>
  <c r="U1595" i="1" s="1"/>
  <c r="T1596" i="1"/>
  <c r="U1596" i="1" s="1"/>
  <c r="T1597" i="1"/>
  <c r="U1597" i="1" s="1"/>
  <c r="T1598" i="1"/>
  <c r="U1598" i="1" s="1"/>
  <c r="T1599" i="1"/>
  <c r="U1599" i="1" s="1"/>
  <c r="T1600" i="1"/>
  <c r="U1600" i="1" s="1"/>
  <c r="T1601" i="1"/>
  <c r="U1601" i="1" s="1"/>
  <c r="T1602" i="1"/>
  <c r="U1602" i="1" s="1"/>
  <c r="T1603" i="1"/>
  <c r="U1603" i="1" s="1"/>
  <c r="T1604" i="1"/>
  <c r="U1604" i="1" s="1"/>
  <c r="T1605" i="1"/>
  <c r="U1605" i="1" s="1"/>
  <c r="T1606" i="1"/>
  <c r="U1606" i="1" s="1"/>
  <c r="T1607" i="1"/>
  <c r="U1607" i="1" s="1"/>
  <c r="T1608" i="1"/>
  <c r="U1608" i="1" s="1"/>
  <c r="T1609" i="1"/>
  <c r="U1609" i="1" s="1"/>
  <c r="T1610" i="1"/>
  <c r="U1610" i="1" s="1"/>
  <c r="T1611" i="1"/>
  <c r="U1611" i="1" s="1"/>
  <c r="T1612" i="1"/>
  <c r="U1612" i="1" s="1"/>
  <c r="T1613" i="1"/>
  <c r="U1613" i="1" s="1"/>
  <c r="T1614" i="1"/>
  <c r="U1614" i="1" s="1"/>
  <c r="T1615" i="1"/>
  <c r="U1615" i="1" s="1"/>
  <c r="T1616" i="1"/>
  <c r="U1616" i="1" s="1"/>
  <c r="T1617" i="1"/>
  <c r="U1617" i="1" s="1"/>
  <c r="T1618" i="1"/>
  <c r="U1618" i="1" s="1"/>
  <c r="T1619" i="1"/>
  <c r="U1619" i="1" s="1"/>
  <c r="T1620" i="1"/>
  <c r="U1620" i="1" s="1"/>
  <c r="T1621" i="1"/>
  <c r="U1621" i="1" s="1"/>
  <c r="T1622" i="1"/>
  <c r="U1622" i="1" s="1"/>
  <c r="T1623" i="1"/>
  <c r="U1623" i="1" s="1"/>
  <c r="T1624" i="1"/>
  <c r="U1624" i="1" s="1"/>
  <c r="T1625" i="1"/>
  <c r="U1625" i="1" s="1"/>
  <c r="T1626" i="1"/>
  <c r="U1626" i="1" s="1"/>
  <c r="T1627" i="1"/>
  <c r="U1627" i="1" s="1"/>
  <c r="T1628" i="1"/>
  <c r="U1628" i="1" s="1"/>
  <c r="T1629" i="1"/>
  <c r="U1629" i="1" s="1"/>
  <c r="T1630" i="1"/>
  <c r="U1630" i="1" s="1"/>
  <c r="T1631" i="1"/>
  <c r="U1631" i="1" s="1"/>
  <c r="T1632" i="1"/>
  <c r="U1632" i="1" s="1"/>
  <c r="T1633" i="1"/>
  <c r="U1633" i="1" s="1"/>
  <c r="T1634" i="1"/>
  <c r="U1634" i="1" s="1"/>
  <c r="T1635" i="1"/>
  <c r="U1635" i="1" s="1"/>
  <c r="T1636" i="1"/>
  <c r="U1636" i="1" s="1"/>
  <c r="T1637" i="1"/>
  <c r="U1637" i="1" s="1"/>
  <c r="T1638" i="1"/>
  <c r="U1638" i="1" s="1"/>
  <c r="T1639" i="1"/>
  <c r="U1639" i="1" s="1"/>
  <c r="T1640" i="1"/>
  <c r="U1640" i="1" s="1"/>
  <c r="T1641" i="1"/>
  <c r="U1641" i="1" s="1"/>
  <c r="T1642" i="1"/>
  <c r="U1642" i="1" s="1"/>
  <c r="T1643" i="1"/>
  <c r="U1643" i="1" s="1"/>
  <c r="T1644" i="1"/>
  <c r="U1644" i="1" s="1"/>
  <c r="T1645" i="1"/>
  <c r="U1645" i="1" s="1"/>
  <c r="T1646" i="1"/>
  <c r="U1646" i="1" s="1"/>
  <c r="T1647" i="1"/>
  <c r="U1647" i="1" s="1"/>
  <c r="T1648" i="1"/>
  <c r="U1648" i="1" s="1"/>
  <c r="T1649" i="1"/>
  <c r="U1649" i="1" s="1"/>
  <c r="T1650" i="1"/>
  <c r="U1650" i="1" s="1"/>
  <c r="T1651" i="1"/>
  <c r="U1651" i="1" s="1"/>
  <c r="T1652" i="1"/>
  <c r="U1652" i="1" s="1"/>
  <c r="T1418" i="1"/>
  <c r="U1418" i="1" s="1"/>
  <c r="T1419" i="1"/>
  <c r="U1419" i="1" s="1"/>
  <c r="T1420" i="1"/>
  <c r="U1420" i="1" s="1"/>
  <c r="T1421" i="1"/>
  <c r="U1421" i="1" s="1"/>
  <c r="T1422" i="1"/>
  <c r="U1422" i="1" s="1"/>
  <c r="T1417" i="1"/>
  <c r="U1417" i="1" s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3" i="1"/>
  <c r="U2" i="1"/>
  <c r="N1652" i="1"/>
  <c r="O1652" i="1" s="1"/>
  <c r="P1652" i="1" s="1"/>
  <c r="Q1652" i="1" s="1"/>
  <c r="R1652" i="1" s="1"/>
  <c r="S1652" i="1" s="1"/>
  <c r="N1651" i="1"/>
  <c r="O1651" i="1" s="1"/>
  <c r="N1650" i="1"/>
  <c r="O1650" i="1" s="1"/>
  <c r="N1649" i="1"/>
  <c r="O1649" i="1" s="1"/>
  <c r="N1648" i="1"/>
  <c r="O1648" i="1" s="1"/>
  <c r="P1648" i="1" s="1"/>
  <c r="Q1648" i="1" s="1"/>
  <c r="R1648" i="1" s="1"/>
  <c r="S1648" i="1" s="1"/>
  <c r="N1647" i="1"/>
  <c r="O1647" i="1" s="1"/>
  <c r="P1647" i="1" s="1"/>
  <c r="Q1647" i="1" s="1"/>
  <c r="N1646" i="1"/>
  <c r="O1646" i="1" s="1"/>
  <c r="P1646" i="1" s="1"/>
  <c r="Q1646" i="1" s="1"/>
  <c r="N1633" i="1"/>
  <c r="O1633" i="1" s="1"/>
  <c r="N1645" i="1"/>
  <c r="O1645" i="1" s="1"/>
  <c r="P1645" i="1" s="1"/>
  <c r="Q1645" i="1" s="1"/>
  <c r="R1645" i="1" s="1"/>
  <c r="S1645" i="1" s="1"/>
  <c r="N1644" i="1"/>
  <c r="O1644" i="1" s="1"/>
  <c r="P1644" i="1" s="1"/>
  <c r="Q1644" i="1" s="1"/>
  <c r="R1644" i="1" s="1"/>
  <c r="S1644" i="1" s="1"/>
  <c r="N1643" i="1"/>
  <c r="O1643" i="1" s="1"/>
  <c r="P1643" i="1" s="1"/>
  <c r="Q1643" i="1" s="1"/>
  <c r="R1643" i="1" s="1"/>
  <c r="S1643" i="1" s="1"/>
  <c r="N1642" i="1"/>
  <c r="O1642" i="1" s="1"/>
  <c r="N1641" i="1"/>
  <c r="O1641" i="1" s="1"/>
  <c r="N1640" i="1"/>
  <c r="O1640" i="1" s="1"/>
  <c r="P1640" i="1" s="1"/>
  <c r="Q1640" i="1" s="1"/>
  <c r="R1640" i="1" s="1"/>
  <c r="S1640" i="1" s="1"/>
  <c r="N1639" i="1"/>
  <c r="O1639" i="1" s="1"/>
  <c r="P1639" i="1" s="1"/>
  <c r="Q1639" i="1" s="1"/>
  <c r="R1639" i="1" s="1"/>
  <c r="S1639" i="1" s="1"/>
  <c r="N1638" i="1"/>
  <c r="O1638" i="1" s="1"/>
  <c r="N1637" i="1"/>
  <c r="O1637" i="1" s="1"/>
  <c r="P1637" i="1" s="1"/>
  <c r="Q1637" i="1" s="1"/>
  <c r="R1637" i="1" s="1"/>
  <c r="S1637" i="1" s="1"/>
  <c r="N1636" i="1"/>
  <c r="O1636" i="1" s="1"/>
  <c r="N1635" i="1"/>
  <c r="O1635" i="1" s="1"/>
  <c r="N1634" i="1"/>
  <c r="O1634" i="1" s="1"/>
  <c r="N1632" i="1"/>
  <c r="O1632" i="1" s="1"/>
  <c r="P1632" i="1" s="1"/>
  <c r="Q1632" i="1" s="1"/>
  <c r="N1630" i="1"/>
  <c r="O1630" i="1" s="1"/>
  <c r="N1631" i="1"/>
  <c r="O1631" i="1" s="1"/>
  <c r="P1631" i="1" s="1"/>
  <c r="Q1631" i="1" s="1"/>
  <c r="R1631" i="1" s="1"/>
  <c r="S1631" i="1" s="1"/>
  <c r="N1628" i="1"/>
  <c r="O1628" i="1" s="1"/>
  <c r="N1627" i="1"/>
  <c r="O1627" i="1" s="1"/>
  <c r="N1629" i="1"/>
  <c r="O1629" i="1" s="1"/>
  <c r="N1625" i="1"/>
  <c r="O1625" i="1" s="1"/>
  <c r="N1624" i="1"/>
  <c r="O1624" i="1" s="1"/>
  <c r="N1623" i="1"/>
  <c r="O1623" i="1" s="1"/>
  <c r="N1622" i="1"/>
  <c r="O1622" i="1" s="1"/>
  <c r="N1626" i="1"/>
  <c r="O1626" i="1" s="1"/>
  <c r="N1621" i="1"/>
  <c r="O1621" i="1" s="1"/>
  <c r="N1620" i="1"/>
  <c r="O1620" i="1" s="1"/>
  <c r="N1619" i="1"/>
  <c r="O1619" i="1" s="1"/>
  <c r="N1617" i="1"/>
  <c r="O1617" i="1" s="1"/>
  <c r="N1616" i="1"/>
  <c r="O1616" i="1" s="1"/>
  <c r="N1615" i="1"/>
  <c r="O1615" i="1" s="1"/>
  <c r="P1615" i="1" s="1"/>
  <c r="Q1615" i="1" s="1"/>
  <c r="N1614" i="1"/>
  <c r="O1614" i="1" s="1"/>
  <c r="P1614" i="1" s="1"/>
  <c r="Q1614" i="1" s="1"/>
  <c r="N1613" i="1"/>
  <c r="O1613" i="1" s="1"/>
  <c r="N1612" i="1"/>
  <c r="O1612" i="1" s="1"/>
  <c r="P1612" i="1" s="1"/>
  <c r="Q1612" i="1" s="1"/>
  <c r="N1611" i="1"/>
  <c r="O1611" i="1" s="1"/>
  <c r="N1610" i="1"/>
  <c r="O1610" i="1" s="1"/>
  <c r="N1609" i="1"/>
  <c r="O1609" i="1" s="1"/>
  <c r="P1609" i="1" s="1"/>
  <c r="Q1609" i="1" s="1"/>
  <c r="N1608" i="1"/>
  <c r="O1608" i="1" s="1"/>
  <c r="P1608" i="1" s="1"/>
  <c r="Q1608" i="1" s="1"/>
  <c r="R1608" i="1" s="1"/>
  <c r="S1608" i="1" s="1"/>
  <c r="N1607" i="1"/>
  <c r="O1607" i="1" s="1"/>
  <c r="P1607" i="1" s="1"/>
  <c r="Q1607" i="1" s="1"/>
  <c r="N1606" i="1"/>
  <c r="O1606" i="1" s="1"/>
  <c r="N1605" i="1"/>
  <c r="O1605" i="1" s="1"/>
  <c r="N1604" i="1"/>
  <c r="O1604" i="1" s="1"/>
  <c r="N1603" i="1"/>
  <c r="O1603" i="1" s="1"/>
  <c r="P1603" i="1" s="1"/>
  <c r="Q1603" i="1" s="1"/>
  <c r="N1602" i="1"/>
  <c r="O1602" i="1" s="1"/>
  <c r="N1618" i="1"/>
  <c r="O1618" i="1" s="1"/>
  <c r="N1476" i="1"/>
  <c r="O1476" i="1" s="1"/>
  <c r="N1475" i="1"/>
  <c r="O1475" i="1" s="1"/>
  <c r="N1601" i="1"/>
  <c r="O1601" i="1" s="1"/>
  <c r="N1600" i="1"/>
  <c r="O1600" i="1" s="1"/>
  <c r="P1600" i="1" s="1"/>
  <c r="Q1600" i="1" s="1"/>
  <c r="N1599" i="1"/>
  <c r="O1599" i="1" s="1"/>
  <c r="N1598" i="1"/>
  <c r="O1598" i="1" s="1"/>
  <c r="N1597" i="1"/>
  <c r="O1597" i="1" s="1"/>
  <c r="N1596" i="1"/>
  <c r="O1596" i="1" s="1"/>
  <c r="N1595" i="1"/>
  <c r="O1595" i="1" s="1"/>
  <c r="N1594" i="1"/>
  <c r="O1594" i="1" s="1"/>
  <c r="N1593" i="1"/>
  <c r="O1593" i="1" s="1"/>
  <c r="P1593" i="1" s="1"/>
  <c r="Q1593" i="1" s="1"/>
  <c r="R1593" i="1" s="1"/>
  <c r="S1593" i="1" s="1"/>
  <c r="N1592" i="1"/>
  <c r="O1592" i="1" s="1"/>
  <c r="N1591" i="1"/>
  <c r="O1591" i="1" s="1"/>
  <c r="P1591" i="1" s="1"/>
  <c r="Q1591" i="1" s="1"/>
  <c r="R1591" i="1" s="1"/>
  <c r="S1591" i="1" s="1"/>
  <c r="N1590" i="1"/>
  <c r="O1590" i="1" s="1"/>
  <c r="N1589" i="1"/>
  <c r="O1589" i="1" s="1"/>
  <c r="N1588" i="1"/>
  <c r="O1588" i="1" s="1"/>
  <c r="N1587" i="1"/>
  <c r="O1587" i="1" s="1"/>
  <c r="N1586" i="1"/>
  <c r="O1586" i="1" s="1"/>
  <c r="N1585" i="1"/>
  <c r="O1585" i="1" s="1"/>
  <c r="N1584" i="1"/>
  <c r="O1584" i="1" s="1"/>
  <c r="P1584" i="1" s="1"/>
  <c r="Q1584" i="1" s="1"/>
  <c r="R1584" i="1" s="1"/>
  <c r="S1584" i="1" s="1"/>
  <c r="N1583" i="1"/>
  <c r="O1583" i="1" s="1"/>
  <c r="P1583" i="1" s="1"/>
  <c r="Q1583" i="1" s="1"/>
  <c r="N1582" i="1"/>
  <c r="O1582" i="1" s="1"/>
  <c r="N1581" i="1"/>
  <c r="O1581" i="1" s="1"/>
  <c r="P1581" i="1" s="1"/>
  <c r="Q1581" i="1" s="1"/>
  <c r="N1580" i="1"/>
  <c r="O1580" i="1" s="1"/>
  <c r="P1580" i="1" s="1"/>
  <c r="Q1580" i="1" s="1"/>
  <c r="R1580" i="1" s="1"/>
  <c r="S1580" i="1" s="1"/>
  <c r="N1579" i="1"/>
  <c r="O1579" i="1" s="1"/>
  <c r="N1578" i="1"/>
  <c r="O1578" i="1" s="1"/>
  <c r="P1578" i="1" s="1"/>
  <c r="Q1578" i="1" s="1"/>
  <c r="R1578" i="1" s="1"/>
  <c r="S1578" i="1" s="1"/>
  <c r="N1577" i="1"/>
  <c r="O1577" i="1" s="1"/>
  <c r="P1577" i="1" s="1"/>
  <c r="Q1577" i="1" s="1"/>
  <c r="N1576" i="1"/>
  <c r="O1576" i="1" s="1"/>
  <c r="N1575" i="1"/>
  <c r="O1575" i="1" s="1"/>
  <c r="P1575" i="1" s="1"/>
  <c r="Q1575" i="1" s="1"/>
  <c r="R1575" i="1" s="1"/>
  <c r="S1575" i="1" s="1"/>
  <c r="N1574" i="1"/>
  <c r="O1574" i="1" s="1"/>
  <c r="N1573" i="1"/>
  <c r="O1573" i="1" s="1"/>
  <c r="N1572" i="1"/>
  <c r="O1572" i="1" s="1"/>
  <c r="P1572" i="1" s="1"/>
  <c r="Q1572" i="1" s="1"/>
  <c r="R1572" i="1" s="1"/>
  <c r="S1572" i="1" s="1"/>
  <c r="N1571" i="1"/>
  <c r="O1571" i="1" s="1"/>
  <c r="P1571" i="1" s="1"/>
  <c r="Q1571" i="1" s="1"/>
  <c r="N1570" i="1"/>
  <c r="O1570" i="1" s="1"/>
  <c r="N1569" i="1"/>
  <c r="O1569" i="1" s="1"/>
  <c r="P1569" i="1" s="1"/>
  <c r="Q1569" i="1" s="1"/>
  <c r="N1568" i="1"/>
  <c r="O1568" i="1" s="1"/>
  <c r="P1568" i="1" s="1"/>
  <c r="Q1568" i="1" s="1"/>
  <c r="N1567" i="1"/>
  <c r="O1567" i="1" s="1"/>
  <c r="N1566" i="1"/>
  <c r="O1566" i="1" s="1"/>
  <c r="N1565" i="1"/>
  <c r="O1565" i="1" s="1"/>
  <c r="P1565" i="1" s="1"/>
  <c r="Q1565" i="1" s="1"/>
  <c r="N1564" i="1"/>
  <c r="O1564" i="1" s="1"/>
  <c r="N1563" i="1"/>
  <c r="O1563" i="1" s="1"/>
  <c r="N1562" i="1"/>
  <c r="O1562" i="1" s="1"/>
  <c r="N1561" i="1"/>
  <c r="O1561" i="1" s="1"/>
  <c r="N1560" i="1"/>
  <c r="O1560" i="1" s="1"/>
  <c r="P1560" i="1" s="1"/>
  <c r="Q1560" i="1" s="1"/>
  <c r="R1560" i="1" s="1"/>
  <c r="S1560" i="1" s="1"/>
  <c r="N1559" i="1"/>
  <c r="O1559" i="1" s="1"/>
  <c r="N1558" i="1"/>
  <c r="O1558" i="1" s="1"/>
  <c r="N1557" i="1"/>
  <c r="O1557" i="1" s="1"/>
  <c r="N1556" i="1"/>
  <c r="O1556" i="1" s="1"/>
  <c r="P1556" i="1" s="1"/>
  <c r="Q1556" i="1" s="1"/>
  <c r="R1556" i="1" s="1"/>
  <c r="S1556" i="1" s="1"/>
  <c r="N1555" i="1"/>
  <c r="O1555" i="1" s="1"/>
  <c r="P1555" i="1" s="1"/>
  <c r="Q1555" i="1" s="1"/>
  <c r="N1554" i="1"/>
  <c r="O1554" i="1" s="1"/>
  <c r="N1553" i="1"/>
  <c r="O1553" i="1" s="1"/>
  <c r="N1552" i="1"/>
  <c r="O1552" i="1" s="1"/>
  <c r="P1552" i="1" s="1"/>
  <c r="Q1552" i="1" s="1"/>
  <c r="N1551" i="1"/>
  <c r="O1551" i="1" s="1"/>
  <c r="N1550" i="1"/>
  <c r="O1550" i="1" s="1"/>
  <c r="N1549" i="1"/>
  <c r="O1549" i="1" s="1"/>
  <c r="P1549" i="1" s="1"/>
  <c r="Q1549" i="1" s="1"/>
  <c r="R1549" i="1" s="1"/>
  <c r="S1549" i="1" s="1"/>
  <c r="N1548" i="1"/>
  <c r="O1548" i="1" s="1"/>
  <c r="P1548" i="1" s="1"/>
  <c r="Q1548" i="1" s="1"/>
  <c r="R1548" i="1" s="1"/>
  <c r="S1548" i="1" s="1"/>
  <c r="N1547" i="1"/>
  <c r="O1547" i="1" s="1"/>
  <c r="P1547" i="1" s="1"/>
  <c r="Q1547" i="1" s="1"/>
  <c r="N1546" i="1"/>
  <c r="O1546" i="1" s="1"/>
  <c r="N1545" i="1"/>
  <c r="O1545" i="1" s="1"/>
  <c r="P1545" i="1" s="1"/>
  <c r="Q1545" i="1" s="1"/>
  <c r="R1545" i="1" s="1"/>
  <c r="S1545" i="1" s="1"/>
  <c r="N1544" i="1"/>
  <c r="O1544" i="1" s="1"/>
  <c r="P1544" i="1" s="1"/>
  <c r="Q1544" i="1" s="1"/>
  <c r="N1543" i="1"/>
  <c r="O1543" i="1" s="1"/>
  <c r="P1543" i="1" s="1"/>
  <c r="Q1543" i="1" s="1"/>
  <c r="R1543" i="1" s="1"/>
  <c r="S1543" i="1" s="1"/>
  <c r="N1542" i="1"/>
  <c r="O1542" i="1" s="1"/>
  <c r="N1541" i="1"/>
  <c r="O1541" i="1" s="1"/>
  <c r="P1541" i="1" s="1"/>
  <c r="Q1541" i="1" s="1"/>
  <c r="R1541" i="1" s="1"/>
  <c r="S1541" i="1" s="1"/>
  <c r="N1540" i="1"/>
  <c r="O1540" i="1" s="1"/>
  <c r="N1539" i="1"/>
  <c r="O1539" i="1" s="1"/>
  <c r="N1538" i="1"/>
  <c r="O1538" i="1" s="1"/>
  <c r="N1537" i="1"/>
  <c r="O1537" i="1" s="1"/>
  <c r="P1537" i="1" s="1"/>
  <c r="Q1537" i="1" s="1"/>
  <c r="R1537" i="1" s="1"/>
  <c r="S1537" i="1" s="1"/>
  <c r="N1536" i="1"/>
  <c r="O1536" i="1" s="1"/>
  <c r="N1535" i="1"/>
  <c r="O1535" i="1" s="1"/>
  <c r="P1535" i="1" s="1"/>
  <c r="Q1535" i="1" s="1"/>
  <c r="R1535" i="1" s="1"/>
  <c r="S1535" i="1" s="1"/>
  <c r="N1534" i="1"/>
  <c r="O1534" i="1" s="1"/>
  <c r="P1534" i="1" s="1"/>
  <c r="Q1534" i="1" s="1"/>
  <c r="N1533" i="1"/>
  <c r="O1533" i="1" s="1"/>
  <c r="P1533" i="1" s="1"/>
  <c r="Q1533" i="1" s="1"/>
  <c r="N1532" i="1"/>
  <c r="O1532" i="1" s="1"/>
  <c r="N1531" i="1"/>
  <c r="O1531" i="1" s="1"/>
  <c r="N1530" i="1"/>
  <c r="O1530" i="1" s="1"/>
  <c r="P1530" i="1" s="1"/>
  <c r="Q1530" i="1" s="1"/>
  <c r="N1529" i="1"/>
  <c r="O1529" i="1" s="1"/>
  <c r="N1528" i="1"/>
  <c r="O1528" i="1" s="1"/>
  <c r="N1527" i="1"/>
  <c r="O1527" i="1" s="1"/>
  <c r="N1526" i="1"/>
  <c r="O1526" i="1" s="1"/>
  <c r="N1525" i="1"/>
  <c r="O1525" i="1" s="1"/>
  <c r="N1524" i="1"/>
  <c r="O1524" i="1" s="1"/>
  <c r="N1523" i="1"/>
  <c r="O1523" i="1" s="1"/>
  <c r="N1522" i="1"/>
  <c r="O1522" i="1" s="1"/>
  <c r="N1521" i="1"/>
  <c r="O1521" i="1" s="1"/>
  <c r="P1521" i="1" s="1"/>
  <c r="Q1521" i="1" s="1"/>
  <c r="N1520" i="1"/>
  <c r="O1520" i="1" s="1"/>
  <c r="N1519" i="1"/>
  <c r="O1519" i="1" s="1"/>
  <c r="N1518" i="1"/>
  <c r="O1518" i="1" s="1"/>
  <c r="N1517" i="1"/>
  <c r="O1517" i="1" s="1"/>
  <c r="P1517" i="1" s="1"/>
  <c r="Q1517" i="1" s="1"/>
  <c r="R1517" i="1" s="1"/>
  <c r="S1517" i="1" s="1"/>
  <c r="N1516" i="1"/>
  <c r="O1516" i="1" s="1"/>
  <c r="P1516" i="1" s="1"/>
  <c r="Q1516" i="1" s="1"/>
  <c r="R1516" i="1" s="1"/>
  <c r="S1516" i="1" s="1"/>
  <c r="N1515" i="1"/>
  <c r="O1515" i="1" s="1"/>
  <c r="P1515" i="1" s="1"/>
  <c r="Q1515" i="1" s="1"/>
  <c r="N1514" i="1"/>
  <c r="O1514" i="1" s="1"/>
  <c r="N1513" i="1"/>
  <c r="O1513" i="1" s="1"/>
  <c r="P1513" i="1" s="1"/>
  <c r="Q1513" i="1" s="1"/>
  <c r="N1512" i="1"/>
  <c r="O1512" i="1" s="1"/>
  <c r="P1512" i="1" s="1"/>
  <c r="Q1512" i="1" s="1"/>
  <c r="R1512" i="1" s="1"/>
  <c r="S1512" i="1" s="1"/>
  <c r="N1511" i="1"/>
  <c r="O1511" i="1" s="1"/>
  <c r="N1510" i="1"/>
  <c r="O1510" i="1" s="1"/>
  <c r="N1509" i="1"/>
  <c r="O1509" i="1" s="1"/>
  <c r="P1509" i="1" s="1"/>
  <c r="Q1509" i="1" s="1"/>
  <c r="R1509" i="1" s="1"/>
  <c r="S1509" i="1" s="1"/>
  <c r="N1508" i="1"/>
  <c r="O1508" i="1" s="1"/>
  <c r="N1507" i="1"/>
  <c r="O1507" i="1" s="1"/>
  <c r="N1506" i="1"/>
  <c r="O1506" i="1" s="1"/>
  <c r="P1506" i="1" s="1"/>
  <c r="Q1506" i="1" s="1"/>
  <c r="R1506" i="1" s="1"/>
  <c r="S1506" i="1" s="1"/>
  <c r="N1505" i="1"/>
  <c r="O1505" i="1" s="1"/>
  <c r="P1505" i="1" s="1"/>
  <c r="Q1505" i="1" s="1"/>
  <c r="N1504" i="1"/>
  <c r="O1504" i="1" s="1"/>
  <c r="N1503" i="1"/>
  <c r="O1503" i="1" s="1"/>
  <c r="P1503" i="1" s="1"/>
  <c r="Q1503" i="1" s="1"/>
  <c r="R1503" i="1" s="1"/>
  <c r="S1503" i="1" s="1"/>
  <c r="N1502" i="1"/>
  <c r="O1502" i="1" s="1"/>
  <c r="N1501" i="1"/>
  <c r="O1501" i="1" s="1"/>
  <c r="P1501" i="1" s="1"/>
  <c r="Q1501" i="1" s="1"/>
  <c r="N1500" i="1"/>
  <c r="O1500" i="1" s="1"/>
  <c r="P1500" i="1" s="1"/>
  <c r="Q1500" i="1" s="1"/>
  <c r="R1500" i="1" s="1"/>
  <c r="S1500" i="1" s="1"/>
  <c r="N1499" i="1"/>
  <c r="O1499" i="1" s="1"/>
  <c r="N1498" i="1"/>
  <c r="O1498" i="1" s="1"/>
  <c r="P1498" i="1" s="1"/>
  <c r="Q1498" i="1" s="1"/>
  <c r="N1497" i="1"/>
  <c r="O1497" i="1" s="1"/>
  <c r="N1496" i="1"/>
  <c r="O1496" i="1" s="1"/>
  <c r="P1496" i="1" s="1"/>
  <c r="Q1496" i="1" s="1"/>
  <c r="N1495" i="1"/>
  <c r="O1495" i="1" s="1"/>
  <c r="P1495" i="1" s="1"/>
  <c r="Q1495" i="1" s="1"/>
  <c r="N1494" i="1"/>
  <c r="O1494" i="1" s="1"/>
  <c r="P1494" i="1" s="1"/>
  <c r="Q1494" i="1" s="1"/>
  <c r="N1493" i="1"/>
  <c r="O1493" i="1" s="1"/>
  <c r="P1493" i="1" s="1"/>
  <c r="Q1493" i="1" s="1"/>
  <c r="R1493" i="1" s="1"/>
  <c r="S1493" i="1" s="1"/>
  <c r="N1492" i="1"/>
  <c r="O1492" i="1" s="1"/>
  <c r="P1492" i="1" s="1"/>
  <c r="Q1492" i="1" s="1"/>
  <c r="R1492" i="1" s="1"/>
  <c r="S1492" i="1" s="1"/>
  <c r="N1491" i="1"/>
  <c r="O1491" i="1" s="1"/>
  <c r="N1490" i="1"/>
  <c r="O1490" i="1" s="1"/>
  <c r="P1490" i="1" s="1"/>
  <c r="Q1490" i="1" s="1"/>
  <c r="N1489" i="1"/>
  <c r="O1489" i="1" s="1"/>
  <c r="N1488" i="1"/>
  <c r="O1488" i="1" s="1"/>
  <c r="N1487" i="1"/>
  <c r="O1487" i="1" s="1"/>
  <c r="N1486" i="1"/>
  <c r="O1486" i="1" s="1"/>
  <c r="N1485" i="1"/>
  <c r="O1485" i="1" s="1"/>
  <c r="N1484" i="1"/>
  <c r="O1484" i="1" s="1"/>
  <c r="N1483" i="1"/>
  <c r="O1483" i="1" s="1"/>
  <c r="N1482" i="1"/>
  <c r="O1482" i="1" s="1"/>
  <c r="N1481" i="1"/>
  <c r="O1481" i="1" s="1"/>
  <c r="P1481" i="1" s="1"/>
  <c r="Q1481" i="1" s="1"/>
  <c r="N1480" i="1"/>
  <c r="O1480" i="1" s="1"/>
  <c r="N1479" i="1"/>
  <c r="O1479" i="1" s="1"/>
  <c r="N1478" i="1"/>
  <c r="O1478" i="1" s="1"/>
  <c r="N1477" i="1"/>
  <c r="O1477" i="1" s="1"/>
  <c r="P1477" i="1" s="1"/>
  <c r="Q1477" i="1" s="1"/>
  <c r="N1471" i="1"/>
  <c r="O1471" i="1" s="1"/>
  <c r="N1469" i="1"/>
  <c r="O1469" i="1" s="1"/>
  <c r="N1474" i="1"/>
  <c r="O1474" i="1" s="1"/>
  <c r="P1474" i="1" s="1"/>
  <c r="Q1474" i="1" s="1"/>
  <c r="N1473" i="1"/>
  <c r="O1473" i="1" s="1"/>
  <c r="N1462" i="1"/>
  <c r="O1462" i="1" s="1"/>
  <c r="N1461" i="1"/>
  <c r="O1461" i="1" s="1"/>
  <c r="P1461" i="1" s="1"/>
  <c r="Q1461" i="1" s="1"/>
  <c r="N1460" i="1"/>
  <c r="O1460" i="1" s="1"/>
  <c r="N1459" i="1"/>
  <c r="O1459" i="1" s="1"/>
  <c r="P1459" i="1" s="1"/>
  <c r="Q1459" i="1" s="1"/>
  <c r="N1458" i="1"/>
  <c r="O1458" i="1" s="1"/>
  <c r="N1457" i="1"/>
  <c r="O1457" i="1" s="1"/>
  <c r="N1456" i="1"/>
  <c r="O1456" i="1" s="1"/>
  <c r="N1455" i="1"/>
  <c r="O1455" i="1" s="1"/>
  <c r="N1454" i="1"/>
  <c r="O1454" i="1" s="1"/>
  <c r="N1453" i="1"/>
  <c r="O1453" i="1" s="1"/>
  <c r="P1453" i="1" s="1"/>
  <c r="Q1453" i="1" s="1"/>
  <c r="N1452" i="1"/>
  <c r="O1452" i="1" s="1"/>
  <c r="P1452" i="1" s="1"/>
  <c r="Q1452" i="1" s="1"/>
  <c r="R1452" i="1" s="1"/>
  <c r="S1452" i="1" s="1"/>
  <c r="N1472" i="1"/>
  <c r="O1472" i="1" s="1"/>
  <c r="N1468" i="1"/>
  <c r="O1468" i="1" s="1"/>
  <c r="N1416" i="1"/>
  <c r="O1416" i="1" s="1"/>
  <c r="P1416" i="1" s="1"/>
  <c r="Q1416" i="1" s="1"/>
  <c r="R1416" i="1" s="1"/>
  <c r="S1416" i="1" s="1"/>
  <c r="N1415" i="1"/>
  <c r="O1415" i="1" s="1"/>
  <c r="N1414" i="1"/>
  <c r="O1414" i="1" s="1"/>
  <c r="P1414" i="1" s="1"/>
  <c r="Q1414" i="1" s="1"/>
  <c r="N1463" i="1"/>
  <c r="O1463" i="1" s="1"/>
  <c r="N1467" i="1"/>
  <c r="O1467" i="1" s="1"/>
  <c r="N1466" i="1"/>
  <c r="O1466" i="1" s="1"/>
  <c r="P1466" i="1" s="1"/>
  <c r="Q1466" i="1" s="1"/>
  <c r="R1466" i="1" s="1"/>
  <c r="S1466" i="1" s="1"/>
  <c r="N1465" i="1"/>
  <c r="O1465" i="1" s="1"/>
  <c r="P1465" i="1" s="1"/>
  <c r="Q1465" i="1" s="1"/>
  <c r="R1465" i="1" s="1"/>
  <c r="S1465" i="1" s="1"/>
  <c r="N1464" i="1"/>
  <c r="O1464" i="1" s="1"/>
  <c r="P1464" i="1" s="1"/>
  <c r="Q1464" i="1" s="1"/>
  <c r="N1451" i="1"/>
  <c r="O1451" i="1" s="1"/>
  <c r="N1450" i="1"/>
  <c r="O1450" i="1" s="1"/>
  <c r="P1450" i="1" s="1"/>
  <c r="Q1450" i="1" s="1"/>
  <c r="N1449" i="1"/>
  <c r="O1449" i="1" s="1"/>
  <c r="P1449" i="1" s="1"/>
  <c r="Q1449" i="1" s="1"/>
  <c r="N1448" i="1"/>
  <c r="O1448" i="1" s="1"/>
  <c r="P1448" i="1" s="1"/>
  <c r="Q1448" i="1" s="1"/>
  <c r="N1447" i="1"/>
  <c r="O1447" i="1" s="1"/>
  <c r="N1446" i="1"/>
  <c r="O1446" i="1" s="1"/>
  <c r="N1445" i="1"/>
  <c r="O1445" i="1" s="1"/>
  <c r="P1445" i="1" s="1"/>
  <c r="Q1445" i="1" s="1"/>
  <c r="R1445" i="1" s="1"/>
  <c r="S1445" i="1" s="1"/>
  <c r="N1444" i="1"/>
  <c r="O1444" i="1" s="1"/>
  <c r="P1444" i="1" s="1"/>
  <c r="Q1444" i="1" s="1"/>
  <c r="N1443" i="1"/>
  <c r="O1443" i="1" s="1"/>
  <c r="N1442" i="1"/>
  <c r="O1442" i="1" s="1"/>
  <c r="P1442" i="1" s="1"/>
  <c r="Q1442" i="1" s="1"/>
  <c r="R1442" i="1" s="1"/>
  <c r="S1442" i="1" s="1"/>
  <c r="N1441" i="1"/>
  <c r="O1441" i="1" s="1"/>
  <c r="N1440" i="1"/>
  <c r="O1440" i="1" s="1"/>
  <c r="N1439" i="1"/>
  <c r="O1439" i="1" s="1"/>
  <c r="P1439" i="1" s="1"/>
  <c r="Q1439" i="1" s="1"/>
  <c r="R1439" i="1" s="1"/>
  <c r="S1439" i="1" s="1"/>
  <c r="N1438" i="1"/>
  <c r="O1438" i="1" s="1"/>
  <c r="N1437" i="1"/>
  <c r="O1437" i="1" s="1"/>
  <c r="P1437" i="1" s="1"/>
  <c r="Q1437" i="1" s="1"/>
  <c r="N1436" i="1"/>
  <c r="O1436" i="1" s="1"/>
  <c r="P1436" i="1" s="1"/>
  <c r="Q1436" i="1" s="1"/>
  <c r="R1436" i="1" s="1"/>
  <c r="S1436" i="1" s="1"/>
  <c r="N1435" i="1"/>
  <c r="O1435" i="1" s="1"/>
  <c r="N1434" i="1"/>
  <c r="O1434" i="1" s="1"/>
  <c r="P1434" i="1" s="1"/>
  <c r="Q1434" i="1" s="1"/>
  <c r="N1433" i="1"/>
  <c r="O1433" i="1" s="1"/>
  <c r="N1432" i="1"/>
  <c r="O1432" i="1" s="1"/>
  <c r="P1432" i="1" s="1"/>
  <c r="Q1432" i="1" s="1"/>
  <c r="R1432" i="1" s="1"/>
  <c r="S1432" i="1" s="1"/>
  <c r="N1431" i="1"/>
  <c r="O1431" i="1" s="1"/>
  <c r="P1431" i="1" s="1"/>
  <c r="Q1431" i="1" s="1"/>
  <c r="N1430" i="1"/>
  <c r="O1430" i="1" s="1"/>
  <c r="P1430" i="1" s="1"/>
  <c r="Q1430" i="1" s="1"/>
  <c r="N1429" i="1"/>
  <c r="O1429" i="1" s="1"/>
  <c r="P1429" i="1" s="1"/>
  <c r="Q1429" i="1" s="1"/>
  <c r="R1429" i="1" s="1"/>
  <c r="S1429" i="1" s="1"/>
  <c r="N1428" i="1"/>
  <c r="O1428" i="1" s="1"/>
  <c r="N1422" i="1"/>
  <c r="O1422" i="1" s="1"/>
  <c r="P1422" i="1" s="1"/>
  <c r="Q1422" i="1" s="1"/>
  <c r="R1422" i="1" s="1"/>
  <c r="S1422" i="1" s="1"/>
  <c r="N1421" i="1"/>
  <c r="O1421" i="1" s="1"/>
  <c r="N1420" i="1"/>
  <c r="O1420" i="1" s="1"/>
  <c r="P1420" i="1" s="1"/>
  <c r="Q1420" i="1" s="1"/>
  <c r="N1419" i="1"/>
  <c r="O1419" i="1" s="1"/>
  <c r="P1419" i="1" s="1"/>
  <c r="Q1419" i="1" s="1"/>
  <c r="N1418" i="1"/>
  <c r="O1418" i="1" s="1"/>
  <c r="P1418" i="1" s="1"/>
  <c r="Q1418" i="1" s="1"/>
  <c r="N1427" i="1"/>
  <c r="O1427" i="1" s="1"/>
  <c r="N1413" i="1"/>
  <c r="O1413" i="1" s="1"/>
  <c r="N1417" i="1"/>
  <c r="O1417" i="1" s="1"/>
  <c r="P1417" i="1" s="1"/>
  <c r="Q1417" i="1" s="1"/>
  <c r="N1470" i="1"/>
  <c r="O1470" i="1" s="1"/>
  <c r="P1470" i="1" s="1"/>
  <c r="Q1470" i="1" s="1"/>
  <c r="R1470" i="1" s="1"/>
  <c r="S1470" i="1" s="1"/>
  <c r="N1412" i="1"/>
  <c r="O1412" i="1" s="1"/>
  <c r="N1411" i="1"/>
  <c r="O1411" i="1" s="1"/>
  <c r="P1411" i="1" s="1"/>
  <c r="Q1411" i="1" s="1"/>
  <c r="N1410" i="1"/>
  <c r="O1410" i="1" s="1"/>
  <c r="P1410" i="1" s="1"/>
  <c r="Q1410" i="1" s="1"/>
  <c r="N1409" i="1"/>
  <c r="O1409" i="1" s="1"/>
  <c r="N1408" i="1"/>
  <c r="O1408" i="1" s="1"/>
  <c r="P1408" i="1" s="1"/>
  <c r="Q1408" i="1" s="1"/>
  <c r="N1407" i="1"/>
  <c r="O1407" i="1" s="1"/>
  <c r="N1406" i="1"/>
  <c r="O1406" i="1" s="1"/>
  <c r="P1406" i="1" s="1"/>
  <c r="Q1406" i="1" s="1"/>
  <c r="N1405" i="1"/>
  <c r="O1405" i="1" s="1"/>
  <c r="P1405" i="1" s="1"/>
  <c r="Q1405" i="1" s="1"/>
  <c r="N1404" i="1"/>
  <c r="O1404" i="1" s="1"/>
  <c r="P1404" i="1" s="1"/>
  <c r="Q1404" i="1" s="1"/>
  <c r="N1403" i="1"/>
  <c r="O1403" i="1" s="1"/>
  <c r="P1403" i="1" s="1"/>
  <c r="Q1403" i="1" s="1"/>
  <c r="N1402" i="1"/>
  <c r="O1402" i="1" s="1"/>
  <c r="N1401" i="1"/>
  <c r="O1401" i="1" s="1"/>
  <c r="N1400" i="1"/>
  <c r="O1400" i="1" s="1"/>
  <c r="N1399" i="1"/>
  <c r="O1399" i="1" s="1"/>
  <c r="N1398" i="1"/>
  <c r="O1398" i="1" s="1"/>
  <c r="P1398" i="1" s="1"/>
  <c r="Q1398" i="1" s="1"/>
  <c r="N1397" i="1"/>
  <c r="O1397" i="1" s="1"/>
  <c r="P1397" i="1" s="1"/>
  <c r="Q1397" i="1" s="1"/>
  <c r="R1397" i="1" s="1"/>
  <c r="S1397" i="1" s="1"/>
  <c r="N1396" i="1"/>
  <c r="O1396" i="1" s="1"/>
  <c r="N1395" i="1"/>
  <c r="O1395" i="1" s="1"/>
  <c r="P1395" i="1" s="1"/>
  <c r="Q1395" i="1" s="1"/>
  <c r="N1394" i="1"/>
  <c r="O1394" i="1" s="1"/>
  <c r="P1394" i="1" s="1"/>
  <c r="Q1394" i="1" s="1"/>
  <c r="N1393" i="1"/>
  <c r="O1393" i="1" s="1"/>
  <c r="N1392" i="1"/>
  <c r="O1392" i="1" s="1"/>
  <c r="N1391" i="1"/>
  <c r="O1391" i="1" s="1"/>
  <c r="N794" i="1"/>
  <c r="O794" i="1" s="1"/>
  <c r="N793" i="1"/>
  <c r="O793" i="1" s="1"/>
  <c r="P793" i="1" s="1"/>
  <c r="Q793" i="1" s="1"/>
  <c r="R793" i="1" s="1"/>
  <c r="S793" i="1" s="1"/>
  <c r="N792" i="1"/>
  <c r="O792" i="1" s="1"/>
  <c r="P792" i="1" s="1"/>
  <c r="Q792" i="1" s="1"/>
  <c r="N791" i="1"/>
  <c r="O791" i="1" s="1"/>
  <c r="N790" i="1"/>
  <c r="O790" i="1" s="1"/>
  <c r="P790" i="1" s="1"/>
  <c r="Q790" i="1" s="1"/>
  <c r="N789" i="1"/>
  <c r="O789" i="1" s="1"/>
  <c r="N788" i="1"/>
  <c r="O788" i="1" s="1"/>
  <c r="N787" i="1"/>
  <c r="O787" i="1" s="1"/>
  <c r="N786" i="1"/>
  <c r="O786" i="1" s="1"/>
  <c r="P786" i="1" s="1"/>
  <c r="Q786" i="1" s="1"/>
  <c r="N785" i="1"/>
  <c r="O785" i="1" s="1"/>
  <c r="N784" i="1"/>
  <c r="O784" i="1" s="1"/>
  <c r="N783" i="1"/>
  <c r="O783" i="1" s="1"/>
  <c r="P783" i="1" s="1"/>
  <c r="Q783" i="1" s="1"/>
  <c r="R783" i="1" s="1"/>
  <c r="S783" i="1" s="1"/>
  <c r="N782" i="1"/>
  <c r="O782" i="1" s="1"/>
  <c r="N781" i="1"/>
  <c r="O781" i="1" s="1"/>
  <c r="P781" i="1" s="1"/>
  <c r="Q781" i="1" s="1"/>
  <c r="N820" i="1"/>
  <c r="O820" i="1" s="1"/>
  <c r="N819" i="1"/>
  <c r="O819" i="1" s="1"/>
  <c r="N1426" i="1"/>
  <c r="O1426" i="1" s="1"/>
  <c r="P1426" i="1" s="1"/>
  <c r="Q1426" i="1" s="1"/>
  <c r="N1425" i="1"/>
  <c r="O1425" i="1" s="1"/>
  <c r="P1425" i="1" s="1"/>
  <c r="Q1425" i="1" s="1"/>
  <c r="N1424" i="1"/>
  <c r="O1424" i="1" s="1"/>
  <c r="N1423" i="1"/>
  <c r="O1423" i="1" s="1"/>
  <c r="N1390" i="1"/>
  <c r="O1390" i="1" s="1"/>
  <c r="P1390" i="1" s="1"/>
  <c r="Q1390" i="1" s="1"/>
  <c r="N1389" i="1"/>
  <c r="O1389" i="1" s="1"/>
  <c r="P1389" i="1" s="1"/>
  <c r="Q1389" i="1" s="1"/>
  <c r="N1388" i="1"/>
  <c r="O1388" i="1" s="1"/>
  <c r="N1387" i="1"/>
  <c r="O1387" i="1" s="1"/>
  <c r="N1386" i="1"/>
  <c r="O1386" i="1" s="1"/>
  <c r="N1385" i="1"/>
  <c r="O1385" i="1" s="1"/>
  <c r="P1385" i="1" s="1"/>
  <c r="Q1385" i="1" s="1"/>
  <c r="R1385" i="1" s="1"/>
  <c r="S1385" i="1" s="1"/>
  <c r="N1384" i="1"/>
  <c r="O1384" i="1" s="1"/>
  <c r="N1383" i="1"/>
  <c r="O1383" i="1" s="1"/>
  <c r="N1382" i="1"/>
  <c r="O1382" i="1" s="1"/>
  <c r="N1381" i="1"/>
  <c r="O1381" i="1" s="1"/>
  <c r="N1380" i="1"/>
  <c r="O1380" i="1" s="1"/>
  <c r="P1380" i="1" s="1"/>
  <c r="Q1380" i="1" s="1"/>
  <c r="N1379" i="1"/>
  <c r="O1379" i="1" s="1"/>
  <c r="N1378" i="1"/>
  <c r="O1378" i="1" s="1"/>
  <c r="N1377" i="1"/>
  <c r="O1377" i="1" s="1"/>
  <c r="P1377" i="1" s="1"/>
  <c r="Q1377" i="1" s="1"/>
  <c r="R1377" i="1" s="1"/>
  <c r="S1377" i="1" s="1"/>
  <c r="N1376" i="1"/>
  <c r="O1376" i="1" s="1"/>
  <c r="P1376" i="1" s="1"/>
  <c r="Q1376" i="1" s="1"/>
  <c r="N1375" i="1"/>
  <c r="O1375" i="1" s="1"/>
  <c r="N1374" i="1"/>
  <c r="O1374" i="1" s="1"/>
  <c r="N1373" i="1"/>
  <c r="O1373" i="1" s="1"/>
  <c r="N1372" i="1"/>
  <c r="O1372" i="1" s="1"/>
  <c r="N1371" i="1"/>
  <c r="O1371" i="1" s="1"/>
  <c r="N1370" i="1"/>
  <c r="O1370" i="1" s="1"/>
  <c r="N1369" i="1"/>
  <c r="O1369" i="1" s="1"/>
  <c r="P1369" i="1" s="1"/>
  <c r="Q1369" i="1" s="1"/>
  <c r="R1369" i="1" s="1"/>
  <c r="S1369" i="1" s="1"/>
  <c r="N1368" i="1"/>
  <c r="O1368" i="1" s="1"/>
  <c r="P1368" i="1" s="1"/>
  <c r="Q1368" i="1" s="1"/>
  <c r="N1367" i="1"/>
  <c r="O1367" i="1" s="1"/>
  <c r="N1366" i="1"/>
  <c r="O1366" i="1" s="1"/>
  <c r="N1365" i="1"/>
  <c r="O1365" i="1" s="1"/>
  <c r="P1365" i="1" s="1"/>
  <c r="Q1365" i="1" s="1"/>
  <c r="R1365" i="1" s="1"/>
  <c r="S1365" i="1" s="1"/>
  <c r="N1364" i="1"/>
  <c r="O1364" i="1" s="1"/>
  <c r="P1364" i="1" s="1"/>
  <c r="Q1364" i="1" s="1"/>
  <c r="N1363" i="1"/>
  <c r="O1363" i="1" s="1"/>
  <c r="N1362" i="1"/>
  <c r="O1362" i="1" s="1"/>
  <c r="N1361" i="1"/>
  <c r="O1361" i="1" s="1"/>
  <c r="N1360" i="1"/>
  <c r="O1360" i="1" s="1"/>
  <c r="N1359" i="1"/>
  <c r="O1359" i="1" s="1"/>
  <c r="N1358" i="1"/>
  <c r="O1358" i="1" s="1"/>
  <c r="P1358" i="1" s="1"/>
  <c r="Q1358" i="1" s="1"/>
  <c r="N1357" i="1"/>
  <c r="O1357" i="1" s="1"/>
  <c r="P1357" i="1" s="1"/>
  <c r="Q1357" i="1" s="1"/>
  <c r="N818" i="1"/>
  <c r="O818" i="1" s="1"/>
  <c r="N816" i="1"/>
  <c r="O816" i="1" s="1"/>
  <c r="N815" i="1"/>
  <c r="O815" i="1" s="1"/>
  <c r="N814" i="1"/>
  <c r="O814" i="1" s="1"/>
  <c r="P814" i="1" s="1"/>
  <c r="Q814" i="1" s="1"/>
  <c r="R814" i="1" s="1"/>
  <c r="S814" i="1" s="1"/>
  <c r="N813" i="1"/>
  <c r="O813" i="1" s="1"/>
  <c r="N812" i="1"/>
  <c r="O812" i="1" s="1"/>
  <c r="N811" i="1"/>
  <c r="O811" i="1" s="1"/>
  <c r="N810" i="1"/>
  <c r="O810" i="1" s="1"/>
  <c r="P810" i="1" s="1"/>
  <c r="Q810" i="1" s="1"/>
  <c r="N809" i="1"/>
  <c r="O809" i="1" s="1"/>
  <c r="N808" i="1"/>
  <c r="O808" i="1" s="1"/>
  <c r="N807" i="1"/>
  <c r="O807" i="1" s="1"/>
  <c r="N806" i="1"/>
  <c r="O806" i="1" s="1"/>
  <c r="N805" i="1"/>
  <c r="O805" i="1" s="1"/>
  <c r="P805" i="1" s="1"/>
  <c r="Q805" i="1" s="1"/>
  <c r="N1356" i="1"/>
  <c r="O1356" i="1" s="1"/>
  <c r="N1355" i="1"/>
  <c r="O1355" i="1" s="1"/>
  <c r="P1355" i="1" s="1"/>
  <c r="Q1355" i="1" s="1"/>
  <c r="N1354" i="1"/>
  <c r="O1354" i="1" s="1"/>
  <c r="P1354" i="1" s="1"/>
  <c r="Q1354" i="1" s="1"/>
  <c r="N1353" i="1"/>
  <c r="O1353" i="1" s="1"/>
  <c r="N1352" i="1"/>
  <c r="O1352" i="1" s="1"/>
  <c r="P1352" i="1" s="1"/>
  <c r="Q1352" i="1" s="1"/>
  <c r="N1351" i="1"/>
  <c r="O1351" i="1" s="1"/>
  <c r="N1350" i="1"/>
  <c r="O1350" i="1" s="1"/>
  <c r="N1349" i="1"/>
  <c r="O1349" i="1" s="1"/>
  <c r="N1348" i="1"/>
  <c r="O1348" i="1" s="1"/>
  <c r="N1347" i="1"/>
  <c r="O1347" i="1" s="1"/>
  <c r="N1346" i="1"/>
  <c r="O1346" i="1" s="1"/>
  <c r="P1346" i="1" s="1"/>
  <c r="Q1346" i="1" s="1"/>
  <c r="R1346" i="1" s="1"/>
  <c r="S1346" i="1" s="1"/>
  <c r="N1345" i="1"/>
  <c r="O1345" i="1" s="1"/>
  <c r="P1345" i="1" s="1"/>
  <c r="Q1345" i="1" s="1"/>
  <c r="N1344" i="1"/>
  <c r="O1344" i="1" s="1"/>
  <c r="P1344" i="1" s="1"/>
  <c r="Q1344" i="1" s="1"/>
  <c r="R1344" i="1" s="1"/>
  <c r="S1344" i="1" s="1"/>
  <c r="N801" i="1"/>
  <c r="O801" i="1" s="1"/>
  <c r="P801" i="1" s="1"/>
  <c r="Q801" i="1" s="1"/>
  <c r="N800" i="1"/>
  <c r="O800" i="1" s="1"/>
  <c r="N799" i="1"/>
  <c r="O799" i="1" s="1"/>
  <c r="N702" i="1"/>
  <c r="O702" i="1" s="1"/>
  <c r="N701" i="1"/>
  <c r="O701" i="1" s="1"/>
  <c r="N700" i="1"/>
  <c r="O700" i="1" s="1"/>
  <c r="N780" i="1"/>
  <c r="O780" i="1" s="1"/>
  <c r="N779" i="1"/>
  <c r="O779" i="1" s="1"/>
  <c r="N778" i="1"/>
  <c r="O778" i="1" s="1"/>
  <c r="P778" i="1" s="1"/>
  <c r="Q778" i="1" s="1"/>
  <c r="N777" i="1"/>
  <c r="O777" i="1" s="1"/>
  <c r="N776" i="1"/>
  <c r="O776" i="1" s="1"/>
  <c r="P776" i="1" s="1"/>
  <c r="Q776" i="1" s="1"/>
  <c r="N775" i="1"/>
  <c r="O775" i="1" s="1"/>
  <c r="N774" i="1"/>
  <c r="O774" i="1" s="1"/>
  <c r="N773" i="1"/>
  <c r="O773" i="1" s="1"/>
  <c r="P773" i="1" s="1"/>
  <c r="Q773" i="1" s="1"/>
  <c r="R773" i="1" s="1"/>
  <c r="S773" i="1" s="1"/>
  <c r="N772" i="1"/>
  <c r="O772" i="1" s="1"/>
  <c r="P772" i="1" s="1"/>
  <c r="Q772" i="1" s="1"/>
  <c r="N771" i="1"/>
  <c r="O771" i="1" s="1"/>
  <c r="N770" i="1"/>
  <c r="O770" i="1" s="1"/>
  <c r="N769" i="1"/>
  <c r="O769" i="1" s="1"/>
  <c r="N768" i="1"/>
  <c r="O768" i="1" s="1"/>
  <c r="N767" i="1"/>
  <c r="O767" i="1" s="1"/>
  <c r="N766" i="1"/>
  <c r="O766" i="1" s="1"/>
  <c r="N765" i="1"/>
  <c r="O765" i="1" s="1"/>
  <c r="P765" i="1" s="1"/>
  <c r="Q765" i="1" s="1"/>
  <c r="R765" i="1" s="1"/>
  <c r="S765" i="1" s="1"/>
  <c r="N764" i="1"/>
  <c r="O764" i="1" s="1"/>
  <c r="N763" i="1"/>
  <c r="O763" i="1" s="1"/>
  <c r="P763" i="1" s="1"/>
  <c r="Q763" i="1" s="1"/>
  <c r="R763" i="1" s="1"/>
  <c r="S763" i="1" s="1"/>
  <c r="N762" i="1"/>
  <c r="O762" i="1" s="1"/>
  <c r="P762" i="1" s="1"/>
  <c r="Q762" i="1" s="1"/>
  <c r="R762" i="1" s="1"/>
  <c r="S762" i="1" s="1"/>
  <c r="N761" i="1"/>
  <c r="O761" i="1" s="1"/>
  <c r="N760" i="1"/>
  <c r="O760" i="1" s="1"/>
  <c r="P760" i="1" s="1"/>
  <c r="Q760" i="1" s="1"/>
  <c r="R760" i="1" s="1"/>
  <c r="S760" i="1" s="1"/>
  <c r="N759" i="1"/>
  <c r="O759" i="1" s="1"/>
  <c r="N758" i="1"/>
  <c r="O758" i="1" s="1"/>
  <c r="N757" i="1"/>
  <c r="O757" i="1" s="1"/>
  <c r="N756" i="1"/>
  <c r="O756" i="1" s="1"/>
  <c r="P756" i="1" s="1"/>
  <c r="Q756" i="1" s="1"/>
  <c r="N755" i="1"/>
  <c r="O755" i="1" s="1"/>
  <c r="N754" i="1"/>
  <c r="O754" i="1" s="1"/>
  <c r="P754" i="1" s="1"/>
  <c r="Q754" i="1" s="1"/>
  <c r="N753" i="1"/>
  <c r="O753" i="1" s="1"/>
  <c r="N752" i="1"/>
  <c r="O752" i="1" s="1"/>
  <c r="N751" i="1"/>
  <c r="O751" i="1" s="1"/>
  <c r="N750" i="1"/>
  <c r="O750" i="1" s="1"/>
  <c r="P750" i="1" s="1"/>
  <c r="Q750" i="1" s="1"/>
  <c r="N749" i="1"/>
  <c r="O749" i="1" s="1"/>
  <c r="N748" i="1"/>
  <c r="O748" i="1" s="1"/>
  <c r="N747" i="1"/>
  <c r="O747" i="1" s="1"/>
  <c r="N746" i="1"/>
  <c r="O746" i="1" s="1"/>
  <c r="P746" i="1" s="1"/>
  <c r="Q746" i="1" s="1"/>
  <c r="N745" i="1"/>
  <c r="O745" i="1" s="1"/>
  <c r="N744" i="1"/>
  <c r="O744" i="1" s="1"/>
  <c r="P744" i="1" s="1"/>
  <c r="Q744" i="1" s="1"/>
  <c r="N743" i="1"/>
  <c r="O743" i="1" s="1"/>
  <c r="N742" i="1"/>
  <c r="O742" i="1" s="1"/>
  <c r="P742" i="1" s="1"/>
  <c r="Q742" i="1" s="1"/>
  <c r="R742" i="1" s="1"/>
  <c r="S742" i="1" s="1"/>
  <c r="N741" i="1"/>
  <c r="O741" i="1" s="1"/>
  <c r="P741" i="1" s="1"/>
  <c r="Q741" i="1" s="1"/>
  <c r="R741" i="1" s="1"/>
  <c r="S741" i="1" s="1"/>
  <c r="N740" i="1"/>
  <c r="O740" i="1" s="1"/>
  <c r="N739" i="1"/>
  <c r="O739" i="1" s="1"/>
  <c r="N738" i="1"/>
  <c r="O738" i="1" s="1"/>
  <c r="P738" i="1" s="1"/>
  <c r="Q738" i="1" s="1"/>
  <c r="R738" i="1" s="1"/>
  <c r="S738" i="1" s="1"/>
  <c r="N737" i="1"/>
  <c r="O737" i="1" s="1"/>
  <c r="N736" i="1"/>
  <c r="O736" i="1" s="1"/>
  <c r="N735" i="1"/>
  <c r="O735" i="1" s="1"/>
  <c r="N734" i="1"/>
  <c r="O734" i="1" s="1"/>
  <c r="N733" i="1"/>
  <c r="O733" i="1" s="1"/>
  <c r="P733" i="1" s="1"/>
  <c r="Q733" i="1" s="1"/>
  <c r="R733" i="1" s="1"/>
  <c r="S733" i="1" s="1"/>
  <c r="N732" i="1"/>
  <c r="O732" i="1" s="1"/>
  <c r="P732" i="1" s="1"/>
  <c r="Q732" i="1" s="1"/>
  <c r="N731" i="1"/>
  <c r="O731" i="1" s="1"/>
  <c r="N730" i="1"/>
  <c r="O730" i="1" s="1"/>
  <c r="P730" i="1" s="1"/>
  <c r="Q730" i="1" s="1"/>
  <c r="R730" i="1" s="1"/>
  <c r="S730" i="1" s="1"/>
  <c r="N729" i="1"/>
  <c r="O729" i="1" s="1"/>
  <c r="P729" i="1" s="1"/>
  <c r="Q729" i="1" s="1"/>
  <c r="R729" i="1" s="1"/>
  <c r="S729" i="1" s="1"/>
  <c r="N728" i="1"/>
  <c r="O728" i="1" s="1"/>
  <c r="N727" i="1"/>
  <c r="O727" i="1" s="1"/>
  <c r="N726" i="1"/>
  <c r="O726" i="1" s="1"/>
  <c r="P726" i="1" s="1"/>
  <c r="Q726" i="1" s="1"/>
  <c r="N639" i="1"/>
  <c r="O639" i="1" s="1"/>
  <c r="N638" i="1"/>
  <c r="O638" i="1" s="1"/>
  <c r="N637" i="1"/>
  <c r="O637" i="1" s="1"/>
  <c r="P637" i="1" s="1"/>
  <c r="Q637" i="1" s="1"/>
  <c r="N636" i="1"/>
  <c r="O636" i="1" s="1"/>
  <c r="P636" i="1" s="1"/>
  <c r="Q636" i="1" s="1"/>
  <c r="N635" i="1"/>
  <c r="O635" i="1" s="1"/>
  <c r="N634" i="1"/>
  <c r="O634" i="1" s="1"/>
  <c r="N633" i="1"/>
  <c r="O633" i="1" s="1"/>
  <c r="N632" i="1"/>
  <c r="O632" i="1" s="1"/>
  <c r="N631" i="1"/>
  <c r="O631" i="1" s="1"/>
  <c r="P631" i="1" s="1"/>
  <c r="Q631" i="1" s="1"/>
  <c r="N630" i="1"/>
  <c r="O630" i="1" s="1"/>
  <c r="N629" i="1"/>
  <c r="O629" i="1" s="1"/>
  <c r="N628" i="1"/>
  <c r="O628" i="1" s="1"/>
  <c r="N627" i="1"/>
  <c r="O627" i="1" s="1"/>
  <c r="N626" i="1"/>
  <c r="O626" i="1" s="1"/>
  <c r="N1343" i="1"/>
  <c r="O1343" i="1" s="1"/>
  <c r="N1342" i="1"/>
  <c r="O1342" i="1" s="1"/>
  <c r="N1341" i="1"/>
  <c r="O1341" i="1" s="1"/>
  <c r="N1340" i="1"/>
  <c r="O1340" i="1" s="1"/>
  <c r="N1339" i="1"/>
  <c r="O1339" i="1" s="1"/>
  <c r="N1338" i="1"/>
  <c r="O1338" i="1" s="1"/>
  <c r="P1338" i="1" s="1"/>
  <c r="Q1338" i="1" s="1"/>
  <c r="N625" i="1"/>
  <c r="O625" i="1" s="1"/>
  <c r="N1337" i="1"/>
  <c r="O1337" i="1" s="1"/>
  <c r="P1337" i="1" s="1"/>
  <c r="Q1337" i="1" s="1"/>
  <c r="N1336" i="1"/>
  <c r="O1336" i="1" s="1"/>
  <c r="P1336" i="1" s="1"/>
  <c r="Q1336" i="1" s="1"/>
  <c r="N1335" i="1"/>
  <c r="O1335" i="1" s="1"/>
  <c r="N1334" i="1"/>
  <c r="O1334" i="1" s="1"/>
  <c r="P1334" i="1" s="1"/>
  <c r="Q1334" i="1" s="1"/>
  <c r="N473" i="1"/>
  <c r="O473" i="1" s="1"/>
  <c r="P473" i="1" s="1"/>
  <c r="Q473" i="1" s="1"/>
  <c r="N472" i="1"/>
  <c r="O472" i="1" s="1"/>
  <c r="P472" i="1" s="1"/>
  <c r="Q472" i="1" s="1"/>
  <c r="N471" i="1"/>
  <c r="O471" i="1" s="1"/>
  <c r="N470" i="1"/>
  <c r="O470" i="1" s="1"/>
  <c r="N469" i="1"/>
  <c r="O469" i="1" s="1"/>
  <c r="N725" i="1"/>
  <c r="O725" i="1" s="1"/>
  <c r="N724" i="1"/>
  <c r="O724" i="1" s="1"/>
  <c r="P724" i="1" s="1"/>
  <c r="Q724" i="1" s="1"/>
  <c r="N723" i="1"/>
  <c r="O723" i="1" s="1"/>
  <c r="N817" i="1"/>
  <c r="O817" i="1" s="1"/>
  <c r="N722" i="1"/>
  <c r="O722" i="1" s="1"/>
  <c r="N705" i="1"/>
  <c r="O705" i="1" s="1"/>
  <c r="N1333" i="1"/>
  <c r="O1333" i="1" s="1"/>
  <c r="N1332" i="1"/>
  <c r="O1332" i="1" s="1"/>
  <c r="N1331" i="1"/>
  <c r="O1331" i="1" s="1"/>
  <c r="N1330" i="1"/>
  <c r="O1330" i="1" s="1"/>
  <c r="N1329" i="1"/>
  <c r="O1329" i="1" s="1"/>
  <c r="N1328" i="1"/>
  <c r="O1328" i="1" s="1"/>
  <c r="N1327" i="1"/>
  <c r="O1327" i="1" s="1"/>
  <c r="N1326" i="1"/>
  <c r="O1326" i="1" s="1"/>
  <c r="N1325" i="1"/>
  <c r="O1325" i="1" s="1"/>
  <c r="N1324" i="1"/>
  <c r="O1324" i="1" s="1"/>
  <c r="N1323" i="1"/>
  <c r="O1323" i="1" s="1"/>
  <c r="N1322" i="1"/>
  <c r="O1322" i="1" s="1"/>
  <c r="N1321" i="1"/>
  <c r="O1321" i="1" s="1"/>
  <c r="N1320" i="1"/>
  <c r="O1320" i="1" s="1"/>
  <c r="N1319" i="1"/>
  <c r="O1319" i="1" s="1"/>
  <c r="N1318" i="1"/>
  <c r="O1318" i="1" s="1"/>
  <c r="N1317" i="1"/>
  <c r="O1317" i="1" s="1"/>
  <c r="N1316" i="1"/>
  <c r="O1316" i="1" s="1"/>
  <c r="N1315" i="1"/>
  <c r="O1315" i="1" s="1"/>
  <c r="N1314" i="1"/>
  <c r="O1314" i="1" s="1"/>
  <c r="N1313" i="1"/>
  <c r="O1313" i="1" s="1"/>
  <c r="N1312" i="1"/>
  <c r="O1312" i="1" s="1"/>
  <c r="P1312" i="1" s="1"/>
  <c r="Q1312" i="1" s="1"/>
  <c r="N1311" i="1"/>
  <c r="O1311" i="1" s="1"/>
  <c r="N1310" i="1"/>
  <c r="O1310" i="1" s="1"/>
  <c r="N1309" i="1"/>
  <c r="O1309" i="1" s="1"/>
  <c r="P1309" i="1" s="1"/>
  <c r="Q1309" i="1" s="1"/>
  <c r="N1308" i="1"/>
  <c r="O1308" i="1" s="1"/>
  <c r="N1307" i="1"/>
  <c r="O1307" i="1" s="1"/>
  <c r="N1306" i="1"/>
  <c r="O1306" i="1" s="1"/>
  <c r="P1306" i="1" s="1"/>
  <c r="Q1306" i="1" s="1"/>
  <c r="N1305" i="1"/>
  <c r="O1305" i="1" s="1"/>
  <c r="N1304" i="1"/>
  <c r="O1304" i="1" s="1"/>
  <c r="N1303" i="1"/>
  <c r="O1303" i="1" s="1"/>
  <c r="P1303" i="1" s="1"/>
  <c r="Q1303" i="1" s="1"/>
  <c r="N1302" i="1"/>
  <c r="O1302" i="1" s="1"/>
  <c r="P1302" i="1" s="1"/>
  <c r="Q1302" i="1" s="1"/>
  <c r="R1302" i="1" s="1"/>
  <c r="S1302" i="1" s="1"/>
  <c r="N1301" i="1"/>
  <c r="O1301" i="1" s="1"/>
  <c r="P1301" i="1" s="1"/>
  <c r="Q1301" i="1" s="1"/>
  <c r="R1301" i="1" s="1"/>
  <c r="S1301" i="1" s="1"/>
  <c r="N1300" i="1"/>
  <c r="O1300" i="1" s="1"/>
  <c r="N1299" i="1"/>
  <c r="O1299" i="1" s="1"/>
  <c r="P1299" i="1" s="1"/>
  <c r="Q1299" i="1" s="1"/>
  <c r="R1299" i="1" s="1"/>
  <c r="S1299" i="1" s="1"/>
  <c r="N1298" i="1"/>
  <c r="O1298" i="1" s="1"/>
  <c r="P1298" i="1" s="1"/>
  <c r="Q1298" i="1" s="1"/>
  <c r="R1298" i="1" s="1"/>
  <c r="S1298" i="1" s="1"/>
  <c r="N1297" i="1"/>
  <c r="O1297" i="1" s="1"/>
  <c r="P1297" i="1" s="1"/>
  <c r="Q1297" i="1" s="1"/>
  <c r="N1296" i="1"/>
  <c r="O1296" i="1" s="1"/>
  <c r="P1296" i="1" s="1"/>
  <c r="Q1296" i="1" s="1"/>
  <c r="R1296" i="1" s="1"/>
  <c r="S1296" i="1" s="1"/>
  <c r="N1295" i="1"/>
  <c r="O1295" i="1" s="1"/>
  <c r="P1295" i="1" s="1"/>
  <c r="Q1295" i="1" s="1"/>
  <c r="R1295" i="1" s="1"/>
  <c r="S1295" i="1" s="1"/>
  <c r="N1294" i="1"/>
  <c r="O1294" i="1" s="1"/>
  <c r="N1293" i="1"/>
  <c r="O1293" i="1" s="1"/>
  <c r="N1292" i="1"/>
  <c r="O1292" i="1" s="1"/>
  <c r="N1291" i="1"/>
  <c r="O1291" i="1" s="1"/>
  <c r="N1290" i="1"/>
  <c r="O1290" i="1" s="1"/>
  <c r="P1290" i="1" s="1"/>
  <c r="Q1290" i="1" s="1"/>
  <c r="R1290" i="1" s="1"/>
  <c r="S1290" i="1" s="1"/>
  <c r="N1289" i="1"/>
  <c r="O1289" i="1" s="1"/>
  <c r="P1289" i="1" s="1"/>
  <c r="Q1289" i="1" s="1"/>
  <c r="N1288" i="1"/>
  <c r="O1288" i="1" s="1"/>
  <c r="N1287" i="1"/>
  <c r="O1287" i="1" s="1"/>
  <c r="P1287" i="1" s="1"/>
  <c r="Q1287" i="1" s="1"/>
  <c r="R1287" i="1" s="1"/>
  <c r="S1287" i="1" s="1"/>
  <c r="N1286" i="1"/>
  <c r="O1286" i="1" s="1"/>
  <c r="P1286" i="1" s="1"/>
  <c r="Q1286" i="1" s="1"/>
  <c r="R1286" i="1" s="1"/>
  <c r="S1286" i="1" s="1"/>
  <c r="N1285" i="1"/>
  <c r="O1285" i="1" s="1"/>
  <c r="P1285" i="1" s="1"/>
  <c r="Q1285" i="1" s="1"/>
  <c r="N1284" i="1"/>
  <c r="O1284" i="1" s="1"/>
  <c r="P1284" i="1" s="1"/>
  <c r="Q1284" i="1" s="1"/>
  <c r="N1283" i="1"/>
  <c r="O1283" i="1" s="1"/>
  <c r="P1283" i="1" s="1"/>
  <c r="Q1283" i="1" s="1"/>
  <c r="R1283" i="1" s="1"/>
  <c r="S1283" i="1" s="1"/>
  <c r="N1282" i="1"/>
  <c r="O1282" i="1" s="1"/>
  <c r="P1282" i="1" s="1"/>
  <c r="Q1282" i="1" s="1"/>
  <c r="N1281" i="1"/>
  <c r="O1281" i="1" s="1"/>
  <c r="P1281" i="1" s="1"/>
  <c r="Q1281" i="1" s="1"/>
  <c r="N1280" i="1"/>
  <c r="O1280" i="1" s="1"/>
  <c r="N1279" i="1"/>
  <c r="O1279" i="1" s="1"/>
  <c r="P1279" i="1" s="1"/>
  <c r="Q1279" i="1" s="1"/>
  <c r="R1279" i="1" s="1"/>
  <c r="S1279" i="1" s="1"/>
  <c r="N1278" i="1"/>
  <c r="O1278" i="1" s="1"/>
  <c r="N1277" i="1"/>
  <c r="O1277" i="1" s="1"/>
  <c r="N1276" i="1"/>
  <c r="O1276" i="1" s="1"/>
  <c r="N1275" i="1"/>
  <c r="O1275" i="1" s="1"/>
  <c r="N1274" i="1"/>
  <c r="O1274" i="1" s="1"/>
  <c r="P1274" i="1" s="1"/>
  <c r="Q1274" i="1" s="1"/>
  <c r="N1273" i="1"/>
  <c r="O1273" i="1" s="1"/>
  <c r="N1272" i="1"/>
  <c r="O1272" i="1" s="1"/>
  <c r="P1272" i="1" s="1"/>
  <c r="Q1272" i="1" s="1"/>
  <c r="R1272" i="1" s="1"/>
  <c r="S1272" i="1" s="1"/>
  <c r="N1271" i="1"/>
  <c r="O1271" i="1" s="1"/>
  <c r="N1270" i="1"/>
  <c r="O1270" i="1" s="1"/>
  <c r="P1270" i="1" s="1"/>
  <c r="Q1270" i="1" s="1"/>
  <c r="N1269" i="1"/>
  <c r="O1269" i="1" s="1"/>
  <c r="N1268" i="1"/>
  <c r="O1268" i="1" s="1"/>
  <c r="P1268" i="1" s="1"/>
  <c r="Q1268" i="1" s="1"/>
  <c r="N1267" i="1"/>
  <c r="O1267" i="1" s="1"/>
  <c r="P1267" i="1" s="1"/>
  <c r="Q1267" i="1" s="1"/>
  <c r="R1267" i="1" s="1"/>
  <c r="S1267" i="1" s="1"/>
  <c r="N1266" i="1"/>
  <c r="O1266" i="1" s="1"/>
  <c r="P1266" i="1" s="1"/>
  <c r="Q1266" i="1" s="1"/>
  <c r="N1265" i="1"/>
  <c r="O1265" i="1" s="1"/>
  <c r="N1264" i="1"/>
  <c r="O1264" i="1" s="1"/>
  <c r="P1264" i="1" s="1"/>
  <c r="Q1264" i="1" s="1"/>
  <c r="N1263" i="1"/>
  <c r="O1263" i="1" s="1"/>
  <c r="P1263" i="1" s="1"/>
  <c r="Q1263" i="1" s="1"/>
  <c r="N1262" i="1"/>
  <c r="O1262" i="1" s="1"/>
  <c r="N1261" i="1"/>
  <c r="O1261" i="1" s="1"/>
  <c r="P1261" i="1" s="1"/>
  <c r="Q1261" i="1" s="1"/>
  <c r="N1260" i="1"/>
  <c r="O1260" i="1" s="1"/>
  <c r="N1259" i="1"/>
  <c r="O1259" i="1" s="1"/>
  <c r="P1259" i="1" s="1"/>
  <c r="Q1259" i="1" s="1"/>
  <c r="N1258" i="1"/>
  <c r="O1258" i="1" s="1"/>
  <c r="P1258" i="1" s="1"/>
  <c r="Q1258" i="1" s="1"/>
  <c r="R1258" i="1" s="1"/>
  <c r="S1258" i="1" s="1"/>
  <c r="N1257" i="1"/>
  <c r="O1257" i="1" s="1"/>
  <c r="N1256" i="1"/>
  <c r="O1256" i="1" s="1"/>
  <c r="N1255" i="1"/>
  <c r="O1255" i="1" s="1"/>
  <c r="P1255" i="1" s="1"/>
  <c r="Q1255" i="1" s="1"/>
  <c r="R1255" i="1" s="1"/>
  <c r="S1255" i="1" s="1"/>
  <c r="N1254" i="1"/>
  <c r="O1254" i="1" s="1"/>
  <c r="P1254" i="1" s="1"/>
  <c r="Q1254" i="1" s="1"/>
  <c r="N1253" i="1"/>
  <c r="O1253" i="1" s="1"/>
  <c r="N1252" i="1"/>
  <c r="O1252" i="1" s="1"/>
  <c r="P1252" i="1" s="1"/>
  <c r="Q1252" i="1" s="1"/>
  <c r="N1251" i="1"/>
  <c r="O1251" i="1" s="1"/>
  <c r="P1251" i="1" s="1"/>
  <c r="Q1251" i="1" s="1"/>
  <c r="N1250" i="1"/>
  <c r="O1250" i="1" s="1"/>
  <c r="N1249" i="1"/>
  <c r="O1249" i="1" s="1"/>
  <c r="P1249" i="1" s="1"/>
  <c r="Q1249" i="1" s="1"/>
  <c r="N1248" i="1"/>
  <c r="O1248" i="1" s="1"/>
  <c r="N1247" i="1"/>
  <c r="O1247" i="1" s="1"/>
  <c r="N1246" i="1"/>
  <c r="O1246" i="1" s="1"/>
  <c r="P1246" i="1" s="1"/>
  <c r="Q1246" i="1" s="1"/>
  <c r="R1246" i="1" s="1"/>
  <c r="S1246" i="1" s="1"/>
  <c r="N1245" i="1"/>
  <c r="O1245" i="1" s="1"/>
  <c r="N1244" i="1"/>
  <c r="O1244" i="1" s="1"/>
  <c r="N1243" i="1"/>
  <c r="O1243" i="1" s="1"/>
  <c r="N1242" i="1"/>
  <c r="O1242" i="1" s="1"/>
  <c r="N1241" i="1"/>
  <c r="O1241" i="1" s="1"/>
  <c r="N1240" i="1"/>
  <c r="O1240" i="1" s="1"/>
  <c r="P1240" i="1" s="1"/>
  <c r="Q1240" i="1" s="1"/>
  <c r="N1239" i="1"/>
  <c r="O1239" i="1" s="1"/>
  <c r="N1238" i="1"/>
  <c r="O1238" i="1" s="1"/>
  <c r="N1237" i="1"/>
  <c r="O1237" i="1" s="1"/>
  <c r="N1236" i="1"/>
  <c r="O1236" i="1" s="1"/>
  <c r="N1235" i="1"/>
  <c r="O1235" i="1" s="1"/>
  <c r="N1234" i="1"/>
  <c r="O1234" i="1" s="1"/>
  <c r="N1233" i="1"/>
  <c r="O1233" i="1" s="1"/>
  <c r="N1232" i="1"/>
  <c r="O1232" i="1" s="1"/>
  <c r="N1231" i="1"/>
  <c r="O1231" i="1" s="1"/>
  <c r="N1230" i="1"/>
  <c r="O1230" i="1" s="1"/>
  <c r="N1229" i="1"/>
  <c r="O1229" i="1" s="1"/>
  <c r="P1229" i="1" s="1"/>
  <c r="Q1229" i="1" s="1"/>
  <c r="N1228" i="1"/>
  <c r="O1228" i="1" s="1"/>
  <c r="N1227" i="1"/>
  <c r="O1227" i="1" s="1"/>
  <c r="N1226" i="1"/>
  <c r="O1226" i="1" s="1"/>
  <c r="N1225" i="1"/>
  <c r="O1225" i="1" s="1"/>
  <c r="P1225" i="1" s="1"/>
  <c r="Q1225" i="1" s="1"/>
  <c r="N1224" i="1"/>
  <c r="O1224" i="1" s="1"/>
  <c r="N1223" i="1"/>
  <c r="O1223" i="1" s="1"/>
  <c r="N1222" i="1"/>
  <c r="O1222" i="1" s="1"/>
  <c r="N1221" i="1"/>
  <c r="O1221" i="1" s="1"/>
  <c r="N1220" i="1"/>
  <c r="O1220" i="1" s="1"/>
  <c r="N1219" i="1"/>
  <c r="O1219" i="1" s="1"/>
  <c r="N1218" i="1"/>
  <c r="O1218" i="1" s="1"/>
  <c r="N1217" i="1"/>
  <c r="O1217" i="1" s="1"/>
  <c r="N1216" i="1"/>
  <c r="O1216" i="1" s="1"/>
  <c r="N1215" i="1"/>
  <c r="O1215" i="1" s="1"/>
  <c r="N1214" i="1"/>
  <c r="O1214" i="1" s="1"/>
  <c r="N1213" i="1"/>
  <c r="O1213" i="1" s="1"/>
  <c r="N1212" i="1"/>
  <c r="O1212" i="1" s="1"/>
  <c r="N1211" i="1"/>
  <c r="O1211" i="1" s="1"/>
  <c r="N1210" i="1"/>
  <c r="O1210" i="1" s="1"/>
  <c r="N1209" i="1"/>
  <c r="O1209" i="1" s="1"/>
  <c r="N1208" i="1"/>
  <c r="O1208" i="1" s="1"/>
  <c r="P1208" i="1" s="1"/>
  <c r="Q1208" i="1" s="1"/>
  <c r="N1207" i="1"/>
  <c r="O1207" i="1" s="1"/>
  <c r="P1207" i="1" s="1"/>
  <c r="Q1207" i="1" s="1"/>
  <c r="N1206" i="1"/>
  <c r="O1206" i="1" s="1"/>
  <c r="P1206" i="1" s="1"/>
  <c r="Q1206" i="1" s="1"/>
  <c r="N1205" i="1"/>
  <c r="O1205" i="1" s="1"/>
  <c r="N1204" i="1"/>
  <c r="O1204" i="1" s="1"/>
  <c r="N1203" i="1"/>
  <c r="O1203" i="1" s="1"/>
  <c r="N1202" i="1"/>
  <c r="O1202" i="1" s="1"/>
  <c r="N1201" i="1"/>
  <c r="O1201" i="1" s="1"/>
  <c r="N1200" i="1"/>
  <c r="O1200" i="1" s="1"/>
  <c r="N1199" i="1"/>
  <c r="O1199" i="1" s="1"/>
  <c r="N1198" i="1"/>
  <c r="O1198" i="1" s="1"/>
  <c r="N1197" i="1"/>
  <c r="O1197" i="1" s="1"/>
  <c r="P1197" i="1" s="1"/>
  <c r="Q1197" i="1" s="1"/>
  <c r="N1196" i="1"/>
  <c r="O1196" i="1" s="1"/>
  <c r="N1195" i="1"/>
  <c r="O1195" i="1" s="1"/>
  <c r="N1194" i="1"/>
  <c r="O1194" i="1" s="1"/>
  <c r="N1193" i="1"/>
  <c r="O1193" i="1" s="1"/>
  <c r="N1192" i="1"/>
  <c r="O1192" i="1" s="1"/>
  <c r="P1192" i="1" s="1"/>
  <c r="Q1192" i="1" s="1"/>
  <c r="N1191" i="1"/>
  <c r="O1191" i="1" s="1"/>
  <c r="P1191" i="1" s="1"/>
  <c r="Q1191" i="1" s="1"/>
  <c r="R1191" i="1" s="1"/>
  <c r="S1191" i="1" s="1"/>
  <c r="N1190" i="1"/>
  <c r="O1190" i="1" s="1"/>
  <c r="N1189" i="1"/>
  <c r="O1189" i="1" s="1"/>
  <c r="P1189" i="1" s="1"/>
  <c r="Q1189" i="1" s="1"/>
  <c r="N1188" i="1"/>
  <c r="O1188" i="1" s="1"/>
  <c r="P1188" i="1" s="1"/>
  <c r="Q1188" i="1" s="1"/>
  <c r="N1187" i="1"/>
  <c r="O1187" i="1" s="1"/>
  <c r="N1186" i="1"/>
  <c r="O1186" i="1" s="1"/>
  <c r="P1186" i="1" s="1"/>
  <c r="Q1186" i="1" s="1"/>
  <c r="N1185" i="1"/>
  <c r="O1185" i="1" s="1"/>
  <c r="P1185" i="1" s="1"/>
  <c r="Q1185" i="1" s="1"/>
  <c r="N1184" i="1"/>
  <c r="O1184" i="1" s="1"/>
  <c r="N1183" i="1"/>
  <c r="O1183" i="1" s="1"/>
  <c r="N1182" i="1"/>
  <c r="O1182" i="1" s="1"/>
  <c r="N1181" i="1"/>
  <c r="O1181" i="1" s="1"/>
  <c r="P1181" i="1" s="1"/>
  <c r="Q1181" i="1" s="1"/>
  <c r="N1180" i="1"/>
  <c r="O1180" i="1" s="1"/>
  <c r="N1179" i="1"/>
  <c r="O1179" i="1" s="1"/>
  <c r="N1178" i="1"/>
  <c r="O1178" i="1" s="1"/>
  <c r="N1177" i="1"/>
  <c r="O1177" i="1" s="1"/>
  <c r="N1176" i="1"/>
  <c r="O1176" i="1" s="1"/>
  <c r="N1175" i="1"/>
  <c r="O1175" i="1" s="1"/>
  <c r="P1175" i="1" s="1"/>
  <c r="Q1175" i="1" s="1"/>
  <c r="R1175" i="1" s="1"/>
  <c r="S1175" i="1" s="1"/>
  <c r="N1174" i="1"/>
  <c r="O1174" i="1" s="1"/>
  <c r="P1174" i="1" s="1"/>
  <c r="Q1174" i="1" s="1"/>
  <c r="N1173" i="1"/>
  <c r="O1173" i="1" s="1"/>
  <c r="P1173" i="1" s="1"/>
  <c r="Q1173" i="1" s="1"/>
  <c r="N1172" i="1"/>
  <c r="O1172" i="1" s="1"/>
  <c r="N1171" i="1"/>
  <c r="O1171" i="1" s="1"/>
  <c r="P1171" i="1" s="1"/>
  <c r="Q1171" i="1" s="1"/>
  <c r="R1171" i="1" s="1"/>
  <c r="S1171" i="1" s="1"/>
  <c r="N1170" i="1"/>
  <c r="O1170" i="1" s="1"/>
  <c r="P1170" i="1" s="1"/>
  <c r="Q1170" i="1" s="1"/>
  <c r="R1170" i="1" s="1"/>
  <c r="S1170" i="1" s="1"/>
  <c r="N1169" i="1"/>
  <c r="O1169" i="1" s="1"/>
  <c r="N1168" i="1"/>
  <c r="O1168" i="1" s="1"/>
  <c r="P1168" i="1" s="1"/>
  <c r="Q1168" i="1" s="1"/>
  <c r="N1167" i="1"/>
  <c r="O1167" i="1" s="1"/>
  <c r="N1166" i="1"/>
  <c r="O1166" i="1" s="1"/>
  <c r="P1166" i="1" s="1"/>
  <c r="Q1166" i="1" s="1"/>
  <c r="N1165" i="1"/>
  <c r="O1165" i="1" s="1"/>
  <c r="N1164" i="1"/>
  <c r="O1164" i="1" s="1"/>
  <c r="N1163" i="1"/>
  <c r="O1163" i="1" s="1"/>
  <c r="N1162" i="1"/>
  <c r="O1162" i="1" s="1"/>
  <c r="N1161" i="1"/>
  <c r="O1161" i="1" s="1"/>
  <c r="P1161" i="1" s="1"/>
  <c r="Q1161" i="1" s="1"/>
  <c r="N1160" i="1"/>
  <c r="O1160" i="1" s="1"/>
  <c r="P1160" i="1" s="1"/>
  <c r="Q1160" i="1" s="1"/>
  <c r="N1159" i="1"/>
  <c r="O1159" i="1" s="1"/>
  <c r="N1158" i="1"/>
  <c r="O1158" i="1" s="1"/>
  <c r="P1158" i="1" s="1"/>
  <c r="Q1158" i="1" s="1"/>
  <c r="R1158" i="1" s="1"/>
  <c r="S1158" i="1" s="1"/>
  <c r="N1157" i="1"/>
  <c r="O1157" i="1" s="1"/>
  <c r="N1156" i="1"/>
  <c r="O1156" i="1" s="1"/>
  <c r="N1155" i="1"/>
  <c r="O1155" i="1" s="1"/>
  <c r="N1154" i="1"/>
  <c r="O1154" i="1" s="1"/>
  <c r="N1153" i="1"/>
  <c r="O1153" i="1" s="1"/>
  <c r="N1152" i="1"/>
  <c r="O1152" i="1" s="1"/>
  <c r="P1152" i="1" s="1"/>
  <c r="Q1152" i="1" s="1"/>
  <c r="R1152" i="1" s="1"/>
  <c r="S1152" i="1" s="1"/>
  <c r="N1151" i="1"/>
  <c r="O1151" i="1" s="1"/>
  <c r="N1150" i="1"/>
  <c r="O1150" i="1" s="1"/>
  <c r="P1150" i="1" s="1"/>
  <c r="Q1150" i="1" s="1"/>
  <c r="N1149" i="1"/>
  <c r="O1149" i="1" s="1"/>
  <c r="N1148" i="1"/>
  <c r="O1148" i="1" s="1"/>
  <c r="P1148" i="1" s="1"/>
  <c r="Q1148" i="1" s="1"/>
  <c r="N1147" i="1"/>
  <c r="O1147" i="1" s="1"/>
  <c r="N1146" i="1"/>
  <c r="O1146" i="1" s="1"/>
  <c r="N1145" i="1"/>
  <c r="O1145" i="1" s="1"/>
  <c r="N1144" i="1"/>
  <c r="O1144" i="1" s="1"/>
  <c r="N1143" i="1"/>
  <c r="O1143" i="1" s="1"/>
  <c r="P1143" i="1" s="1"/>
  <c r="Q1143" i="1" s="1"/>
  <c r="N1142" i="1"/>
  <c r="O1142" i="1" s="1"/>
  <c r="P1142" i="1" s="1"/>
  <c r="Q1142" i="1" s="1"/>
  <c r="R1142" i="1" s="1"/>
  <c r="S1142" i="1" s="1"/>
  <c r="N1141" i="1"/>
  <c r="O1141" i="1" s="1"/>
  <c r="P1141" i="1" s="1"/>
  <c r="Q1141" i="1" s="1"/>
  <c r="N1140" i="1"/>
  <c r="O1140" i="1" s="1"/>
  <c r="N1139" i="1"/>
  <c r="O1139" i="1" s="1"/>
  <c r="N1138" i="1"/>
  <c r="O1138" i="1" s="1"/>
  <c r="P1138" i="1" s="1"/>
  <c r="Q1138" i="1" s="1"/>
  <c r="R1138" i="1" s="1"/>
  <c r="S1138" i="1" s="1"/>
  <c r="N1137" i="1"/>
  <c r="O1137" i="1" s="1"/>
  <c r="P1137" i="1" s="1"/>
  <c r="Q1137" i="1" s="1"/>
  <c r="R1137" i="1" s="1"/>
  <c r="S1137" i="1" s="1"/>
  <c r="N1136" i="1"/>
  <c r="O1136" i="1" s="1"/>
  <c r="N1135" i="1"/>
  <c r="O1135" i="1" s="1"/>
  <c r="P1135" i="1" s="1"/>
  <c r="Q1135" i="1" s="1"/>
  <c r="R1135" i="1" s="1"/>
  <c r="S1135" i="1" s="1"/>
  <c r="N1134" i="1"/>
  <c r="O1134" i="1" s="1"/>
  <c r="N1133" i="1"/>
  <c r="O1133" i="1" s="1"/>
  <c r="N1132" i="1"/>
  <c r="O1132" i="1" s="1"/>
  <c r="P1132" i="1" s="1"/>
  <c r="Q1132" i="1" s="1"/>
  <c r="N1131" i="1"/>
  <c r="O1131" i="1" s="1"/>
  <c r="N1130" i="1"/>
  <c r="O1130" i="1" s="1"/>
  <c r="P1130" i="1" s="1"/>
  <c r="Q1130" i="1" s="1"/>
  <c r="R1130" i="1" s="1"/>
  <c r="S1130" i="1" s="1"/>
  <c r="N1129" i="1"/>
  <c r="O1129" i="1" s="1"/>
  <c r="P1129" i="1" s="1"/>
  <c r="Q1129" i="1" s="1"/>
  <c r="N1128" i="1"/>
  <c r="O1128" i="1" s="1"/>
  <c r="N1127" i="1"/>
  <c r="O1127" i="1" s="1"/>
  <c r="N1126" i="1"/>
  <c r="O1126" i="1" s="1"/>
  <c r="N1125" i="1"/>
  <c r="O1125" i="1" s="1"/>
  <c r="N1124" i="1"/>
  <c r="O1124" i="1" s="1"/>
  <c r="P1124" i="1" s="1"/>
  <c r="Q1124" i="1" s="1"/>
  <c r="N1123" i="1"/>
  <c r="O1123" i="1" s="1"/>
  <c r="N1122" i="1"/>
  <c r="O1122" i="1" s="1"/>
  <c r="N1121" i="1"/>
  <c r="O1121" i="1" s="1"/>
  <c r="N1120" i="1"/>
  <c r="O1120" i="1" s="1"/>
  <c r="N1119" i="1"/>
  <c r="O1119" i="1" s="1"/>
  <c r="P1119" i="1" s="1"/>
  <c r="Q1119" i="1" s="1"/>
  <c r="N1118" i="1"/>
  <c r="O1118" i="1" s="1"/>
  <c r="P1118" i="1" s="1"/>
  <c r="Q1118" i="1" s="1"/>
  <c r="R1118" i="1" s="1"/>
  <c r="S1118" i="1" s="1"/>
  <c r="N1117" i="1"/>
  <c r="O1117" i="1" s="1"/>
  <c r="N1116" i="1"/>
  <c r="O1116" i="1" s="1"/>
  <c r="N1115" i="1"/>
  <c r="O1115" i="1" s="1"/>
  <c r="N1114" i="1"/>
  <c r="O1114" i="1" s="1"/>
  <c r="P1114" i="1" s="1"/>
  <c r="Q1114" i="1" s="1"/>
  <c r="N1113" i="1"/>
  <c r="O1113" i="1" s="1"/>
  <c r="N1112" i="1"/>
  <c r="O1112" i="1" s="1"/>
  <c r="P1112" i="1" s="1"/>
  <c r="Q1112" i="1" s="1"/>
  <c r="N1111" i="1"/>
  <c r="O1111" i="1" s="1"/>
  <c r="N1110" i="1"/>
  <c r="O1110" i="1" s="1"/>
  <c r="P1110" i="1" s="1"/>
  <c r="Q1110" i="1" s="1"/>
  <c r="N1109" i="1"/>
  <c r="O1109" i="1" s="1"/>
  <c r="N1108" i="1"/>
  <c r="O1108" i="1" s="1"/>
  <c r="N1107" i="1"/>
  <c r="O1107" i="1" s="1"/>
  <c r="N1106" i="1"/>
  <c r="O1106" i="1" s="1"/>
  <c r="N1105" i="1"/>
  <c r="O1105" i="1" s="1"/>
  <c r="P1105" i="1" s="1"/>
  <c r="Q1105" i="1" s="1"/>
  <c r="N1104" i="1"/>
  <c r="O1104" i="1" s="1"/>
  <c r="N1103" i="1"/>
  <c r="O1103" i="1" s="1"/>
  <c r="P1103" i="1" s="1"/>
  <c r="Q1103" i="1" s="1"/>
  <c r="N1102" i="1"/>
  <c r="O1102" i="1" s="1"/>
  <c r="N1101" i="1"/>
  <c r="O1101" i="1" s="1"/>
  <c r="N1100" i="1"/>
  <c r="O1100" i="1" s="1"/>
  <c r="N1099" i="1"/>
  <c r="O1099" i="1" s="1"/>
  <c r="P1099" i="1" s="1"/>
  <c r="Q1099" i="1" s="1"/>
  <c r="N1098" i="1"/>
  <c r="O1098" i="1" s="1"/>
  <c r="P1098" i="1" s="1"/>
  <c r="Q1098" i="1" s="1"/>
  <c r="N1097" i="1"/>
  <c r="O1097" i="1" s="1"/>
  <c r="N1096" i="1"/>
  <c r="O1096" i="1" s="1"/>
  <c r="N1095" i="1"/>
  <c r="O1095" i="1" s="1"/>
  <c r="N1094" i="1"/>
  <c r="O1094" i="1" s="1"/>
  <c r="P1094" i="1" s="1"/>
  <c r="Q1094" i="1" s="1"/>
  <c r="N1093" i="1"/>
  <c r="O1093" i="1" s="1"/>
  <c r="N1092" i="1"/>
  <c r="O1092" i="1" s="1"/>
  <c r="N1091" i="1"/>
  <c r="O1091" i="1" s="1"/>
  <c r="N1090" i="1"/>
  <c r="O1090" i="1" s="1"/>
  <c r="P1090" i="1" s="1"/>
  <c r="Q1090" i="1" s="1"/>
  <c r="N1089" i="1"/>
  <c r="O1089" i="1" s="1"/>
  <c r="P1089" i="1" s="1"/>
  <c r="Q1089" i="1" s="1"/>
  <c r="N1088" i="1"/>
  <c r="O1088" i="1" s="1"/>
  <c r="N1087" i="1"/>
  <c r="O1087" i="1" s="1"/>
  <c r="P1087" i="1" s="1"/>
  <c r="Q1087" i="1" s="1"/>
  <c r="N1086" i="1"/>
  <c r="O1086" i="1" s="1"/>
  <c r="P1086" i="1" s="1"/>
  <c r="Q1086" i="1" s="1"/>
  <c r="R1086" i="1" s="1"/>
  <c r="S1086" i="1" s="1"/>
  <c r="N1085" i="1"/>
  <c r="O1085" i="1" s="1"/>
  <c r="P1085" i="1" s="1"/>
  <c r="Q1085" i="1" s="1"/>
  <c r="N1084" i="1"/>
  <c r="O1084" i="1" s="1"/>
  <c r="N1083" i="1"/>
  <c r="O1083" i="1" s="1"/>
  <c r="P1083" i="1" s="1"/>
  <c r="Q1083" i="1" s="1"/>
  <c r="R1083" i="1" s="1"/>
  <c r="S1083" i="1" s="1"/>
  <c r="N1082" i="1"/>
  <c r="O1082" i="1" s="1"/>
  <c r="P1082" i="1" s="1"/>
  <c r="Q1082" i="1" s="1"/>
  <c r="N1081" i="1"/>
  <c r="O1081" i="1" s="1"/>
  <c r="P1081" i="1" s="1"/>
  <c r="Q1081" i="1" s="1"/>
  <c r="N1080" i="1"/>
  <c r="O1080" i="1" s="1"/>
  <c r="N1079" i="1"/>
  <c r="O1079" i="1" s="1"/>
  <c r="P1079" i="1" s="1"/>
  <c r="Q1079" i="1" s="1"/>
  <c r="R1079" i="1" s="1"/>
  <c r="S1079" i="1" s="1"/>
  <c r="N1078" i="1"/>
  <c r="O1078" i="1" s="1"/>
  <c r="N1077" i="1"/>
  <c r="O1077" i="1" s="1"/>
  <c r="N1076" i="1"/>
  <c r="O1076" i="1" s="1"/>
  <c r="N1075" i="1"/>
  <c r="O1075" i="1" s="1"/>
  <c r="N1074" i="1"/>
  <c r="O1074" i="1" s="1"/>
  <c r="N1073" i="1"/>
  <c r="O1073" i="1" s="1"/>
  <c r="P1073" i="1" s="1"/>
  <c r="Q1073" i="1" s="1"/>
  <c r="R1073" i="1" s="1"/>
  <c r="S1073" i="1" s="1"/>
  <c r="N1072" i="1"/>
  <c r="O1072" i="1" s="1"/>
  <c r="P1072" i="1" s="1"/>
  <c r="Q1072" i="1" s="1"/>
  <c r="N1071" i="1"/>
  <c r="O1071" i="1" s="1"/>
  <c r="N1070" i="1"/>
  <c r="O1070" i="1" s="1"/>
  <c r="N1069" i="1"/>
  <c r="O1069" i="1" s="1"/>
  <c r="N1068" i="1"/>
  <c r="O1068" i="1" s="1"/>
  <c r="N1067" i="1"/>
  <c r="O1067" i="1" s="1"/>
  <c r="N1066" i="1"/>
  <c r="O1066" i="1" s="1"/>
  <c r="P1066" i="1" s="1"/>
  <c r="Q1066" i="1" s="1"/>
  <c r="N1065" i="1"/>
  <c r="O1065" i="1" s="1"/>
  <c r="N1064" i="1"/>
  <c r="O1064" i="1" s="1"/>
  <c r="N1063" i="1"/>
  <c r="O1063" i="1" s="1"/>
  <c r="P1063" i="1" s="1"/>
  <c r="Q1063" i="1" s="1"/>
  <c r="R1063" i="1" s="1"/>
  <c r="S1063" i="1" s="1"/>
  <c r="N1062" i="1"/>
  <c r="O1062" i="1" s="1"/>
  <c r="N1061" i="1"/>
  <c r="O1061" i="1" s="1"/>
  <c r="N1060" i="1"/>
  <c r="O1060" i="1" s="1"/>
  <c r="N1059" i="1"/>
  <c r="O1059" i="1" s="1"/>
  <c r="P1059" i="1" s="1"/>
  <c r="Q1059" i="1" s="1"/>
  <c r="R1059" i="1" s="1"/>
  <c r="S1059" i="1" s="1"/>
  <c r="N1058" i="1"/>
  <c r="O1058" i="1" s="1"/>
  <c r="P1058" i="1" s="1"/>
  <c r="Q1058" i="1" s="1"/>
  <c r="N1057" i="1"/>
  <c r="O1057" i="1" s="1"/>
  <c r="P1057" i="1" s="1"/>
  <c r="Q1057" i="1" s="1"/>
  <c r="N1056" i="1"/>
  <c r="O1056" i="1" s="1"/>
  <c r="P1056" i="1" s="1"/>
  <c r="Q1056" i="1" s="1"/>
  <c r="N1055" i="1"/>
  <c r="O1055" i="1" s="1"/>
  <c r="N1054" i="1"/>
  <c r="O1054" i="1" s="1"/>
  <c r="N1053" i="1"/>
  <c r="O1053" i="1" s="1"/>
  <c r="N1052" i="1"/>
  <c r="O1052" i="1" s="1"/>
  <c r="N1051" i="1"/>
  <c r="O1051" i="1" s="1"/>
  <c r="N1050" i="1"/>
  <c r="O1050" i="1" s="1"/>
  <c r="N1049" i="1"/>
  <c r="O1049" i="1" s="1"/>
  <c r="N1048" i="1"/>
  <c r="O1048" i="1" s="1"/>
  <c r="N1047" i="1"/>
  <c r="O1047" i="1" s="1"/>
  <c r="N1046" i="1"/>
  <c r="O1046" i="1" s="1"/>
  <c r="N1045" i="1"/>
  <c r="O1045" i="1" s="1"/>
  <c r="P1045" i="1" s="1"/>
  <c r="Q1045" i="1" s="1"/>
  <c r="N1044" i="1"/>
  <c r="O1044" i="1" s="1"/>
  <c r="N1043" i="1"/>
  <c r="O1043" i="1" s="1"/>
  <c r="P1043" i="1" s="1"/>
  <c r="Q1043" i="1" s="1"/>
  <c r="N1042" i="1"/>
  <c r="O1042" i="1" s="1"/>
  <c r="N1041" i="1"/>
  <c r="O1041" i="1" s="1"/>
  <c r="N1040" i="1"/>
  <c r="O1040" i="1" s="1"/>
  <c r="P1040" i="1" s="1"/>
  <c r="Q1040" i="1" s="1"/>
  <c r="N1039" i="1"/>
  <c r="O1039" i="1" s="1"/>
  <c r="N1038" i="1"/>
  <c r="O1038" i="1" s="1"/>
  <c r="N1037" i="1"/>
  <c r="O1037" i="1" s="1"/>
  <c r="N1036" i="1"/>
  <c r="O1036" i="1" s="1"/>
  <c r="N1035" i="1"/>
  <c r="O1035" i="1" s="1"/>
  <c r="N1034" i="1"/>
  <c r="O1034" i="1" s="1"/>
  <c r="P1034" i="1" s="1"/>
  <c r="Q1034" i="1" s="1"/>
  <c r="N1033" i="1"/>
  <c r="O1033" i="1" s="1"/>
  <c r="N1032" i="1"/>
  <c r="O1032" i="1" s="1"/>
  <c r="N1031" i="1"/>
  <c r="O1031" i="1" s="1"/>
  <c r="N1030" i="1"/>
  <c r="O1030" i="1" s="1"/>
  <c r="P1030" i="1" s="1"/>
  <c r="Q1030" i="1" s="1"/>
  <c r="N1029" i="1"/>
  <c r="O1029" i="1" s="1"/>
  <c r="N1028" i="1"/>
  <c r="O1028" i="1" s="1"/>
  <c r="N1027" i="1"/>
  <c r="O1027" i="1" s="1"/>
  <c r="N1026" i="1"/>
  <c r="O1026" i="1" s="1"/>
  <c r="N1025" i="1"/>
  <c r="O1025" i="1" s="1"/>
  <c r="N1024" i="1"/>
  <c r="O1024" i="1" s="1"/>
  <c r="P1024" i="1" s="1"/>
  <c r="Q1024" i="1" s="1"/>
  <c r="N1023" i="1"/>
  <c r="O1023" i="1" s="1"/>
  <c r="P1023" i="1" s="1"/>
  <c r="Q1023" i="1" s="1"/>
  <c r="R1023" i="1" s="1"/>
  <c r="S1023" i="1" s="1"/>
  <c r="N1022" i="1"/>
  <c r="O1022" i="1" s="1"/>
  <c r="N1021" i="1"/>
  <c r="O1021" i="1" s="1"/>
  <c r="N1020" i="1"/>
  <c r="O1020" i="1" s="1"/>
  <c r="P1020" i="1" s="1"/>
  <c r="Q1020" i="1" s="1"/>
  <c r="N1019" i="1"/>
  <c r="O1019" i="1" s="1"/>
  <c r="N1018" i="1"/>
  <c r="O1018" i="1" s="1"/>
  <c r="P1018" i="1" s="1"/>
  <c r="Q1018" i="1" s="1"/>
  <c r="R1018" i="1" s="1"/>
  <c r="S1018" i="1" s="1"/>
  <c r="N1017" i="1"/>
  <c r="O1017" i="1" s="1"/>
  <c r="P1017" i="1" s="1"/>
  <c r="Q1017" i="1" s="1"/>
  <c r="R1017" i="1" s="1"/>
  <c r="S1017" i="1" s="1"/>
  <c r="N1016" i="1"/>
  <c r="O1016" i="1" s="1"/>
  <c r="P1016" i="1" s="1"/>
  <c r="Q1016" i="1" s="1"/>
  <c r="N1015" i="1"/>
  <c r="O1015" i="1" s="1"/>
  <c r="N1014" i="1"/>
  <c r="O1014" i="1" s="1"/>
  <c r="N1013" i="1"/>
  <c r="O1013" i="1" s="1"/>
  <c r="N1012" i="1"/>
  <c r="O1012" i="1" s="1"/>
  <c r="N1011" i="1"/>
  <c r="O1011" i="1" s="1"/>
  <c r="N1010" i="1"/>
  <c r="O1010" i="1" s="1"/>
  <c r="N1009" i="1"/>
  <c r="O1009" i="1" s="1"/>
  <c r="N1008" i="1"/>
  <c r="O1008" i="1" s="1"/>
  <c r="N1007" i="1"/>
  <c r="O1007" i="1" s="1"/>
  <c r="N1006" i="1"/>
  <c r="O1006" i="1" s="1"/>
  <c r="N1005" i="1"/>
  <c r="O1005" i="1" s="1"/>
  <c r="N1004" i="1"/>
  <c r="O1004" i="1" s="1"/>
  <c r="N1003" i="1"/>
  <c r="O1003" i="1" s="1"/>
  <c r="N1002" i="1"/>
  <c r="O1002" i="1" s="1"/>
  <c r="N1001" i="1"/>
  <c r="O1001" i="1" s="1"/>
  <c r="N1000" i="1"/>
  <c r="O1000" i="1" s="1"/>
  <c r="P1000" i="1" s="1"/>
  <c r="Q1000" i="1" s="1"/>
  <c r="N999" i="1"/>
  <c r="O999" i="1" s="1"/>
  <c r="N998" i="1"/>
  <c r="O998" i="1" s="1"/>
  <c r="P998" i="1" s="1"/>
  <c r="Q998" i="1" s="1"/>
  <c r="N997" i="1"/>
  <c r="O997" i="1" s="1"/>
  <c r="N996" i="1"/>
  <c r="O996" i="1" s="1"/>
  <c r="P996" i="1" s="1"/>
  <c r="Q996" i="1" s="1"/>
  <c r="R996" i="1" s="1"/>
  <c r="S996" i="1" s="1"/>
  <c r="N995" i="1"/>
  <c r="O995" i="1" s="1"/>
  <c r="P995" i="1" s="1"/>
  <c r="Q995" i="1" s="1"/>
  <c r="N994" i="1"/>
  <c r="O994" i="1" s="1"/>
  <c r="N993" i="1"/>
  <c r="O993" i="1" s="1"/>
  <c r="P993" i="1" s="1"/>
  <c r="Q993" i="1" s="1"/>
  <c r="N992" i="1"/>
  <c r="O992" i="1" s="1"/>
  <c r="P992" i="1" s="1"/>
  <c r="Q992" i="1" s="1"/>
  <c r="N991" i="1"/>
  <c r="O991" i="1" s="1"/>
  <c r="N990" i="1"/>
  <c r="O990" i="1" s="1"/>
  <c r="N989" i="1"/>
  <c r="O989" i="1" s="1"/>
  <c r="P989" i="1" s="1"/>
  <c r="Q989" i="1" s="1"/>
  <c r="N988" i="1"/>
  <c r="O988" i="1" s="1"/>
  <c r="N987" i="1"/>
  <c r="O987" i="1" s="1"/>
  <c r="P987" i="1" s="1"/>
  <c r="Q987" i="1" s="1"/>
  <c r="R987" i="1" s="1"/>
  <c r="S987" i="1" s="1"/>
  <c r="N986" i="1"/>
  <c r="O986" i="1" s="1"/>
  <c r="P986" i="1" s="1"/>
  <c r="Q986" i="1" s="1"/>
  <c r="N985" i="1"/>
  <c r="O985" i="1" s="1"/>
  <c r="N984" i="1"/>
  <c r="O984" i="1" s="1"/>
  <c r="P984" i="1" s="1"/>
  <c r="Q984" i="1" s="1"/>
  <c r="N983" i="1"/>
  <c r="O983" i="1" s="1"/>
  <c r="P983" i="1" s="1"/>
  <c r="Q983" i="1" s="1"/>
  <c r="N982" i="1"/>
  <c r="O982" i="1" s="1"/>
  <c r="N981" i="1"/>
  <c r="O981" i="1" s="1"/>
  <c r="N980" i="1"/>
  <c r="O980" i="1" s="1"/>
  <c r="N979" i="1"/>
  <c r="O979" i="1" s="1"/>
  <c r="N978" i="1"/>
  <c r="O978" i="1" s="1"/>
  <c r="N977" i="1"/>
  <c r="O977" i="1" s="1"/>
  <c r="N976" i="1"/>
  <c r="O976" i="1" s="1"/>
  <c r="N975" i="1"/>
  <c r="O975" i="1" s="1"/>
  <c r="N974" i="1"/>
  <c r="O974" i="1" s="1"/>
  <c r="N973" i="1"/>
  <c r="O973" i="1" s="1"/>
  <c r="P973" i="1" s="1"/>
  <c r="Q973" i="1" s="1"/>
  <c r="N972" i="1"/>
  <c r="O972" i="1" s="1"/>
  <c r="N971" i="1"/>
  <c r="O971" i="1" s="1"/>
  <c r="N970" i="1"/>
  <c r="O970" i="1" s="1"/>
  <c r="N969" i="1"/>
  <c r="O969" i="1" s="1"/>
  <c r="N968" i="1"/>
  <c r="O968" i="1" s="1"/>
  <c r="N967" i="1"/>
  <c r="O967" i="1" s="1"/>
  <c r="N966" i="1"/>
  <c r="O966" i="1" s="1"/>
  <c r="N965" i="1"/>
  <c r="O965" i="1" s="1"/>
  <c r="N964" i="1"/>
  <c r="O964" i="1" s="1"/>
  <c r="N963" i="1"/>
  <c r="O963" i="1" s="1"/>
  <c r="N962" i="1"/>
  <c r="O962" i="1" s="1"/>
  <c r="N961" i="1"/>
  <c r="O961" i="1" s="1"/>
  <c r="P961" i="1" s="1"/>
  <c r="Q961" i="1" s="1"/>
  <c r="N960" i="1"/>
  <c r="O960" i="1" s="1"/>
  <c r="N959" i="1"/>
  <c r="O959" i="1" s="1"/>
  <c r="N958" i="1"/>
  <c r="O958" i="1" s="1"/>
  <c r="P958" i="1" s="1"/>
  <c r="Q958" i="1" s="1"/>
  <c r="R958" i="1" s="1"/>
  <c r="S958" i="1" s="1"/>
  <c r="N957" i="1"/>
  <c r="O957" i="1" s="1"/>
  <c r="N956" i="1"/>
  <c r="O956" i="1" s="1"/>
  <c r="N955" i="1"/>
  <c r="O955" i="1" s="1"/>
  <c r="N954" i="1"/>
  <c r="O954" i="1" s="1"/>
  <c r="P954" i="1" s="1"/>
  <c r="Q954" i="1" s="1"/>
  <c r="N953" i="1"/>
  <c r="O953" i="1" s="1"/>
  <c r="N952" i="1"/>
  <c r="O952" i="1" s="1"/>
  <c r="N951" i="1"/>
  <c r="O951" i="1" s="1"/>
  <c r="N950" i="1"/>
  <c r="O950" i="1" s="1"/>
  <c r="N949" i="1"/>
  <c r="O949" i="1" s="1"/>
  <c r="N948" i="1"/>
  <c r="O948" i="1" s="1"/>
  <c r="N947" i="1"/>
  <c r="O947" i="1" s="1"/>
  <c r="P947" i="1" s="1"/>
  <c r="Q947" i="1" s="1"/>
  <c r="N946" i="1"/>
  <c r="O946" i="1" s="1"/>
  <c r="N945" i="1"/>
  <c r="O945" i="1" s="1"/>
  <c r="N944" i="1"/>
  <c r="O944" i="1" s="1"/>
  <c r="N943" i="1"/>
  <c r="O943" i="1" s="1"/>
  <c r="N942" i="1"/>
  <c r="O942" i="1" s="1"/>
  <c r="N941" i="1"/>
  <c r="O941" i="1" s="1"/>
  <c r="P941" i="1" s="1"/>
  <c r="Q941" i="1" s="1"/>
  <c r="R941" i="1" s="1"/>
  <c r="S941" i="1" s="1"/>
  <c r="N940" i="1"/>
  <c r="O940" i="1" s="1"/>
  <c r="N939" i="1"/>
  <c r="O939" i="1" s="1"/>
  <c r="N938" i="1"/>
  <c r="O938" i="1" s="1"/>
  <c r="P938" i="1" s="1"/>
  <c r="Q938" i="1" s="1"/>
  <c r="R938" i="1" s="1"/>
  <c r="S938" i="1" s="1"/>
  <c r="N937" i="1"/>
  <c r="O937" i="1" s="1"/>
  <c r="N936" i="1"/>
  <c r="O936" i="1" s="1"/>
  <c r="P936" i="1" s="1"/>
  <c r="Q936" i="1" s="1"/>
  <c r="N935" i="1"/>
  <c r="O935" i="1" s="1"/>
  <c r="P935" i="1" s="1"/>
  <c r="Q935" i="1" s="1"/>
  <c r="R935" i="1" s="1"/>
  <c r="S935" i="1" s="1"/>
  <c r="N934" i="1"/>
  <c r="O934" i="1" s="1"/>
  <c r="N933" i="1"/>
  <c r="O933" i="1" s="1"/>
  <c r="N932" i="1"/>
  <c r="O932" i="1" s="1"/>
  <c r="P932" i="1" s="1"/>
  <c r="Q932" i="1" s="1"/>
  <c r="R932" i="1" s="1"/>
  <c r="S932" i="1" s="1"/>
  <c r="N931" i="1"/>
  <c r="O931" i="1" s="1"/>
  <c r="N930" i="1"/>
  <c r="O930" i="1" s="1"/>
  <c r="N929" i="1"/>
  <c r="O929" i="1" s="1"/>
  <c r="P929" i="1" s="1"/>
  <c r="Q929" i="1" s="1"/>
  <c r="R929" i="1" s="1"/>
  <c r="S929" i="1" s="1"/>
  <c r="N928" i="1"/>
  <c r="O928" i="1" s="1"/>
  <c r="N927" i="1"/>
  <c r="O927" i="1" s="1"/>
  <c r="P927" i="1" s="1"/>
  <c r="Q927" i="1" s="1"/>
  <c r="N926" i="1"/>
  <c r="O926" i="1" s="1"/>
  <c r="P926" i="1" s="1"/>
  <c r="Q926" i="1" s="1"/>
  <c r="R926" i="1" s="1"/>
  <c r="S926" i="1" s="1"/>
  <c r="N925" i="1"/>
  <c r="O925" i="1" s="1"/>
  <c r="N924" i="1"/>
  <c r="O924" i="1" s="1"/>
  <c r="N923" i="1"/>
  <c r="O923" i="1" s="1"/>
  <c r="P923" i="1" s="1"/>
  <c r="Q923" i="1" s="1"/>
  <c r="N922" i="1"/>
  <c r="O922" i="1" s="1"/>
  <c r="N921" i="1"/>
  <c r="O921" i="1" s="1"/>
  <c r="N920" i="1"/>
  <c r="O920" i="1" s="1"/>
  <c r="P920" i="1" s="1"/>
  <c r="Q920" i="1" s="1"/>
  <c r="N919" i="1"/>
  <c r="O919" i="1" s="1"/>
  <c r="N918" i="1"/>
  <c r="O918" i="1" s="1"/>
  <c r="P918" i="1" s="1"/>
  <c r="Q918" i="1" s="1"/>
  <c r="R918" i="1" s="1"/>
  <c r="S918" i="1" s="1"/>
  <c r="N917" i="1"/>
  <c r="O917" i="1" s="1"/>
  <c r="N916" i="1"/>
  <c r="O916" i="1" s="1"/>
  <c r="N915" i="1"/>
  <c r="O915" i="1" s="1"/>
  <c r="P915" i="1" s="1"/>
  <c r="Q915" i="1" s="1"/>
  <c r="R915" i="1" s="1"/>
  <c r="S915" i="1" s="1"/>
  <c r="N914" i="1"/>
  <c r="O914" i="1" s="1"/>
  <c r="N913" i="1"/>
  <c r="O913" i="1" s="1"/>
  <c r="N912" i="1"/>
  <c r="O912" i="1" s="1"/>
  <c r="P912" i="1" s="1"/>
  <c r="Q912" i="1" s="1"/>
  <c r="N911" i="1"/>
  <c r="O911" i="1" s="1"/>
  <c r="N910" i="1"/>
  <c r="O910" i="1" s="1"/>
  <c r="N909" i="1"/>
  <c r="O909" i="1" s="1"/>
  <c r="N908" i="1"/>
  <c r="O908" i="1" s="1"/>
  <c r="N907" i="1"/>
  <c r="O907" i="1" s="1"/>
  <c r="P907" i="1" s="1"/>
  <c r="Q907" i="1" s="1"/>
  <c r="N906" i="1"/>
  <c r="O906" i="1" s="1"/>
  <c r="N905" i="1"/>
  <c r="O905" i="1" s="1"/>
  <c r="N904" i="1"/>
  <c r="O904" i="1" s="1"/>
  <c r="N903" i="1"/>
  <c r="O903" i="1" s="1"/>
  <c r="N902" i="1"/>
  <c r="O902" i="1" s="1"/>
  <c r="N901" i="1"/>
  <c r="O901" i="1" s="1"/>
  <c r="N900" i="1"/>
  <c r="O900" i="1" s="1"/>
  <c r="N899" i="1"/>
  <c r="O899" i="1" s="1"/>
  <c r="P899" i="1" s="1"/>
  <c r="Q899" i="1" s="1"/>
  <c r="R899" i="1" s="1"/>
  <c r="S899" i="1" s="1"/>
  <c r="N898" i="1"/>
  <c r="O898" i="1" s="1"/>
  <c r="P898" i="1" s="1"/>
  <c r="Q898" i="1" s="1"/>
  <c r="N897" i="1"/>
  <c r="O897" i="1" s="1"/>
  <c r="P897" i="1" s="1"/>
  <c r="Q897" i="1" s="1"/>
  <c r="N896" i="1"/>
  <c r="O896" i="1" s="1"/>
  <c r="N895" i="1"/>
  <c r="O895" i="1" s="1"/>
  <c r="N894" i="1"/>
  <c r="O894" i="1" s="1"/>
  <c r="P894" i="1" s="1"/>
  <c r="Q894" i="1" s="1"/>
  <c r="R894" i="1" s="1"/>
  <c r="S894" i="1" s="1"/>
  <c r="N893" i="1"/>
  <c r="O893" i="1" s="1"/>
  <c r="N892" i="1"/>
  <c r="O892" i="1" s="1"/>
  <c r="N891" i="1"/>
  <c r="O891" i="1" s="1"/>
  <c r="N890" i="1"/>
  <c r="O890" i="1" s="1"/>
  <c r="N889" i="1"/>
  <c r="O889" i="1" s="1"/>
  <c r="N888" i="1"/>
  <c r="O888" i="1" s="1"/>
  <c r="N887" i="1"/>
  <c r="O887" i="1" s="1"/>
  <c r="N886" i="1"/>
  <c r="O886" i="1" s="1"/>
  <c r="N885" i="1"/>
  <c r="O885" i="1" s="1"/>
  <c r="P885" i="1" s="1"/>
  <c r="Q885" i="1" s="1"/>
  <c r="N884" i="1"/>
  <c r="O884" i="1" s="1"/>
  <c r="N883" i="1"/>
  <c r="O883" i="1" s="1"/>
  <c r="N882" i="1"/>
  <c r="O882" i="1" s="1"/>
  <c r="P882" i="1" s="1"/>
  <c r="Q882" i="1" s="1"/>
  <c r="N881" i="1"/>
  <c r="O881" i="1" s="1"/>
  <c r="P881" i="1" s="1"/>
  <c r="Q881" i="1" s="1"/>
  <c r="R881" i="1" s="1"/>
  <c r="S881" i="1" s="1"/>
  <c r="N880" i="1"/>
  <c r="O880" i="1" s="1"/>
  <c r="N879" i="1"/>
  <c r="O879" i="1" s="1"/>
  <c r="N878" i="1"/>
  <c r="O878" i="1" s="1"/>
  <c r="N877" i="1"/>
  <c r="O877" i="1" s="1"/>
  <c r="P877" i="1" s="1"/>
  <c r="Q877" i="1" s="1"/>
  <c r="N876" i="1"/>
  <c r="O876" i="1" s="1"/>
  <c r="P876" i="1" s="1"/>
  <c r="Q876" i="1" s="1"/>
  <c r="N875" i="1"/>
  <c r="O875" i="1" s="1"/>
  <c r="P875" i="1" s="1"/>
  <c r="Q875" i="1" s="1"/>
  <c r="R875" i="1" s="1"/>
  <c r="S875" i="1" s="1"/>
  <c r="N874" i="1"/>
  <c r="O874" i="1" s="1"/>
  <c r="N873" i="1"/>
  <c r="O873" i="1" s="1"/>
  <c r="N872" i="1"/>
  <c r="O872" i="1" s="1"/>
  <c r="N871" i="1"/>
  <c r="O871" i="1" s="1"/>
  <c r="N870" i="1"/>
  <c r="O870" i="1" s="1"/>
  <c r="N869" i="1"/>
  <c r="O869" i="1" s="1"/>
  <c r="P869" i="1" s="1"/>
  <c r="Q869" i="1" s="1"/>
  <c r="N868" i="1"/>
  <c r="O868" i="1" s="1"/>
  <c r="N867" i="1"/>
  <c r="O867" i="1" s="1"/>
  <c r="N866" i="1"/>
  <c r="O866" i="1" s="1"/>
  <c r="N865" i="1"/>
  <c r="O865" i="1" s="1"/>
  <c r="N864" i="1"/>
  <c r="O864" i="1" s="1"/>
  <c r="P864" i="1" s="1"/>
  <c r="Q864" i="1" s="1"/>
  <c r="N863" i="1"/>
  <c r="O863" i="1" s="1"/>
  <c r="N862" i="1"/>
  <c r="O862" i="1" s="1"/>
  <c r="N861" i="1"/>
  <c r="O861" i="1" s="1"/>
  <c r="P861" i="1" s="1"/>
  <c r="Q861" i="1" s="1"/>
  <c r="R861" i="1" s="1"/>
  <c r="S861" i="1" s="1"/>
  <c r="N860" i="1"/>
  <c r="O860" i="1" s="1"/>
  <c r="N859" i="1"/>
  <c r="O859" i="1" s="1"/>
  <c r="N858" i="1"/>
  <c r="O858" i="1" s="1"/>
  <c r="N857" i="1"/>
  <c r="O857" i="1" s="1"/>
  <c r="N856" i="1"/>
  <c r="O856" i="1" s="1"/>
  <c r="N855" i="1"/>
  <c r="O855" i="1" s="1"/>
  <c r="N854" i="1"/>
  <c r="O854" i="1" s="1"/>
  <c r="N853" i="1"/>
  <c r="O853" i="1" s="1"/>
  <c r="N852" i="1"/>
  <c r="O852" i="1" s="1"/>
  <c r="N851" i="1"/>
  <c r="O851" i="1" s="1"/>
  <c r="P851" i="1" s="1"/>
  <c r="Q851" i="1" s="1"/>
  <c r="N850" i="1"/>
  <c r="O850" i="1" s="1"/>
  <c r="N849" i="1"/>
  <c r="O849" i="1" s="1"/>
  <c r="P849" i="1" s="1"/>
  <c r="Q849" i="1" s="1"/>
  <c r="N848" i="1"/>
  <c r="O848" i="1" s="1"/>
  <c r="N847" i="1"/>
  <c r="O847" i="1" s="1"/>
  <c r="P847" i="1" s="1"/>
  <c r="Q847" i="1" s="1"/>
  <c r="R847" i="1" s="1"/>
  <c r="S847" i="1" s="1"/>
  <c r="N846" i="1"/>
  <c r="O846" i="1" s="1"/>
  <c r="N845" i="1"/>
  <c r="O845" i="1" s="1"/>
  <c r="N844" i="1"/>
  <c r="O844" i="1" s="1"/>
  <c r="P844" i="1" s="1"/>
  <c r="Q844" i="1" s="1"/>
  <c r="R844" i="1" s="1"/>
  <c r="S844" i="1" s="1"/>
  <c r="N843" i="1"/>
  <c r="O843" i="1" s="1"/>
  <c r="N842" i="1"/>
  <c r="O842" i="1" s="1"/>
  <c r="N841" i="1"/>
  <c r="O841" i="1" s="1"/>
  <c r="N840" i="1"/>
  <c r="O840" i="1" s="1"/>
  <c r="P840" i="1" s="1"/>
  <c r="Q840" i="1" s="1"/>
  <c r="N839" i="1"/>
  <c r="O839" i="1" s="1"/>
  <c r="N838" i="1"/>
  <c r="O838" i="1" s="1"/>
  <c r="P838" i="1" s="1"/>
  <c r="Q838" i="1" s="1"/>
  <c r="R838" i="1" s="1"/>
  <c r="S838" i="1" s="1"/>
  <c r="N837" i="1"/>
  <c r="O837" i="1" s="1"/>
  <c r="P837" i="1" s="1"/>
  <c r="Q837" i="1" s="1"/>
  <c r="N836" i="1"/>
  <c r="O836" i="1" s="1"/>
  <c r="N835" i="1"/>
  <c r="O835" i="1" s="1"/>
  <c r="N834" i="1"/>
  <c r="O834" i="1" s="1"/>
  <c r="N833" i="1"/>
  <c r="O833" i="1" s="1"/>
  <c r="N832" i="1"/>
  <c r="O832" i="1" s="1"/>
  <c r="P832" i="1" s="1"/>
  <c r="Q832" i="1" s="1"/>
  <c r="N831" i="1"/>
  <c r="O831" i="1" s="1"/>
  <c r="N830" i="1"/>
  <c r="O830" i="1" s="1"/>
  <c r="P830" i="1" s="1"/>
  <c r="Q830" i="1" s="1"/>
  <c r="N829" i="1"/>
  <c r="O829" i="1" s="1"/>
  <c r="N828" i="1"/>
  <c r="O828" i="1" s="1"/>
  <c r="P828" i="1" s="1"/>
  <c r="Q828" i="1" s="1"/>
  <c r="N827" i="1"/>
  <c r="O827" i="1" s="1"/>
  <c r="N826" i="1"/>
  <c r="O826" i="1" s="1"/>
  <c r="N825" i="1"/>
  <c r="O825" i="1" s="1"/>
  <c r="N824" i="1"/>
  <c r="O824" i="1" s="1"/>
  <c r="P824" i="1" s="1"/>
  <c r="Q824" i="1" s="1"/>
  <c r="R824" i="1" s="1"/>
  <c r="S824" i="1" s="1"/>
  <c r="N823" i="1"/>
  <c r="O823" i="1" s="1"/>
  <c r="N822" i="1"/>
  <c r="O822" i="1" s="1"/>
  <c r="P822" i="1" s="1"/>
  <c r="Q822" i="1" s="1"/>
  <c r="N821" i="1"/>
  <c r="O821" i="1" s="1"/>
  <c r="P821" i="1" s="1"/>
  <c r="Q821" i="1" s="1"/>
  <c r="N704" i="1"/>
  <c r="O704" i="1" s="1"/>
  <c r="P704" i="1" s="1"/>
  <c r="Q704" i="1" s="1"/>
  <c r="N703" i="1"/>
  <c r="O703" i="1" s="1"/>
  <c r="N699" i="1"/>
  <c r="O699" i="1" s="1"/>
  <c r="P699" i="1" s="1"/>
  <c r="Q699" i="1" s="1"/>
  <c r="R699" i="1" s="1"/>
  <c r="S699" i="1" s="1"/>
  <c r="N698" i="1"/>
  <c r="O698" i="1" s="1"/>
  <c r="N697" i="1"/>
  <c r="O697" i="1" s="1"/>
  <c r="P697" i="1" s="1"/>
  <c r="Q697" i="1" s="1"/>
  <c r="N696" i="1"/>
  <c r="O696" i="1" s="1"/>
  <c r="P696" i="1" s="1"/>
  <c r="Q696" i="1" s="1"/>
  <c r="N695" i="1"/>
  <c r="O695" i="1" s="1"/>
  <c r="P695" i="1" s="1"/>
  <c r="Q695" i="1" s="1"/>
  <c r="N694" i="1"/>
  <c r="O694" i="1" s="1"/>
  <c r="N693" i="1"/>
  <c r="O693" i="1" s="1"/>
  <c r="N692" i="1"/>
  <c r="O692" i="1" s="1"/>
  <c r="N691" i="1"/>
  <c r="O691" i="1" s="1"/>
  <c r="N690" i="1"/>
  <c r="O690" i="1" s="1"/>
  <c r="P690" i="1" s="1"/>
  <c r="Q690" i="1" s="1"/>
  <c r="N689" i="1"/>
  <c r="O689" i="1" s="1"/>
  <c r="P689" i="1" s="1"/>
  <c r="Q689" i="1" s="1"/>
  <c r="N688" i="1"/>
  <c r="O688" i="1" s="1"/>
  <c r="N687" i="1"/>
  <c r="O687" i="1" s="1"/>
  <c r="N686" i="1"/>
  <c r="O686" i="1" s="1"/>
  <c r="N685" i="1"/>
  <c r="O685" i="1" s="1"/>
  <c r="P685" i="1" s="1"/>
  <c r="Q685" i="1" s="1"/>
  <c r="R685" i="1" s="1"/>
  <c r="S685" i="1" s="1"/>
  <c r="N684" i="1"/>
  <c r="O684" i="1" s="1"/>
  <c r="N683" i="1"/>
  <c r="O683" i="1" s="1"/>
  <c r="N682" i="1"/>
  <c r="O682" i="1" s="1"/>
  <c r="P682" i="1" s="1"/>
  <c r="Q682" i="1" s="1"/>
  <c r="R682" i="1" s="1"/>
  <c r="S682" i="1" s="1"/>
  <c r="N681" i="1"/>
  <c r="O681" i="1" s="1"/>
  <c r="P681" i="1" s="1"/>
  <c r="Q681" i="1" s="1"/>
  <c r="N680" i="1"/>
  <c r="O680" i="1" s="1"/>
  <c r="P680" i="1" s="1"/>
  <c r="Q680" i="1" s="1"/>
  <c r="N679" i="1"/>
  <c r="O679" i="1" s="1"/>
  <c r="P679" i="1" s="1"/>
  <c r="Q679" i="1" s="1"/>
  <c r="R679" i="1" s="1"/>
  <c r="S679" i="1" s="1"/>
  <c r="N678" i="1"/>
  <c r="O678" i="1" s="1"/>
  <c r="N677" i="1"/>
  <c r="O677" i="1" s="1"/>
  <c r="N676" i="1"/>
  <c r="O676" i="1" s="1"/>
  <c r="N675" i="1"/>
  <c r="O675" i="1" s="1"/>
  <c r="N674" i="1"/>
  <c r="O674" i="1" s="1"/>
  <c r="N673" i="1"/>
  <c r="O673" i="1" s="1"/>
  <c r="P673" i="1" s="1"/>
  <c r="Q673" i="1" s="1"/>
  <c r="R673" i="1" s="1"/>
  <c r="S673" i="1" s="1"/>
  <c r="N672" i="1"/>
  <c r="O672" i="1" s="1"/>
  <c r="P672" i="1" s="1"/>
  <c r="Q672" i="1" s="1"/>
  <c r="N671" i="1"/>
  <c r="O671" i="1" s="1"/>
  <c r="N670" i="1"/>
  <c r="O670" i="1" s="1"/>
  <c r="P670" i="1" s="1"/>
  <c r="Q670" i="1" s="1"/>
  <c r="N669" i="1"/>
  <c r="O669" i="1" s="1"/>
  <c r="P669" i="1" s="1"/>
  <c r="Q669" i="1" s="1"/>
  <c r="R669" i="1" s="1"/>
  <c r="S669" i="1" s="1"/>
  <c r="N668" i="1"/>
  <c r="O668" i="1" s="1"/>
  <c r="P668" i="1" s="1"/>
  <c r="Q668" i="1" s="1"/>
  <c r="R668" i="1" s="1"/>
  <c r="S668" i="1" s="1"/>
  <c r="N667" i="1"/>
  <c r="O667" i="1" s="1"/>
  <c r="N443" i="1"/>
  <c r="O443" i="1" s="1"/>
  <c r="N624" i="1"/>
  <c r="O624" i="1" s="1"/>
  <c r="P624" i="1" s="1"/>
  <c r="Q624" i="1" s="1"/>
  <c r="R624" i="1" s="1"/>
  <c r="S624" i="1" s="1"/>
  <c r="N623" i="1"/>
  <c r="O623" i="1" s="1"/>
  <c r="N622" i="1"/>
  <c r="O622" i="1" s="1"/>
  <c r="N621" i="1"/>
  <c r="O621" i="1" s="1"/>
  <c r="N620" i="1"/>
  <c r="O620" i="1" s="1"/>
  <c r="N619" i="1"/>
  <c r="O619" i="1" s="1"/>
  <c r="N618" i="1"/>
  <c r="O618" i="1" s="1"/>
  <c r="N617" i="1"/>
  <c r="O617" i="1" s="1"/>
  <c r="N616" i="1"/>
  <c r="O616" i="1" s="1"/>
  <c r="N615" i="1"/>
  <c r="O615" i="1" s="1"/>
  <c r="N614" i="1"/>
  <c r="O614" i="1" s="1"/>
  <c r="N613" i="1"/>
  <c r="O613" i="1" s="1"/>
  <c r="N612" i="1"/>
  <c r="O612" i="1" s="1"/>
  <c r="N611" i="1"/>
  <c r="O611" i="1" s="1"/>
  <c r="N610" i="1"/>
  <c r="O610" i="1" s="1"/>
  <c r="P610" i="1" s="1"/>
  <c r="Q610" i="1" s="1"/>
  <c r="N609" i="1"/>
  <c r="O609" i="1" s="1"/>
  <c r="P609" i="1" s="1"/>
  <c r="Q609" i="1" s="1"/>
  <c r="R609" i="1" s="1"/>
  <c r="S609" i="1" s="1"/>
  <c r="N608" i="1"/>
  <c r="O608" i="1" s="1"/>
  <c r="N607" i="1"/>
  <c r="O607" i="1" s="1"/>
  <c r="N606" i="1"/>
  <c r="O606" i="1" s="1"/>
  <c r="N605" i="1"/>
  <c r="O605" i="1" s="1"/>
  <c r="N604" i="1"/>
  <c r="O604" i="1" s="1"/>
  <c r="N603" i="1"/>
  <c r="O603" i="1" s="1"/>
  <c r="N602" i="1"/>
  <c r="O602" i="1" s="1"/>
  <c r="P602" i="1" s="1"/>
  <c r="Q602" i="1" s="1"/>
  <c r="N601" i="1"/>
  <c r="O601" i="1" s="1"/>
  <c r="P601" i="1" s="1"/>
  <c r="Q601" i="1" s="1"/>
  <c r="N600" i="1"/>
  <c r="O600" i="1" s="1"/>
  <c r="P600" i="1" s="1"/>
  <c r="Q600" i="1" s="1"/>
  <c r="R600" i="1" s="1"/>
  <c r="S600" i="1" s="1"/>
  <c r="N599" i="1"/>
  <c r="O599" i="1" s="1"/>
  <c r="N598" i="1"/>
  <c r="O598" i="1" s="1"/>
  <c r="P598" i="1" s="1"/>
  <c r="Q598" i="1" s="1"/>
  <c r="N597" i="1"/>
  <c r="O597" i="1" s="1"/>
  <c r="N596" i="1"/>
  <c r="O596" i="1" s="1"/>
  <c r="P596" i="1" s="1"/>
  <c r="Q596" i="1" s="1"/>
  <c r="N595" i="1"/>
  <c r="O595" i="1" s="1"/>
  <c r="P595" i="1" s="1"/>
  <c r="Q595" i="1" s="1"/>
  <c r="N594" i="1"/>
  <c r="O594" i="1" s="1"/>
  <c r="P594" i="1" s="1"/>
  <c r="Q594" i="1" s="1"/>
  <c r="N593" i="1"/>
  <c r="O593" i="1" s="1"/>
  <c r="P593" i="1" s="1"/>
  <c r="Q593" i="1" s="1"/>
  <c r="R593" i="1" s="1"/>
  <c r="S593" i="1" s="1"/>
  <c r="N592" i="1"/>
  <c r="O592" i="1" s="1"/>
  <c r="P592" i="1" s="1"/>
  <c r="Q592" i="1" s="1"/>
  <c r="N591" i="1"/>
  <c r="O591" i="1" s="1"/>
  <c r="N590" i="1"/>
  <c r="O590" i="1" s="1"/>
  <c r="P590" i="1" s="1"/>
  <c r="Q590" i="1" s="1"/>
  <c r="R590" i="1" s="1"/>
  <c r="S590" i="1" s="1"/>
  <c r="N589" i="1"/>
  <c r="O589" i="1" s="1"/>
  <c r="P589" i="1" s="1"/>
  <c r="Q589" i="1" s="1"/>
  <c r="N588" i="1"/>
  <c r="O588" i="1" s="1"/>
  <c r="P588" i="1" s="1"/>
  <c r="Q588" i="1" s="1"/>
  <c r="R588" i="1" s="1"/>
  <c r="S588" i="1" s="1"/>
  <c r="N587" i="1"/>
  <c r="O587" i="1" s="1"/>
  <c r="P587" i="1" s="1"/>
  <c r="Q587" i="1" s="1"/>
  <c r="R587" i="1" s="1"/>
  <c r="S587" i="1" s="1"/>
  <c r="N586" i="1"/>
  <c r="O586" i="1" s="1"/>
  <c r="P586" i="1" s="1"/>
  <c r="Q586" i="1" s="1"/>
  <c r="N585" i="1"/>
  <c r="O585" i="1" s="1"/>
  <c r="N584" i="1"/>
  <c r="O584" i="1" s="1"/>
  <c r="P584" i="1" s="1"/>
  <c r="Q584" i="1" s="1"/>
  <c r="R584" i="1" s="1"/>
  <c r="S584" i="1" s="1"/>
  <c r="N583" i="1"/>
  <c r="O583" i="1" s="1"/>
  <c r="N582" i="1"/>
  <c r="O582" i="1" s="1"/>
  <c r="N581" i="1"/>
  <c r="O581" i="1" s="1"/>
  <c r="P581" i="1" s="1"/>
  <c r="Q581" i="1" s="1"/>
  <c r="R581" i="1" s="1"/>
  <c r="S581" i="1" s="1"/>
  <c r="N580" i="1"/>
  <c r="O580" i="1" s="1"/>
  <c r="N579" i="1"/>
  <c r="O579" i="1" s="1"/>
  <c r="N578" i="1"/>
  <c r="O578" i="1" s="1"/>
  <c r="P578" i="1" s="1"/>
  <c r="Q578" i="1" s="1"/>
  <c r="R578" i="1" s="1"/>
  <c r="S578" i="1" s="1"/>
  <c r="N577" i="1"/>
  <c r="O577" i="1" s="1"/>
  <c r="N576" i="1"/>
  <c r="O576" i="1" s="1"/>
  <c r="N575" i="1"/>
  <c r="O575" i="1" s="1"/>
  <c r="P575" i="1" s="1"/>
  <c r="Q575" i="1" s="1"/>
  <c r="N574" i="1"/>
  <c r="O574" i="1" s="1"/>
  <c r="N573" i="1"/>
  <c r="O573" i="1" s="1"/>
  <c r="P573" i="1" s="1"/>
  <c r="Q573" i="1" s="1"/>
  <c r="R573" i="1" s="1"/>
  <c r="S573" i="1" s="1"/>
  <c r="N572" i="1"/>
  <c r="O572" i="1" s="1"/>
  <c r="N571" i="1"/>
  <c r="O571" i="1" s="1"/>
  <c r="P571" i="1" s="1"/>
  <c r="Q571" i="1" s="1"/>
  <c r="N570" i="1"/>
  <c r="O570" i="1" s="1"/>
  <c r="N569" i="1"/>
  <c r="O569" i="1" s="1"/>
  <c r="N568" i="1"/>
  <c r="O568" i="1" s="1"/>
  <c r="N567" i="1"/>
  <c r="O567" i="1" s="1"/>
  <c r="P567" i="1" s="1"/>
  <c r="Q567" i="1" s="1"/>
  <c r="R567" i="1" s="1"/>
  <c r="S567" i="1" s="1"/>
  <c r="N566" i="1"/>
  <c r="O566" i="1" s="1"/>
  <c r="P566" i="1" s="1"/>
  <c r="Q566" i="1" s="1"/>
  <c r="R566" i="1" s="1"/>
  <c r="S566" i="1" s="1"/>
  <c r="N565" i="1"/>
  <c r="O565" i="1" s="1"/>
  <c r="P565" i="1" s="1"/>
  <c r="Q565" i="1" s="1"/>
  <c r="N564" i="1"/>
  <c r="O564" i="1" s="1"/>
  <c r="P564" i="1" s="1"/>
  <c r="Q564" i="1" s="1"/>
  <c r="R564" i="1" s="1"/>
  <c r="S564" i="1" s="1"/>
  <c r="N563" i="1"/>
  <c r="O563" i="1" s="1"/>
  <c r="P563" i="1" s="1"/>
  <c r="Q563" i="1" s="1"/>
  <c r="N562" i="1"/>
  <c r="O562" i="1" s="1"/>
  <c r="P562" i="1" s="1"/>
  <c r="Q562" i="1" s="1"/>
  <c r="N561" i="1"/>
  <c r="O561" i="1" s="1"/>
  <c r="N560" i="1"/>
  <c r="O560" i="1" s="1"/>
  <c r="N559" i="1"/>
  <c r="O559" i="1" s="1"/>
  <c r="P559" i="1" s="1"/>
  <c r="Q559" i="1" s="1"/>
  <c r="R559" i="1" s="1"/>
  <c r="S559" i="1" s="1"/>
  <c r="N558" i="1"/>
  <c r="O558" i="1" s="1"/>
  <c r="N557" i="1"/>
  <c r="O557" i="1" s="1"/>
  <c r="N556" i="1"/>
  <c r="O556" i="1" s="1"/>
  <c r="P556" i="1" s="1"/>
  <c r="Q556" i="1" s="1"/>
  <c r="N555" i="1"/>
  <c r="O555" i="1" s="1"/>
  <c r="P555" i="1" s="1"/>
  <c r="Q555" i="1" s="1"/>
  <c r="N554" i="1"/>
  <c r="O554" i="1" s="1"/>
  <c r="N553" i="1"/>
  <c r="O553" i="1" s="1"/>
  <c r="N552" i="1"/>
  <c r="O552" i="1" s="1"/>
  <c r="N551" i="1"/>
  <c r="O551" i="1" s="1"/>
  <c r="N550" i="1"/>
  <c r="O550" i="1" s="1"/>
  <c r="N549" i="1"/>
  <c r="O549" i="1" s="1"/>
  <c r="P549" i="1" s="1"/>
  <c r="Q549" i="1" s="1"/>
  <c r="N548" i="1"/>
  <c r="O548" i="1" s="1"/>
  <c r="N547" i="1"/>
  <c r="O547" i="1" s="1"/>
  <c r="P547" i="1" s="1"/>
  <c r="Q547" i="1" s="1"/>
  <c r="N546" i="1"/>
  <c r="O546" i="1" s="1"/>
  <c r="N545" i="1"/>
  <c r="O545" i="1" s="1"/>
  <c r="N544" i="1"/>
  <c r="O544" i="1" s="1"/>
  <c r="N543" i="1"/>
  <c r="O543" i="1" s="1"/>
  <c r="N542" i="1"/>
  <c r="O542" i="1" s="1"/>
  <c r="P542" i="1" s="1"/>
  <c r="Q542" i="1" s="1"/>
  <c r="R542" i="1" s="1"/>
  <c r="S542" i="1" s="1"/>
  <c r="N541" i="1"/>
  <c r="O541" i="1" s="1"/>
  <c r="N540" i="1"/>
  <c r="O540" i="1" s="1"/>
  <c r="N539" i="1"/>
  <c r="O539" i="1" s="1"/>
  <c r="N538" i="1"/>
  <c r="O538" i="1" s="1"/>
  <c r="N537" i="1"/>
  <c r="O537" i="1" s="1"/>
  <c r="N536" i="1"/>
  <c r="O536" i="1" s="1"/>
  <c r="N535" i="1"/>
  <c r="O535" i="1" s="1"/>
  <c r="P535" i="1" s="1"/>
  <c r="Q535" i="1" s="1"/>
  <c r="N534" i="1"/>
  <c r="O534" i="1" s="1"/>
  <c r="N533" i="1"/>
  <c r="O533" i="1" s="1"/>
  <c r="N532" i="1"/>
  <c r="O532" i="1" s="1"/>
  <c r="N531" i="1"/>
  <c r="O531" i="1" s="1"/>
  <c r="P531" i="1" s="1"/>
  <c r="Q531" i="1" s="1"/>
  <c r="N530" i="1"/>
  <c r="O530" i="1" s="1"/>
  <c r="N529" i="1"/>
  <c r="O529" i="1" s="1"/>
  <c r="P529" i="1" s="1"/>
  <c r="Q529" i="1" s="1"/>
  <c r="R529" i="1" s="1"/>
  <c r="S529" i="1" s="1"/>
  <c r="N528" i="1"/>
  <c r="O528" i="1" s="1"/>
  <c r="N527" i="1"/>
  <c r="O527" i="1" s="1"/>
  <c r="N526" i="1"/>
  <c r="O526" i="1" s="1"/>
  <c r="N525" i="1"/>
  <c r="O525" i="1" s="1"/>
  <c r="N524" i="1"/>
  <c r="O524" i="1" s="1"/>
  <c r="N523" i="1"/>
  <c r="O523" i="1" s="1"/>
  <c r="P523" i="1" s="1"/>
  <c r="Q523" i="1" s="1"/>
  <c r="N522" i="1"/>
  <c r="O522" i="1" s="1"/>
  <c r="P522" i="1" s="1"/>
  <c r="Q522" i="1" s="1"/>
  <c r="R522" i="1" s="1"/>
  <c r="S522" i="1" s="1"/>
  <c r="N521" i="1"/>
  <c r="O521" i="1" s="1"/>
  <c r="N520" i="1"/>
  <c r="O520" i="1" s="1"/>
  <c r="N519" i="1"/>
  <c r="O519" i="1" s="1"/>
  <c r="N518" i="1"/>
  <c r="O518" i="1" s="1"/>
  <c r="P518" i="1" s="1"/>
  <c r="Q518" i="1" s="1"/>
  <c r="N517" i="1"/>
  <c r="O517" i="1" s="1"/>
  <c r="N516" i="1"/>
  <c r="O516" i="1" s="1"/>
  <c r="P516" i="1" s="1"/>
  <c r="Q516" i="1" s="1"/>
  <c r="N515" i="1"/>
  <c r="O515" i="1" s="1"/>
  <c r="P515" i="1" s="1"/>
  <c r="Q515" i="1" s="1"/>
  <c r="N514" i="1"/>
  <c r="O514" i="1" s="1"/>
  <c r="N513" i="1"/>
  <c r="O513" i="1" s="1"/>
  <c r="N512" i="1"/>
  <c r="O512" i="1" s="1"/>
  <c r="N511" i="1"/>
  <c r="O511" i="1" s="1"/>
  <c r="N510" i="1"/>
  <c r="O510" i="1" s="1"/>
  <c r="N509" i="1"/>
  <c r="O509" i="1" s="1"/>
  <c r="N508" i="1"/>
  <c r="O508" i="1" s="1"/>
  <c r="N507" i="1"/>
  <c r="O507" i="1" s="1"/>
  <c r="P507" i="1" s="1"/>
  <c r="Q507" i="1" s="1"/>
  <c r="N506" i="1"/>
  <c r="O506" i="1" s="1"/>
  <c r="P506" i="1" s="1"/>
  <c r="Q506" i="1" s="1"/>
  <c r="N505" i="1"/>
  <c r="O505" i="1" s="1"/>
  <c r="N504" i="1"/>
  <c r="O504" i="1" s="1"/>
  <c r="N503" i="1"/>
  <c r="O503" i="1" s="1"/>
  <c r="N502" i="1"/>
  <c r="O502" i="1" s="1"/>
  <c r="P502" i="1" s="1"/>
  <c r="Q502" i="1" s="1"/>
  <c r="R502" i="1" s="1"/>
  <c r="S502" i="1" s="1"/>
  <c r="N501" i="1"/>
  <c r="O501" i="1" s="1"/>
  <c r="N500" i="1"/>
  <c r="O500" i="1" s="1"/>
  <c r="N499" i="1"/>
  <c r="O499" i="1" s="1"/>
  <c r="P499" i="1" s="1"/>
  <c r="Q499" i="1" s="1"/>
  <c r="N498" i="1"/>
  <c r="O498" i="1" s="1"/>
  <c r="P498" i="1" s="1"/>
  <c r="Q498" i="1" s="1"/>
  <c r="N497" i="1"/>
  <c r="O497" i="1" s="1"/>
  <c r="N410" i="1"/>
  <c r="O410" i="1" s="1"/>
  <c r="N804" i="1"/>
  <c r="O804" i="1" s="1"/>
  <c r="P804" i="1" s="1"/>
  <c r="Q804" i="1" s="1"/>
  <c r="R804" i="1" s="1"/>
  <c r="S804" i="1" s="1"/>
  <c r="N803" i="1"/>
  <c r="O803" i="1" s="1"/>
  <c r="N802" i="1"/>
  <c r="O802" i="1" s="1"/>
  <c r="N798" i="1"/>
  <c r="O798" i="1" s="1"/>
  <c r="P798" i="1" s="1"/>
  <c r="Q798" i="1" s="1"/>
  <c r="R798" i="1" s="1"/>
  <c r="S798" i="1" s="1"/>
  <c r="N468" i="1"/>
  <c r="O468" i="1" s="1"/>
  <c r="P468" i="1" s="1"/>
  <c r="Q468" i="1" s="1"/>
  <c r="N467" i="1"/>
  <c r="O467" i="1" s="1"/>
  <c r="N466" i="1"/>
  <c r="O466" i="1" s="1"/>
  <c r="P466" i="1" s="1"/>
  <c r="Q466" i="1" s="1"/>
  <c r="R466" i="1" s="1"/>
  <c r="S466" i="1" s="1"/>
  <c r="N465" i="1"/>
  <c r="O465" i="1" s="1"/>
  <c r="N464" i="1"/>
  <c r="O464" i="1" s="1"/>
  <c r="N463" i="1"/>
  <c r="O463" i="1" s="1"/>
  <c r="N462" i="1"/>
  <c r="O462" i="1" s="1"/>
  <c r="P462" i="1" s="1"/>
  <c r="Q462" i="1" s="1"/>
  <c r="N461" i="1"/>
  <c r="O461" i="1" s="1"/>
  <c r="N460" i="1"/>
  <c r="O460" i="1" s="1"/>
  <c r="N459" i="1"/>
  <c r="O459" i="1" s="1"/>
  <c r="N458" i="1"/>
  <c r="O458" i="1" s="1"/>
  <c r="N457" i="1"/>
  <c r="O457" i="1" s="1"/>
  <c r="P457" i="1" s="1"/>
  <c r="Q457" i="1" s="1"/>
  <c r="N456" i="1"/>
  <c r="O456" i="1" s="1"/>
  <c r="P456" i="1" s="1"/>
  <c r="Q456" i="1" s="1"/>
  <c r="R456" i="1" s="1"/>
  <c r="S456" i="1" s="1"/>
  <c r="N455" i="1"/>
  <c r="O455" i="1" s="1"/>
  <c r="N454" i="1"/>
  <c r="O454" i="1" s="1"/>
  <c r="P454" i="1" s="1"/>
  <c r="Q454" i="1" s="1"/>
  <c r="N453" i="1"/>
  <c r="O453" i="1" s="1"/>
  <c r="N452" i="1"/>
  <c r="O452" i="1" s="1"/>
  <c r="P452" i="1" s="1"/>
  <c r="Q452" i="1" s="1"/>
  <c r="R452" i="1" s="1"/>
  <c r="S452" i="1" s="1"/>
  <c r="N451" i="1"/>
  <c r="O451" i="1" s="1"/>
  <c r="N450" i="1"/>
  <c r="O450" i="1" s="1"/>
  <c r="N449" i="1"/>
  <c r="O449" i="1" s="1"/>
  <c r="N448" i="1"/>
  <c r="O448" i="1" s="1"/>
  <c r="N447" i="1"/>
  <c r="O447" i="1" s="1"/>
  <c r="N446" i="1"/>
  <c r="O446" i="1" s="1"/>
  <c r="P446" i="1" s="1"/>
  <c r="Q446" i="1" s="1"/>
  <c r="N445" i="1"/>
  <c r="O445" i="1" s="1"/>
  <c r="N666" i="1"/>
  <c r="O666" i="1" s="1"/>
  <c r="N721" i="1"/>
  <c r="O721" i="1" s="1"/>
  <c r="N720" i="1"/>
  <c r="O720" i="1" s="1"/>
  <c r="N719" i="1"/>
  <c r="O719" i="1" s="1"/>
  <c r="N718" i="1"/>
  <c r="O718" i="1" s="1"/>
  <c r="P718" i="1" s="1"/>
  <c r="Q718" i="1" s="1"/>
  <c r="R718" i="1" s="1"/>
  <c r="S718" i="1" s="1"/>
  <c r="N717" i="1"/>
  <c r="O717" i="1" s="1"/>
  <c r="N716" i="1"/>
  <c r="O716" i="1" s="1"/>
  <c r="N715" i="1"/>
  <c r="O715" i="1" s="1"/>
  <c r="P715" i="1" s="1"/>
  <c r="Q715" i="1" s="1"/>
  <c r="R715" i="1" s="1"/>
  <c r="S715" i="1" s="1"/>
  <c r="N714" i="1"/>
  <c r="O714" i="1" s="1"/>
  <c r="P714" i="1" s="1"/>
  <c r="Q714" i="1" s="1"/>
  <c r="N713" i="1"/>
  <c r="O713" i="1" s="1"/>
  <c r="N712" i="1"/>
  <c r="O712" i="1" s="1"/>
  <c r="N711" i="1"/>
  <c r="O711" i="1" s="1"/>
  <c r="N710" i="1"/>
  <c r="O710" i="1" s="1"/>
  <c r="N709" i="1"/>
  <c r="O709" i="1" s="1"/>
  <c r="N708" i="1"/>
  <c r="O708" i="1" s="1"/>
  <c r="P708" i="1" s="1"/>
  <c r="Q708" i="1" s="1"/>
  <c r="N707" i="1"/>
  <c r="O707" i="1" s="1"/>
  <c r="N706" i="1"/>
  <c r="O706" i="1" s="1"/>
  <c r="N496" i="1"/>
  <c r="O496" i="1" s="1"/>
  <c r="N495" i="1"/>
  <c r="O495" i="1" s="1"/>
  <c r="P495" i="1" s="1"/>
  <c r="Q495" i="1" s="1"/>
  <c r="N444" i="1"/>
  <c r="O444" i="1" s="1"/>
  <c r="P444" i="1" s="1"/>
  <c r="Q444" i="1" s="1"/>
  <c r="N665" i="1"/>
  <c r="O665" i="1" s="1"/>
  <c r="N664" i="1"/>
  <c r="O664" i="1" s="1"/>
  <c r="N663" i="1"/>
  <c r="O663" i="1" s="1"/>
  <c r="N662" i="1"/>
  <c r="O662" i="1" s="1"/>
  <c r="P662" i="1" s="1"/>
  <c r="Q662" i="1" s="1"/>
  <c r="R662" i="1" s="1"/>
  <c r="S662" i="1" s="1"/>
  <c r="N661" i="1"/>
  <c r="O661" i="1" s="1"/>
  <c r="P661" i="1" s="1"/>
  <c r="Q661" i="1" s="1"/>
  <c r="N660" i="1"/>
  <c r="O660" i="1" s="1"/>
  <c r="N659" i="1"/>
  <c r="O659" i="1" s="1"/>
  <c r="P659" i="1" s="1"/>
  <c r="Q659" i="1" s="1"/>
  <c r="R659" i="1" s="1"/>
  <c r="S659" i="1" s="1"/>
  <c r="N494" i="1"/>
  <c r="O494" i="1" s="1"/>
  <c r="N797" i="1"/>
  <c r="O797" i="1" s="1"/>
  <c r="N796" i="1"/>
  <c r="O796" i="1" s="1"/>
  <c r="P796" i="1" s="1"/>
  <c r="Q796" i="1" s="1"/>
  <c r="N795" i="1"/>
  <c r="O795" i="1" s="1"/>
  <c r="N442" i="1"/>
  <c r="O442" i="1" s="1"/>
  <c r="N441" i="1"/>
  <c r="O441" i="1" s="1"/>
  <c r="N440" i="1"/>
  <c r="O440" i="1" s="1"/>
  <c r="P440" i="1" s="1"/>
  <c r="Q440" i="1" s="1"/>
  <c r="N439" i="1"/>
  <c r="O439" i="1" s="1"/>
  <c r="N438" i="1"/>
  <c r="O438" i="1" s="1"/>
  <c r="N437" i="1"/>
  <c r="O437" i="1" s="1"/>
  <c r="P437" i="1" s="1"/>
  <c r="Q437" i="1" s="1"/>
  <c r="R437" i="1" s="1"/>
  <c r="S437" i="1" s="1"/>
  <c r="N436" i="1"/>
  <c r="O436" i="1" s="1"/>
  <c r="N435" i="1"/>
  <c r="O435" i="1" s="1"/>
  <c r="N434" i="1"/>
  <c r="O434" i="1" s="1"/>
  <c r="P434" i="1" s="1"/>
  <c r="Q434" i="1" s="1"/>
  <c r="R434" i="1" s="1"/>
  <c r="S434" i="1" s="1"/>
  <c r="N433" i="1"/>
  <c r="O433" i="1" s="1"/>
  <c r="P433" i="1" s="1"/>
  <c r="Q433" i="1" s="1"/>
  <c r="N658" i="1"/>
  <c r="O658" i="1" s="1"/>
  <c r="N409" i="1"/>
  <c r="O409" i="1" s="1"/>
  <c r="N408" i="1"/>
  <c r="O408" i="1" s="1"/>
  <c r="N407" i="1"/>
  <c r="O407" i="1" s="1"/>
  <c r="N406" i="1"/>
  <c r="O406" i="1" s="1"/>
  <c r="P406" i="1" s="1"/>
  <c r="Q406" i="1" s="1"/>
  <c r="N405" i="1"/>
  <c r="O405" i="1" s="1"/>
  <c r="P405" i="1" s="1"/>
  <c r="Q405" i="1" s="1"/>
  <c r="N404" i="1"/>
  <c r="O404" i="1" s="1"/>
  <c r="N403" i="1"/>
  <c r="O403" i="1" s="1"/>
  <c r="N402" i="1"/>
  <c r="O402" i="1" s="1"/>
  <c r="P402" i="1" s="1"/>
  <c r="Q402" i="1" s="1"/>
  <c r="N401" i="1"/>
  <c r="O401" i="1" s="1"/>
  <c r="P401" i="1" s="1"/>
  <c r="Q401" i="1" s="1"/>
  <c r="N400" i="1"/>
  <c r="O400" i="1" s="1"/>
  <c r="N399" i="1"/>
  <c r="O399" i="1" s="1"/>
  <c r="P399" i="1" s="1"/>
  <c r="Q399" i="1" s="1"/>
  <c r="R399" i="1" s="1"/>
  <c r="S399" i="1" s="1"/>
  <c r="N398" i="1"/>
  <c r="O398" i="1" s="1"/>
  <c r="N397" i="1"/>
  <c r="O397" i="1" s="1"/>
  <c r="N396" i="1"/>
  <c r="O396" i="1" s="1"/>
  <c r="P396" i="1" s="1"/>
  <c r="Q396" i="1" s="1"/>
  <c r="R396" i="1" s="1"/>
  <c r="S396" i="1" s="1"/>
  <c r="N395" i="1"/>
  <c r="O395" i="1" s="1"/>
  <c r="P395" i="1" s="1"/>
  <c r="Q395" i="1" s="1"/>
  <c r="N394" i="1"/>
  <c r="O394" i="1" s="1"/>
  <c r="N393" i="1"/>
  <c r="O393" i="1" s="1"/>
  <c r="P393" i="1" s="1"/>
  <c r="Q393" i="1" s="1"/>
  <c r="R393" i="1" s="1"/>
  <c r="S393" i="1" s="1"/>
  <c r="N392" i="1"/>
  <c r="O392" i="1" s="1"/>
  <c r="N391" i="1"/>
  <c r="O391" i="1" s="1"/>
  <c r="N390" i="1"/>
  <c r="O390" i="1" s="1"/>
  <c r="P390" i="1" s="1"/>
  <c r="Q390" i="1" s="1"/>
  <c r="N389" i="1"/>
  <c r="O389" i="1" s="1"/>
  <c r="N388" i="1"/>
  <c r="O388" i="1" s="1"/>
  <c r="N387" i="1"/>
  <c r="O387" i="1" s="1"/>
  <c r="N386" i="1"/>
  <c r="O386" i="1" s="1"/>
  <c r="N385" i="1"/>
  <c r="O385" i="1" s="1"/>
  <c r="P385" i="1" s="1"/>
  <c r="Q385" i="1" s="1"/>
  <c r="N384" i="1"/>
  <c r="O384" i="1" s="1"/>
  <c r="N383" i="1"/>
  <c r="O383" i="1" s="1"/>
  <c r="P383" i="1" s="1"/>
  <c r="Q383" i="1" s="1"/>
  <c r="R383" i="1" s="1"/>
  <c r="S383" i="1" s="1"/>
  <c r="N382" i="1"/>
  <c r="O382" i="1" s="1"/>
  <c r="N381" i="1"/>
  <c r="O381" i="1" s="1"/>
  <c r="P381" i="1" s="1"/>
  <c r="Q381" i="1" s="1"/>
  <c r="N380" i="1"/>
  <c r="O380" i="1" s="1"/>
  <c r="P380" i="1" s="1"/>
  <c r="Q380" i="1" s="1"/>
  <c r="R380" i="1" s="1"/>
  <c r="S380" i="1" s="1"/>
  <c r="N379" i="1"/>
  <c r="O379" i="1" s="1"/>
  <c r="P379" i="1" s="1"/>
  <c r="Q379" i="1" s="1"/>
  <c r="N378" i="1"/>
  <c r="O378" i="1" s="1"/>
  <c r="N377" i="1"/>
  <c r="O377" i="1" s="1"/>
  <c r="P377" i="1" s="1"/>
  <c r="Q377" i="1" s="1"/>
  <c r="N376" i="1"/>
  <c r="O376" i="1" s="1"/>
  <c r="N375" i="1"/>
  <c r="O375" i="1" s="1"/>
  <c r="N374" i="1"/>
  <c r="O374" i="1" s="1"/>
  <c r="N373" i="1"/>
  <c r="O373" i="1" s="1"/>
  <c r="P373" i="1" s="1"/>
  <c r="Q373" i="1" s="1"/>
  <c r="N372" i="1"/>
  <c r="O372" i="1" s="1"/>
  <c r="N371" i="1"/>
  <c r="O371" i="1" s="1"/>
  <c r="N370" i="1"/>
  <c r="O370" i="1" s="1"/>
  <c r="P370" i="1" s="1"/>
  <c r="Q370" i="1" s="1"/>
  <c r="N369" i="1"/>
  <c r="O369" i="1" s="1"/>
  <c r="P369" i="1" s="1"/>
  <c r="Q369" i="1" s="1"/>
  <c r="N368" i="1"/>
  <c r="O368" i="1" s="1"/>
  <c r="P368" i="1" s="1"/>
  <c r="Q368" i="1" s="1"/>
  <c r="N367" i="1"/>
  <c r="O367" i="1" s="1"/>
  <c r="P367" i="1" s="1"/>
  <c r="Q367" i="1" s="1"/>
  <c r="R367" i="1" s="1"/>
  <c r="S367" i="1" s="1"/>
  <c r="N366" i="1"/>
  <c r="O366" i="1" s="1"/>
  <c r="N365" i="1"/>
  <c r="O365" i="1" s="1"/>
  <c r="P365" i="1" s="1"/>
  <c r="Q365" i="1" s="1"/>
  <c r="N364" i="1"/>
  <c r="O364" i="1" s="1"/>
  <c r="P364" i="1" s="1"/>
  <c r="Q364" i="1" s="1"/>
  <c r="R364" i="1" s="1"/>
  <c r="S364" i="1" s="1"/>
  <c r="N363" i="1"/>
  <c r="O363" i="1" s="1"/>
  <c r="P363" i="1" s="1"/>
  <c r="Q363" i="1" s="1"/>
  <c r="N362" i="1"/>
  <c r="O362" i="1" s="1"/>
  <c r="N361" i="1"/>
  <c r="O361" i="1" s="1"/>
  <c r="P361" i="1" s="1"/>
  <c r="Q361" i="1" s="1"/>
  <c r="N360" i="1"/>
  <c r="O360" i="1" s="1"/>
  <c r="N359" i="1"/>
  <c r="O359" i="1" s="1"/>
  <c r="N358" i="1"/>
  <c r="O358" i="1" s="1"/>
  <c r="P358" i="1" s="1"/>
  <c r="Q358" i="1" s="1"/>
  <c r="N357" i="1"/>
  <c r="O357" i="1" s="1"/>
  <c r="P357" i="1" s="1"/>
  <c r="Q357" i="1" s="1"/>
  <c r="N356" i="1"/>
  <c r="O356" i="1" s="1"/>
  <c r="N355" i="1"/>
  <c r="O355" i="1" s="1"/>
  <c r="N354" i="1"/>
  <c r="O354" i="1" s="1"/>
  <c r="N353" i="1"/>
  <c r="O353" i="1" s="1"/>
  <c r="N352" i="1"/>
  <c r="O352" i="1" s="1"/>
  <c r="P352" i="1" s="1"/>
  <c r="Q352" i="1" s="1"/>
  <c r="N351" i="1"/>
  <c r="O351" i="1" s="1"/>
  <c r="P351" i="1" s="1"/>
  <c r="Q351" i="1" s="1"/>
  <c r="N350" i="1"/>
  <c r="O350" i="1" s="1"/>
  <c r="N349" i="1"/>
  <c r="O349" i="1" s="1"/>
  <c r="N348" i="1"/>
  <c r="O348" i="1" s="1"/>
  <c r="P348" i="1" s="1"/>
  <c r="Q348" i="1" s="1"/>
  <c r="N347" i="1"/>
  <c r="O347" i="1" s="1"/>
  <c r="P347" i="1" s="1"/>
  <c r="Q347" i="1" s="1"/>
  <c r="N346" i="1"/>
  <c r="O346" i="1" s="1"/>
  <c r="N345" i="1"/>
  <c r="O345" i="1" s="1"/>
  <c r="P345" i="1" s="1"/>
  <c r="Q345" i="1" s="1"/>
  <c r="N344" i="1"/>
  <c r="O344" i="1" s="1"/>
  <c r="N343" i="1"/>
  <c r="O343" i="1" s="1"/>
  <c r="P343" i="1" s="1"/>
  <c r="Q343" i="1" s="1"/>
  <c r="N342" i="1"/>
  <c r="O342" i="1" s="1"/>
  <c r="P342" i="1" s="1"/>
  <c r="Q342" i="1" s="1"/>
  <c r="R342" i="1" s="1"/>
  <c r="S342" i="1" s="1"/>
  <c r="N341" i="1"/>
  <c r="O341" i="1" s="1"/>
  <c r="N340" i="1"/>
  <c r="O340" i="1" s="1"/>
  <c r="N339" i="1"/>
  <c r="O339" i="1" s="1"/>
  <c r="N338" i="1"/>
  <c r="O338" i="1" s="1"/>
  <c r="N337" i="1"/>
  <c r="O337" i="1" s="1"/>
  <c r="N336" i="1"/>
  <c r="O336" i="1" s="1"/>
  <c r="P336" i="1" s="1"/>
  <c r="Q336" i="1" s="1"/>
  <c r="R336" i="1" s="1"/>
  <c r="S336" i="1" s="1"/>
  <c r="N335" i="1"/>
  <c r="O335" i="1" s="1"/>
  <c r="N334" i="1"/>
  <c r="O334" i="1" s="1"/>
  <c r="N333" i="1"/>
  <c r="O333" i="1" s="1"/>
  <c r="P333" i="1" s="1"/>
  <c r="Q333" i="1" s="1"/>
  <c r="R333" i="1" s="1"/>
  <c r="S333" i="1" s="1"/>
  <c r="N332" i="1"/>
  <c r="O332" i="1" s="1"/>
  <c r="N331" i="1"/>
  <c r="O331" i="1" s="1"/>
  <c r="P331" i="1" s="1"/>
  <c r="Q331" i="1" s="1"/>
  <c r="R331" i="1" s="1"/>
  <c r="S331" i="1" s="1"/>
  <c r="N330" i="1"/>
  <c r="O330" i="1" s="1"/>
  <c r="P330" i="1" s="1"/>
  <c r="Q330" i="1" s="1"/>
  <c r="R330" i="1" s="1"/>
  <c r="S330" i="1" s="1"/>
  <c r="N329" i="1"/>
  <c r="O329" i="1" s="1"/>
  <c r="N328" i="1"/>
  <c r="O328" i="1" s="1"/>
  <c r="N327" i="1"/>
  <c r="O327" i="1" s="1"/>
  <c r="N326" i="1"/>
  <c r="O326" i="1" s="1"/>
  <c r="N325" i="1"/>
  <c r="O325" i="1" s="1"/>
  <c r="N324" i="1"/>
  <c r="O324" i="1" s="1"/>
  <c r="P324" i="1" s="1"/>
  <c r="Q324" i="1" s="1"/>
  <c r="R324" i="1" s="1"/>
  <c r="S324" i="1" s="1"/>
  <c r="N323" i="1"/>
  <c r="O323" i="1" s="1"/>
  <c r="N322" i="1"/>
  <c r="O322" i="1" s="1"/>
  <c r="P322" i="1" s="1"/>
  <c r="Q322" i="1" s="1"/>
  <c r="N321" i="1"/>
  <c r="O321" i="1" s="1"/>
  <c r="P321" i="1" s="1"/>
  <c r="Q321" i="1" s="1"/>
  <c r="R321" i="1" s="1"/>
  <c r="S321" i="1" s="1"/>
  <c r="N320" i="1"/>
  <c r="O320" i="1" s="1"/>
  <c r="N319" i="1"/>
  <c r="O319" i="1" s="1"/>
  <c r="N318" i="1"/>
  <c r="O318" i="1" s="1"/>
  <c r="P318" i="1" s="1"/>
  <c r="Q318" i="1" s="1"/>
  <c r="N317" i="1"/>
  <c r="O317" i="1" s="1"/>
  <c r="N316" i="1"/>
  <c r="O316" i="1" s="1"/>
  <c r="N315" i="1"/>
  <c r="O315" i="1" s="1"/>
  <c r="N314" i="1"/>
  <c r="O314" i="1" s="1"/>
  <c r="N313" i="1"/>
  <c r="O313" i="1" s="1"/>
  <c r="N312" i="1"/>
  <c r="O312" i="1" s="1"/>
  <c r="N311" i="1"/>
  <c r="O311" i="1" s="1"/>
  <c r="N310" i="1"/>
  <c r="O310" i="1" s="1"/>
  <c r="P310" i="1" s="1"/>
  <c r="Q310" i="1" s="1"/>
  <c r="N309" i="1"/>
  <c r="O309" i="1" s="1"/>
  <c r="N308" i="1"/>
  <c r="O308" i="1" s="1"/>
  <c r="N307" i="1"/>
  <c r="O307" i="1" s="1"/>
  <c r="N306" i="1"/>
  <c r="O306" i="1" s="1"/>
  <c r="N305" i="1"/>
  <c r="O305" i="1" s="1"/>
  <c r="N304" i="1"/>
  <c r="O304" i="1" s="1"/>
  <c r="N303" i="1"/>
  <c r="O303" i="1" s="1"/>
  <c r="P303" i="1" s="1"/>
  <c r="Q303" i="1" s="1"/>
  <c r="N302" i="1"/>
  <c r="O302" i="1" s="1"/>
  <c r="N301" i="1"/>
  <c r="O301" i="1" s="1"/>
  <c r="N300" i="1"/>
  <c r="O300" i="1" s="1"/>
  <c r="N299" i="1"/>
  <c r="O299" i="1" s="1"/>
  <c r="N298" i="1"/>
  <c r="O298" i="1" s="1"/>
  <c r="N657" i="1"/>
  <c r="O657" i="1" s="1"/>
  <c r="N656" i="1"/>
  <c r="O656" i="1" s="1"/>
  <c r="N655" i="1"/>
  <c r="O655" i="1" s="1"/>
  <c r="N654" i="1"/>
  <c r="O654" i="1" s="1"/>
  <c r="P654" i="1" s="1"/>
  <c r="Q654" i="1" s="1"/>
  <c r="N653" i="1"/>
  <c r="O653" i="1" s="1"/>
  <c r="P653" i="1" s="1"/>
  <c r="Q653" i="1" s="1"/>
  <c r="N652" i="1"/>
  <c r="O652" i="1" s="1"/>
  <c r="N651" i="1"/>
  <c r="O651" i="1" s="1"/>
  <c r="P651" i="1" s="1"/>
  <c r="Q651" i="1" s="1"/>
  <c r="N650" i="1"/>
  <c r="O650" i="1" s="1"/>
  <c r="P650" i="1" s="1"/>
  <c r="Q650" i="1" s="1"/>
  <c r="N649" i="1"/>
  <c r="O649" i="1" s="1"/>
  <c r="N648" i="1"/>
  <c r="O648" i="1" s="1"/>
  <c r="P648" i="1" s="1"/>
  <c r="Q648" i="1" s="1"/>
  <c r="N493" i="1"/>
  <c r="O493" i="1" s="1"/>
  <c r="P493" i="1" s="1"/>
  <c r="Q493" i="1" s="1"/>
  <c r="N492" i="1"/>
  <c r="O492" i="1" s="1"/>
  <c r="P492" i="1" s="1"/>
  <c r="Q492" i="1" s="1"/>
  <c r="N491" i="1"/>
  <c r="O491" i="1" s="1"/>
  <c r="P491" i="1" s="1"/>
  <c r="Q491" i="1" s="1"/>
  <c r="N490" i="1"/>
  <c r="O490" i="1" s="1"/>
  <c r="N489" i="1"/>
  <c r="O489" i="1" s="1"/>
  <c r="N488" i="1"/>
  <c r="O488" i="1" s="1"/>
  <c r="N487" i="1"/>
  <c r="O487" i="1" s="1"/>
  <c r="P487" i="1" s="1"/>
  <c r="Q487" i="1" s="1"/>
  <c r="R487" i="1" s="1"/>
  <c r="S487" i="1" s="1"/>
  <c r="N486" i="1"/>
  <c r="O486" i="1" s="1"/>
  <c r="N485" i="1"/>
  <c r="O485" i="1" s="1"/>
  <c r="N484" i="1"/>
  <c r="O484" i="1" s="1"/>
  <c r="P484" i="1" s="1"/>
  <c r="Q484" i="1" s="1"/>
  <c r="R484" i="1" s="1"/>
  <c r="S484" i="1" s="1"/>
  <c r="N483" i="1"/>
  <c r="O483" i="1" s="1"/>
  <c r="N482" i="1"/>
  <c r="O482" i="1" s="1"/>
  <c r="N481" i="1"/>
  <c r="O481" i="1" s="1"/>
  <c r="P481" i="1" s="1"/>
  <c r="Q481" i="1" s="1"/>
  <c r="R481" i="1" s="1"/>
  <c r="S481" i="1" s="1"/>
  <c r="N480" i="1"/>
  <c r="O480" i="1" s="1"/>
  <c r="N479" i="1"/>
  <c r="O479" i="1" s="1"/>
  <c r="N478" i="1"/>
  <c r="O478" i="1" s="1"/>
  <c r="P478" i="1" s="1"/>
  <c r="Q478" i="1" s="1"/>
  <c r="R478" i="1" s="1"/>
  <c r="S478" i="1" s="1"/>
  <c r="N477" i="1"/>
  <c r="O477" i="1" s="1"/>
  <c r="N476" i="1"/>
  <c r="O476" i="1" s="1"/>
  <c r="P476" i="1" s="1"/>
  <c r="Q476" i="1" s="1"/>
  <c r="R476" i="1" s="1"/>
  <c r="S476" i="1" s="1"/>
  <c r="N475" i="1"/>
  <c r="O475" i="1" s="1"/>
  <c r="P475" i="1" s="1"/>
  <c r="Q475" i="1" s="1"/>
  <c r="R475" i="1" s="1"/>
  <c r="S475" i="1" s="1"/>
  <c r="N279" i="1"/>
  <c r="O279" i="1" s="1"/>
  <c r="N432" i="1"/>
  <c r="O432" i="1" s="1"/>
  <c r="P432" i="1" s="1"/>
  <c r="Q432" i="1" s="1"/>
  <c r="N431" i="1"/>
  <c r="O431" i="1" s="1"/>
  <c r="N430" i="1"/>
  <c r="O430" i="1" s="1"/>
  <c r="N429" i="1"/>
  <c r="O429" i="1" s="1"/>
  <c r="N428" i="1"/>
  <c r="O428" i="1" s="1"/>
  <c r="P428" i="1" s="1"/>
  <c r="Q428" i="1" s="1"/>
  <c r="R428" i="1" s="1"/>
  <c r="S428" i="1" s="1"/>
  <c r="N427" i="1"/>
  <c r="O427" i="1" s="1"/>
  <c r="N426" i="1"/>
  <c r="O426" i="1" s="1"/>
  <c r="N425" i="1"/>
  <c r="O425" i="1" s="1"/>
  <c r="P425" i="1" s="1"/>
  <c r="Q425" i="1" s="1"/>
  <c r="R425" i="1" s="1"/>
  <c r="S425" i="1" s="1"/>
  <c r="N424" i="1"/>
  <c r="O424" i="1" s="1"/>
  <c r="N423" i="1"/>
  <c r="O423" i="1" s="1"/>
  <c r="P423" i="1" s="1"/>
  <c r="Q423" i="1" s="1"/>
  <c r="N297" i="1"/>
  <c r="O297" i="1" s="1"/>
  <c r="P297" i="1" s="1"/>
  <c r="Q297" i="1" s="1"/>
  <c r="R297" i="1" s="1"/>
  <c r="S297" i="1" s="1"/>
  <c r="N647" i="1"/>
  <c r="O647" i="1" s="1"/>
  <c r="N646" i="1"/>
  <c r="O646" i="1" s="1"/>
  <c r="N645" i="1"/>
  <c r="O645" i="1" s="1"/>
  <c r="P645" i="1" s="1"/>
  <c r="Q645" i="1" s="1"/>
  <c r="R645" i="1" s="1"/>
  <c r="S645" i="1" s="1"/>
  <c r="N644" i="1"/>
  <c r="O644" i="1" s="1"/>
  <c r="N643" i="1"/>
  <c r="O643" i="1" s="1"/>
  <c r="N642" i="1"/>
  <c r="O642" i="1" s="1"/>
  <c r="P642" i="1" s="1"/>
  <c r="Q642" i="1" s="1"/>
  <c r="N641" i="1"/>
  <c r="O641" i="1" s="1"/>
  <c r="N640" i="1"/>
  <c r="O640" i="1" s="1"/>
  <c r="N278" i="1"/>
  <c r="O278" i="1" s="1"/>
  <c r="P278" i="1" s="1"/>
  <c r="Q278" i="1" s="1"/>
  <c r="N474" i="1"/>
  <c r="O474" i="1" s="1"/>
  <c r="N274" i="1"/>
  <c r="O274" i="1" s="1"/>
  <c r="N273" i="1"/>
  <c r="O273" i="1" s="1"/>
  <c r="P273" i="1" s="1"/>
  <c r="Q273" i="1" s="1"/>
  <c r="N272" i="1"/>
  <c r="O272" i="1" s="1"/>
  <c r="N271" i="1"/>
  <c r="O271" i="1" s="1"/>
  <c r="P271" i="1" s="1"/>
  <c r="Q271" i="1" s="1"/>
  <c r="N270" i="1"/>
  <c r="O270" i="1" s="1"/>
  <c r="N269" i="1"/>
  <c r="O269" i="1" s="1"/>
  <c r="N268" i="1"/>
  <c r="O268" i="1" s="1"/>
  <c r="N267" i="1"/>
  <c r="O267" i="1" s="1"/>
  <c r="N266" i="1"/>
  <c r="O266" i="1" s="1"/>
  <c r="N265" i="1"/>
  <c r="O265" i="1" s="1"/>
  <c r="P265" i="1" s="1"/>
  <c r="Q265" i="1" s="1"/>
  <c r="R265" i="1" s="1"/>
  <c r="S265" i="1" s="1"/>
  <c r="N264" i="1"/>
  <c r="O264" i="1" s="1"/>
  <c r="N263" i="1"/>
  <c r="O263" i="1" s="1"/>
  <c r="P263" i="1" s="1"/>
  <c r="Q263" i="1" s="1"/>
  <c r="R263" i="1" s="1"/>
  <c r="S263" i="1" s="1"/>
  <c r="N262" i="1"/>
  <c r="O262" i="1" s="1"/>
  <c r="N261" i="1"/>
  <c r="O261" i="1" s="1"/>
  <c r="P261" i="1" s="1"/>
  <c r="Q261" i="1" s="1"/>
  <c r="N260" i="1"/>
  <c r="O260" i="1" s="1"/>
  <c r="N259" i="1"/>
  <c r="O259" i="1" s="1"/>
  <c r="N258" i="1"/>
  <c r="O258" i="1" s="1"/>
  <c r="N257" i="1"/>
  <c r="O257" i="1" s="1"/>
  <c r="P257" i="1" s="1"/>
  <c r="Q257" i="1" s="1"/>
  <c r="N256" i="1"/>
  <c r="O256" i="1" s="1"/>
  <c r="P256" i="1" s="1"/>
  <c r="Q256" i="1" s="1"/>
  <c r="N255" i="1"/>
  <c r="O255" i="1" s="1"/>
  <c r="P255" i="1" s="1"/>
  <c r="Q255" i="1" s="1"/>
  <c r="N254" i="1"/>
  <c r="O254" i="1" s="1"/>
  <c r="N253" i="1"/>
  <c r="O253" i="1" s="1"/>
  <c r="P253" i="1" s="1"/>
  <c r="Q253" i="1" s="1"/>
  <c r="R253" i="1" s="1"/>
  <c r="S253" i="1" s="1"/>
  <c r="N252" i="1"/>
  <c r="O252" i="1" s="1"/>
  <c r="N251" i="1"/>
  <c r="O251" i="1" s="1"/>
  <c r="N250" i="1"/>
  <c r="O250" i="1" s="1"/>
  <c r="N249" i="1"/>
  <c r="O249" i="1" s="1"/>
  <c r="P249" i="1" s="1"/>
  <c r="Q249" i="1" s="1"/>
  <c r="N248" i="1"/>
  <c r="O248" i="1" s="1"/>
  <c r="N247" i="1"/>
  <c r="O247" i="1" s="1"/>
  <c r="P247" i="1" s="1"/>
  <c r="Q247" i="1" s="1"/>
  <c r="N246" i="1"/>
  <c r="O246" i="1" s="1"/>
  <c r="N245" i="1"/>
  <c r="O245" i="1" s="1"/>
  <c r="P245" i="1" s="1"/>
  <c r="Q245" i="1" s="1"/>
  <c r="N244" i="1"/>
  <c r="O244" i="1" s="1"/>
  <c r="P244" i="1" s="1"/>
  <c r="Q244" i="1" s="1"/>
  <c r="N243" i="1"/>
  <c r="O243" i="1" s="1"/>
  <c r="N242" i="1"/>
  <c r="O242" i="1" s="1"/>
  <c r="N241" i="1"/>
  <c r="O241" i="1" s="1"/>
  <c r="P241" i="1" s="1"/>
  <c r="Q241" i="1" s="1"/>
  <c r="N240" i="1"/>
  <c r="O240" i="1" s="1"/>
  <c r="N239" i="1"/>
  <c r="O239" i="1" s="1"/>
  <c r="N238" i="1"/>
  <c r="O238" i="1" s="1"/>
  <c r="N237" i="1"/>
  <c r="O237" i="1" s="1"/>
  <c r="P237" i="1" s="1"/>
  <c r="Q237" i="1" s="1"/>
  <c r="N236" i="1"/>
  <c r="O236" i="1" s="1"/>
  <c r="P236" i="1" s="1"/>
  <c r="Q236" i="1" s="1"/>
  <c r="R236" i="1" s="1"/>
  <c r="S236" i="1" s="1"/>
  <c r="N235" i="1"/>
  <c r="O235" i="1" s="1"/>
  <c r="N234" i="1"/>
  <c r="O234" i="1" s="1"/>
  <c r="P234" i="1" s="1"/>
  <c r="Q234" i="1" s="1"/>
  <c r="N233" i="1"/>
  <c r="O233" i="1" s="1"/>
  <c r="N232" i="1"/>
  <c r="O232" i="1" s="1"/>
  <c r="N231" i="1"/>
  <c r="O231" i="1" s="1"/>
  <c r="P231" i="1" s="1"/>
  <c r="Q231" i="1" s="1"/>
  <c r="R231" i="1" s="1"/>
  <c r="S231" i="1" s="1"/>
  <c r="N230" i="1"/>
  <c r="O230" i="1" s="1"/>
  <c r="N229" i="1"/>
  <c r="O229" i="1" s="1"/>
  <c r="N228" i="1"/>
  <c r="O228" i="1" s="1"/>
  <c r="P228" i="1" s="1"/>
  <c r="Q228" i="1" s="1"/>
  <c r="N227" i="1"/>
  <c r="O227" i="1" s="1"/>
  <c r="N226" i="1"/>
  <c r="O226" i="1" s="1"/>
  <c r="N225" i="1"/>
  <c r="O225" i="1" s="1"/>
  <c r="P225" i="1" s="1"/>
  <c r="Q225" i="1" s="1"/>
  <c r="R225" i="1" s="1"/>
  <c r="S225" i="1" s="1"/>
  <c r="N224" i="1"/>
  <c r="O224" i="1" s="1"/>
  <c r="P224" i="1" s="1"/>
  <c r="Q224" i="1" s="1"/>
  <c r="R224" i="1" s="1"/>
  <c r="S224" i="1" s="1"/>
  <c r="N223" i="1"/>
  <c r="O223" i="1" s="1"/>
  <c r="N222" i="1"/>
  <c r="O222" i="1" s="1"/>
  <c r="N221" i="1"/>
  <c r="O221" i="1" s="1"/>
  <c r="N220" i="1"/>
  <c r="O220" i="1" s="1"/>
  <c r="N219" i="1"/>
  <c r="O219" i="1" s="1"/>
  <c r="N218" i="1"/>
  <c r="O218" i="1" s="1"/>
  <c r="P218" i="1" s="1"/>
  <c r="Q218" i="1" s="1"/>
  <c r="N217" i="1"/>
  <c r="O217" i="1" s="1"/>
  <c r="P217" i="1" s="1"/>
  <c r="Q217" i="1" s="1"/>
  <c r="N216" i="1"/>
  <c r="O216" i="1" s="1"/>
  <c r="N215" i="1"/>
  <c r="O215" i="1" s="1"/>
  <c r="N214" i="1"/>
  <c r="O214" i="1" s="1"/>
  <c r="N213" i="1"/>
  <c r="O213" i="1" s="1"/>
  <c r="N212" i="1"/>
  <c r="O212" i="1" s="1"/>
  <c r="P212" i="1" s="1"/>
  <c r="Q212" i="1" s="1"/>
  <c r="N211" i="1"/>
  <c r="O211" i="1" s="1"/>
  <c r="N210" i="1"/>
  <c r="O210" i="1" s="1"/>
  <c r="N209" i="1"/>
  <c r="O209" i="1" s="1"/>
  <c r="P209" i="1" s="1"/>
  <c r="Q209" i="1" s="1"/>
  <c r="N208" i="1"/>
  <c r="O208" i="1" s="1"/>
  <c r="P208" i="1" s="1"/>
  <c r="Q208" i="1" s="1"/>
  <c r="N207" i="1"/>
  <c r="O207" i="1" s="1"/>
  <c r="N206" i="1"/>
  <c r="O206" i="1" s="1"/>
  <c r="N205" i="1"/>
  <c r="O205" i="1" s="1"/>
  <c r="N204" i="1"/>
  <c r="O204" i="1" s="1"/>
  <c r="N203" i="1"/>
  <c r="O203" i="1" s="1"/>
  <c r="N202" i="1"/>
  <c r="O202" i="1" s="1"/>
  <c r="N201" i="1"/>
  <c r="O201" i="1" s="1"/>
  <c r="P201" i="1" s="1"/>
  <c r="Q201" i="1" s="1"/>
  <c r="N200" i="1"/>
  <c r="O200" i="1" s="1"/>
  <c r="P200" i="1" s="1"/>
  <c r="Q200" i="1" s="1"/>
  <c r="N199" i="1"/>
  <c r="O199" i="1" s="1"/>
  <c r="N198" i="1"/>
  <c r="O198" i="1" s="1"/>
  <c r="N197" i="1"/>
  <c r="O197" i="1" s="1"/>
  <c r="N196" i="1"/>
  <c r="O196" i="1" s="1"/>
  <c r="P196" i="1" s="1"/>
  <c r="Q196" i="1" s="1"/>
  <c r="R196" i="1" s="1"/>
  <c r="S196" i="1" s="1"/>
  <c r="N195" i="1"/>
  <c r="O195" i="1" s="1"/>
  <c r="P195" i="1" s="1"/>
  <c r="Q195" i="1" s="1"/>
  <c r="N194" i="1"/>
  <c r="O194" i="1" s="1"/>
  <c r="N193" i="1"/>
  <c r="O193" i="1" s="1"/>
  <c r="P193" i="1" s="1"/>
  <c r="Q193" i="1" s="1"/>
  <c r="N192" i="1"/>
  <c r="O192" i="1" s="1"/>
  <c r="N191" i="1"/>
  <c r="O191" i="1" s="1"/>
  <c r="N190" i="1"/>
  <c r="O190" i="1" s="1"/>
  <c r="N189" i="1"/>
  <c r="O189" i="1" s="1"/>
  <c r="N188" i="1"/>
  <c r="O188" i="1" s="1"/>
  <c r="P188" i="1" s="1"/>
  <c r="Q188" i="1" s="1"/>
  <c r="N187" i="1"/>
  <c r="O187" i="1" s="1"/>
  <c r="P187" i="1" s="1"/>
  <c r="Q187" i="1" s="1"/>
  <c r="N186" i="1"/>
  <c r="O186" i="1" s="1"/>
  <c r="P186" i="1" s="1"/>
  <c r="Q186" i="1" s="1"/>
  <c r="R186" i="1" s="1"/>
  <c r="S186" i="1" s="1"/>
  <c r="N185" i="1"/>
  <c r="O185" i="1" s="1"/>
  <c r="P185" i="1" s="1"/>
  <c r="Q185" i="1" s="1"/>
  <c r="N184" i="1"/>
  <c r="O184" i="1" s="1"/>
  <c r="N183" i="1"/>
  <c r="O183" i="1" s="1"/>
  <c r="N182" i="1"/>
  <c r="O182" i="1" s="1"/>
  <c r="N181" i="1"/>
  <c r="O181" i="1" s="1"/>
  <c r="N180" i="1"/>
  <c r="O180" i="1" s="1"/>
  <c r="N179" i="1"/>
  <c r="O179" i="1" s="1"/>
  <c r="N178" i="1"/>
  <c r="O178" i="1" s="1"/>
  <c r="P178" i="1" s="1"/>
  <c r="Q178" i="1" s="1"/>
  <c r="N177" i="1"/>
  <c r="O177" i="1" s="1"/>
  <c r="N176" i="1"/>
  <c r="O176" i="1" s="1"/>
  <c r="N175" i="1"/>
  <c r="O175" i="1" s="1"/>
  <c r="N174" i="1"/>
  <c r="O174" i="1" s="1"/>
  <c r="P174" i="1" s="1"/>
  <c r="Q174" i="1" s="1"/>
  <c r="R174" i="1" s="1"/>
  <c r="S174" i="1" s="1"/>
  <c r="N173" i="1"/>
  <c r="O173" i="1" s="1"/>
  <c r="P173" i="1" s="1"/>
  <c r="Q173" i="1" s="1"/>
  <c r="N172" i="1"/>
  <c r="O172" i="1" s="1"/>
  <c r="N171" i="1"/>
  <c r="O171" i="1" s="1"/>
  <c r="N170" i="1"/>
  <c r="O170" i="1" s="1"/>
  <c r="N169" i="1"/>
  <c r="O169" i="1" s="1"/>
  <c r="P169" i="1" s="1"/>
  <c r="Q169" i="1" s="1"/>
  <c r="N168" i="1"/>
  <c r="O168" i="1" s="1"/>
  <c r="P168" i="1" s="1"/>
  <c r="Q168" i="1" s="1"/>
  <c r="N167" i="1"/>
  <c r="O167" i="1" s="1"/>
  <c r="N166" i="1"/>
  <c r="O166" i="1" s="1"/>
  <c r="N165" i="1"/>
  <c r="O165" i="1" s="1"/>
  <c r="P165" i="1" s="1"/>
  <c r="Q165" i="1" s="1"/>
  <c r="N164" i="1"/>
  <c r="O164" i="1" s="1"/>
  <c r="N163" i="1"/>
  <c r="O163" i="1" s="1"/>
  <c r="N162" i="1"/>
  <c r="O162" i="1" s="1"/>
  <c r="P162" i="1" s="1"/>
  <c r="Q162" i="1" s="1"/>
  <c r="N161" i="1"/>
  <c r="O161" i="1" s="1"/>
  <c r="N160" i="1"/>
  <c r="O160" i="1" s="1"/>
  <c r="N159" i="1"/>
  <c r="O159" i="1" s="1"/>
  <c r="N158" i="1"/>
  <c r="O158" i="1" s="1"/>
  <c r="P158" i="1" s="1"/>
  <c r="Q158" i="1" s="1"/>
  <c r="N157" i="1"/>
  <c r="O157" i="1" s="1"/>
  <c r="P157" i="1" s="1"/>
  <c r="Q157" i="1" s="1"/>
  <c r="R157" i="1" s="1"/>
  <c r="S157" i="1" s="1"/>
  <c r="N156" i="1"/>
  <c r="O156" i="1" s="1"/>
  <c r="N155" i="1"/>
  <c r="O155" i="1" s="1"/>
  <c r="P155" i="1" s="1"/>
  <c r="Q155" i="1" s="1"/>
  <c r="N154" i="1"/>
  <c r="O154" i="1" s="1"/>
  <c r="P154" i="1" s="1"/>
  <c r="Q154" i="1" s="1"/>
  <c r="R154" i="1" s="1"/>
  <c r="S154" i="1" s="1"/>
  <c r="N153" i="1"/>
  <c r="O153" i="1" s="1"/>
  <c r="N152" i="1"/>
  <c r="O152" i="1" s="1"/>
  <c r="N151" i="1"/>
  <c r="O151" i="1" s="1"/>
  <c r="N150" i="1"/>
  <c r="O150" i="1" s="1"/>
  <c r="P150" i="1" s="1"/>
  <c r="Q150" i="1" s="1"/>
  <c r="N149" i="1"/>
  <c r="O149" i="1" s="1"/>
  <c r="P149" i="1" s="1"/>
  <c r="Q149" i="1" s="1"/>
  <c r="R149" i="1" s="1"/>
  <c r="S149" i="1" s="1"/>
  <c r="N148" i="1"/>
  <c r="O148" i="1" s="1"/>
  <c r="N147" i="1"/>
  <c r="O147" i="1" s="1"/>
  <c r="N146" i="1"/>
  <c r="O146" i="1" s="1"/>
  <c r="P146" i="1" s="1"/>
  <c r="Q146" i="1" s="1"/>
  <c r="N145" i="1"/>
  <c r="O145" i="1" s="1"/>
  <c r="P145" i="1" s="1"/>
  <c r="Q145" i="1" s="1"/>
  <c r="N144" i="1"/>
  <c r="O144" i="1" s="1"/>
  <c r="N143" i="1"/>
  <c r="O143" i="1" s="1"/>
  <c r="N142" i="1"/>
  <c r="O142" i="1" s="1"/>
  <c r="N141" i="1"/>
  <c r="O141" i="1" s="1"/>
  <c r="N140" i="1"/>
  <c r="O140" i="1" s="1"/>
  <c r="N139" i="1"/>
  <c r="O139" i="1" s="1"/>
  <c r="N138" i="1"/>
  <c r="O138" i="1" s="1"/>
  <c r="P138" i="1" s="1"/>
  <c r="Q138" i="1" s="1"/>
  <c r="R138" i="1" s="1"/>
  <c r="S138" i="1" s="1"/>
  <c r="N137" i="1"/>
  <c r="O137" i="1" s="1"/>
  <c r="N136" i="1"/>
  <c r="O136" i="1" s="1"/>
  <c r="N135" i="1"/>
  <c r="O135" i="1" s="1"/>
  <c r="N134" i="1"/>
  <c r="O134" i="1" s="1"/>
  <c r="P134" i="1" s="1"/>
  <c r="Q134" i="1" s="1"/>
  <c r="R134" i="1" s="1"/>
  <c r="S134" i="1" s="1"/>
  <c r="N133" i="1"/>
  <c r="O133" i="1" s="1"/>
  <c r="N132" i="1"/>
  <c r="O132" i="1" s="1"/>
  <c r="N131" i="1"/>
  <c r="O131" i="1" s="1"/>
  <c r="N130" i="1"/>
  <c r="O130" i="1" s="1"/>
  <c r="P130" i="1" s="1"/>
  <c r="Q130" i="1" s="1"/>
  <c r="R130" i="1" s="1"/>
  <c r="S130" i="1" s="1"/>
  <c r="N129" i="1"/>
  <c r="O129" i="1" s="1"/>
  <c r="N128" i="1"/>
  <c r="O128" i="1" s="1"/>
  <c r="N127" i="1"/>
  <c r="O127" i="1" s="1"/>
  <c r="N126" i="1"/>
  <c r="O126" i="1" s="1"/>
  <c r="N125" i="1"/>
  <c r="O125" i="1" s="1"/>
  <c r="N124" i="1"/>
  <c r="O124" i="1" s="1"/>
  <c r="N123" i="1"/>
  <c r="O123" i="1" s="1"/>
  <c r="P123" i="1" s="1"/>
  <c r="Q123" i="1" s="1"/>
  <c r="N122" i="1"/>
  <c r="O122" i="1" s="1"/>
  <c r="P122" i="1" s="1"/>
  <c r="Q122" i="1" s="1"/>
  <c r="R122" i="1" s="1"/>
  <c r="S122" i="1" s="1"/>
  <c r="N121" i="1"/>
  <c r="O121" i="1" s="1"/>
  <c r="N120" i="1"/>
  <c r="O120" i="1" s="1"/>
  <c r="N119" i="1"/>
  <c r="O119" i="1" s="1"/>
  <c r="N118" i="1"/>
  <c r="O118" i="1" s="1"/>
  <c r="N117" i="1"/>
  <c r="O117" i="1" s="1"/>
  <c r="N116" i="1"/>
  <c r="O116" i="1" s="1"/>
  <c r="N115" i="1"/>
  <c r="O115" i="1" s="1"/>
  <c r="N114" i="1"/>
  <c r="O114" i="1" s="1"/>
  <c r="P114" i="1" s="1"/>
  <c r="Q114" i="1" s="1"/>
  <c r="R114" i="1" s="1"/>
  <c r="S114" i="1" s="1"/>
  <c r="N113" i="1"/>
  <c r="O113" i="1" s="1"/>
  <c r="N112" i="1"/>
  <c r="O112" i="1" s="1"/>
  <c r="N111" i="1"/>
  <c r="O111" i="1" s="1"/>
  <c r="N110" i="1"/>
  <c r="O110" i="1" s="1"/>
  <c r="N109" i="1"/>
  <c r="O109" i="1" s="1"/>
  <c r="P109" i="1" s="1"/>
  <c r="Q109" i="1" s="1"/>
  <c r="R109" i="1" s="1"/>
  <c r="S109" i="1" s="1"/>
  <c r="N108" i="1"/>
  <c r="O108" i="1" s="1"/>
  <c r="P108" i="1" s="1"/>
  <c r="Q108" i="1" s="1"/>
  <c r="N107" i="1"/>
  <c r="O107" i="1" s="1"/>
  <c r="N106" i="1"/>
  <c r="O106" i="1" s="1"/>
  <c r="P106" i="1" s="1"/>
  <c r="Q106" i="1" s="1"/>
  <c r="R106" i="1" s="1"/>
  <c r="S106" i="1" s="1"/>
  <c r="N105" i="1"/>
  <c r="O105" i="1" s="1"/>
  <c r="P105" i="1" s="1"/>
  <c r="Q105" i="1" s="1"/>
  <c r="N104" i="1"/>
  <c r="O104" i="1" s="1"/>
  <c r="P104" i="1" s="1"/>
  <c r="Q104" i="1" s="1"/>
  <c r="R104" i="1" s="1"/>
  <c r="S104" i="1" s="1"/>
  <c r="N422" i="1"/>
  <c r="O422" i="1" s="1"/>
  <c r="N421" i="1"/>
  <c r="O421" i="1" s="1"/>
  <c r="N420" i="1"/>
  <c r="O420" i="1" s="1"/>
  <c r="N419" i="1"/>
  <c r="O419" i="1" s="1"/>
  <c r="P419" i="1" s="1"/>
  <c r="Q419" i="1" s="1"/>
  <c r="N418" i="1"/>
  <c r="O418" i="1" s="1"/>
  <c r="N74" i="1"/>
  <c r="O74" i="1" s="1"/>
  <c r="P74" i="1" s="1"/>
  <c r="Q74" i="1" s="1"/>
  <c r="R74" i="1" s="1"/>
  <c r="S74" i="1" s="1"/>
  <c r="N73" i="1"/>
  <c r="O73" i="1" s="1"/>
  <c r="N72" i="1"/>
  <c r="O72" i="1" s="1"/>
  <c r="N71" i="1"/>
  <c r="O71" i="1" s="1"/>
  <c r="N70" i="1"/>
  <c r="O70" i="1" s="1"/>
  <c r="N296" i="1"/>
  <c r="O296" i="1" s="1"/>
  <c r="P296" i="1" s="1"/>
  <c r="Q296" i="1" s="1"/>
  <c r="R296" i="1" s="1"/>
  <c r="S296" i="1" s="1"/>
  <c r="N295" i="1"/>
  <c r="O295" i="1" s="1"/>
  <c r="P295" i="1" s="1"/>
  <c r="Q295" i="1" s="1"/>
  <c r="N294" i="1"/>
  <c r="O294" i="1" s="1"/>
  <c r="N293" i="1"/>
  <c r="O293" i="1" s="1"/>
  <c r="N292" i="1"/>
  <c r="O292" i="1" s="1"/>
  <c r="N291" i="1"/>
  <c r="O291" i="1" s="1"/>
  <c r="N290" i="1"/>
  <c r="O290" i="1" s="1"/>
  <c r="N289" i="1"/>
  <c r="O289" i="1" s="1"/>
  <c r="N288" i="1"/>
  <c r="O288" i="1" s="1"/>
  <c r="N287" i="1"/>
  <c r="O287" i="1" s="1"/>
  <c r="P287" i="1" s="1"/>
  <c r="Q287" i="1" s="1"/>
  <c r="N286" i="1"/>
  <c r="O286" i="1" s="1"/>
  <c r="P286" i="1" s="1"/>
  <c r="Q286" i="1" s="1"/>
  <c r="N285" i="1"/>
  <c r="O285" i="1" s="1"/>
  <c r="P285" i="1" s="1"/>
  <c r="Q285" i="1" s="1"/>
  <c r="R285" i="1" s="1"/>
  <c r="S285" i="1" s="1"/>
  <c r="N284" i="1"/>
  <c r="O284" i="1" s="1"/>
  <c r="P284" i="1" s="1"/>
  <c r="Q284" i="1" s="1"/>
  <c r="R284" i="1" s="1"/>
  <c r="S284" i="1" s="1"/>
  <c r="N283" i="1"/>
  <c r="O283" i="1" s="1"/>
  <c r="P283" i="1" s="1"/>
  <c r="Q283" i="1" s="1"/>
  <c r="N282" i="1"/>
  <c r="O282" i="1" s="1"/>
  <c r="N281" i="1"/>
  <c r="O281" i="1" s="1"/>
  <c r="N280" i="1"/>
  <c r="O280" i="1" s="1"/>
  <c r="P280" i="1" s="1"/>
  <c r="Q280" i="1" s="1"/>
  <c r="R280" i="1" s="1"/>
  <c r="S280" i="1" s="1"/>
  <c r="N277" i="1"/>
  <c r="O277" i="1" s="1"/>
  <c r="N276" i="1"/>
  <c r="O276" i="1" s="1"/>
  <c r="N417" i="1"/>
  <c r="O417" i="1" s="1"/>
  <c r="P417" i="1" s="1"/>
  <c r="Q417" i="1" s="1"/>
  <c r="N416" i="1"/>
  <c r="O416" i="1" s="1"/>
  <c r="N415" i="1"/>
  <c r="O415" i="1" s="1"/>
  <c r="N414" i="1"/>
  <c r="O414" i="1" s="1"/>
  <c r="N413" i="1"/>
  <c r="O413" i="1" s="1"/>
  <c r="N412" i="1"/>
  <c r="O412" i="1" s="1"/>
  <c r="N411" i="1"/>
  <c r="O411" i="1" s="1"/>
  <c r="P411" i="1" s="1"/>
  <c r="Q411" i="1" s="1"/>
  <c r="N69" i="1"/>
  <c r="O69" i="1" s="1"/>
  <c r="N68" i="1"/>
  <c r="O68" i="1" s="1"/>
  <c r="P68" i="1" s="1"/>
  <c r="Q68" i="1" s="1"/>
  <c r="R68" i="1" s="1"/>
  <c r="S68" i="1" s="1"/>
  <c r="N65" i="1"/>
  <c r="O65" i="1" s="1"/>
  <c r="N64" i="1"/>
  <c r="O64" i="1" s="1"/>
  <c r="N103" i="1"/>
  <c r="O103" i="1" s="1"/>
  <c r="N102" i="1"/>
  <c r="O102" i="1" s="1"/>
  <c r="N101" i="1"/>
  <c r="O101" i="1" s="1"/>
  <c r="P101" i="1" s="1"/>
  <c r="Q101" i="1" s="1"/>
  <c r="R101" i="1" s="1"/>
  <c r="S101" i="1" s="1"/>
  <c r="N100" i="1"/>
  <c r="O100" i="1" s="1"/>
  <c r="P100" i="1" s="1"/>
  <c r="Q100" i="1" s="1"/>
  <c r="N99" i="1"/>
  <c r="O99" i="1" s="1"/>
  <c r="N98" i="1"/>
  <c r="O98" i="1" s="1"/>
  <c r="N97" i="1"/>
  <c r="O97" i="1" s="1"/>
  <c r="N96" i="1"/>
  <c r="O96" i="1" s="1"/>
  <c r="N95" i="1"/>
  <c r="O95" i="1" s="1"/>
  <c r="N94" i="1"/>
  <c r="O94" i="1" s="1"/>
  <c r="N93" i="1"/>
  <c r="O93" i="1" s="1"/>
  <c r="P93" i="1" s="1"/>
  <c r="Q93" i="1" s="1"/>
  <c r="N92" i="1"/>
  <c r="O92" i="1" s="1"/>
  <c r="P92" i="1" s="1"/>
  <c r="Q92" i="1" s="1"/>
  <c r="N91" i="1"/>
  <c r="O91" i="1" s="1"/>
  <c r="N90" i="1"/>
  <c r="O90" i="1" s="1"/>
  <c r="N89" i="1"/>
  <c r="O89" i="1" s="1"/>
  <c r="N88" i="1"/>
  <c r="O88" i="1" s="1"/>
  <c r="N87" i="1"/>
  <c r="O87" i="1" s="1"/>
  <c r="N86" i="1"/>
  <c r="O86" i="1" s="1"/>
  <c r="N85" i="1"/>
  <c r="O85" i="1" s="1"/>
  <c r="N84" i="1"/>
  <c r="O84" i="1" s="1"/>
  <c r="N83" i="1"/>
  <c r="O83" i="1" s="1"/>
  <c r="N82" i="1"/>
  <c r="O82" i="1" s="1"/>
  <c r="N81" i="1"/>
  <c r="O81" i="1" s="1"/>
  <c r="N80" i="1"/>
  <c r="O80" i="1" s="1"/>
  <c r="P80" i="1" s="1"/>
  <c r="Q80" i="1" s="1"/>
  <c r="R80" i="1" s="1"/>
  <c r="S80" i="1" s="1"/>
  <c r="N79" i="1"/>
  <c r="O79" i="1" s="1"/>
  <c r="P79" i="1" s="1"/>
  <c r="Q79" i="1" s="1"/>
  <c r="N78" i="1"/>
  <c r="O78" i="1" s="1"/>
  <c r="N77" i="1"/>
  <c r="O77" i="1" s="1"/>
  <c r="P77" i="1" s="1"/>
  <c r="Q77" i="1" s="1"/>
  <c r="N76" i="1"/>
  <c r="O76" i="1" s="1"/>
  <c r="N75" i="1"/>
  <c r="O75" i="1" s="1"/>
  <c r="N63" i="1"/>
  <c r="O63" i="1" s="1"/>
  <c r="N62" i="1"/>
  <c r="O62" i="1" s="1"/>
  <c r="N61" i="1"/>
  <c r="O61" i="1" s="1"/>
  <c r="P61" i="1" s="1"/>
  <c r="Q61" i="1" s="1"/>
  <c r="R61" i="1" s="1"/>
  <c r="S61" i="1" s="1"/>
  <c r="N60" i="1"/>
  <c r="O60" i="1" s="1"/>
  <c r="N59" i="1"/>
  <c r="O59" i="1" s="1"/>
  <c r="P59" i="1" s="1"/>
  <c r="Q59" i="1" s="1"/>
  <c r="N58" i="1"/>
  <c r="O58" i="1" s="1"/>
  <c r="P58" i="1" s="1"/>
  <c r="Q58" i="1" s="1"/>
  <c r="R58" i="1" s="1"/>
  <c r="S58" i="1" s="1"/>
  <c r="N57" i="1"/>
  <c r="O57" i="1" s="1"/>
  <c r="N56" i="1"/>
  <c r="O56" i="1" s="1"/>
  <c r="P56" i="1" s="1"/>
  <c r="Q56" i="1" s="1"/>
  <c r="R56" i="1" s="1"/>
  <c r="S56" i="1" s="1"/>
  <c r="N55" i="1"/>
  <c r="O55" i="1" s="1"/>
  <c r="N54" i="1"/>
  <c r="O54" i="1" s="1"/>
  <c r="N53" i="1"/>
  <c r="O53" i="1" s="1"/>
  <c r="N51" i="1"/>
  <c r="O51" i="1" s="1"/>
  <c r="N50" i="1"/>
  <c r="O50" i="1" s="1"/>
  <c r="N49" i="1"/>
  <c r="O49" i="1" s="1"/>
  <c r="P49" i="1" s="1"/>
  <c r="Q49" i="1" s="1"/>
  <c r="R49" i="1" s="1"/>
  <c r="S49" i="1" s="1"/>
  <c r="N67" i="1"/>
  <c r="O67" i="1" s="1"/>
  <c r="P67" i="1" s="1"/>
  <c r="Q67" i="1" s="1"/>
  <c r="N48" i="1"/>
  <c r="O48" i="1" s="1"/>
  <c r="N275" i="1"/>
  <c r="O275" i="1" s="1"/>
  <c r="N46" i="1"/>
  <c r="O46" i="1" s="1"/>
  <c r="N44" i="1"/>
  <c r="O44" i="1" s="1"/>
  <c r="P44" i="1" s="1"/>
  <c r="Q44" i="1" s="1"/>
  <c r="N45" i="1"/>
  <c r="O45" i="1" s="1"/>
  <c r="N43" i="1"/>
  <c r="O43" i="1" s="1"/>
  <c r="N42" i="1"/>
  <c r="O42" i="1" s="1"/>
  <c r="P42" i="1" s="1"/>
  <c r="Q42" i="1" s="1"/>
  <c r="R42" i="1" s="1"/>
  <c r="S42" i="1" s="1"/>
  <c r="N41" i="1"/>
  <c r="O41" i="1" s="1"/>
  <c r="N40" i="1"/>
  <c r="O40" i="1" s="1"/>
  <c r="N66" i="1"/>
  <c r="O66" i="1" s="1"/>
  <c r="N34" i="1"/>
  <c r="O34" i="1" s="1"/>
  <c r="N39" i="1"/>
  <c r="O39" i="1" s="1"/>
  <c r="N52" i="1"/>
  <c r="O52" i="1" s="1"/>
  <c r="N33" i="1"/>
  <c r="O33" i="1" s="1"/>
  <c r="N32" i="1"/>
  <c r="O32" i="1" s="1"/>
  <c r="P32" i="1" s="1"/>
  <c r="Q32" i="1" s="1"/>
  <c r="R32" i="1" s="1"/>
  <c r="S32" i="1" s="1"/>
  <c r="N31" i="1"/>
  <c r="O31" i="1" s="1"/>
  <c r="P31" i="1" s="1"/>
  <c r="Q31" i="1" s="1"/>
  <c r="N30" i="1"/>
  <c r="O30" i="1" s="1"/>
  <c r="N29" i="1"/>
  <c r="O29" i="1" s="1"/>
  <c r="N28" i="1"/>
  <c r="O28" i="1" s="1"/>
  <c r="N21" i="1"/>
  <c r="O21" i="1" s="1"/>
  <c r="N47" i="1"/>
  <c r="O47" i="1" s="1"/>
  <c r="N38" i="1"/>
  <c r="O38" i="1" s="1"/>
  <c r="N22" i="1"/>
  <c r="O22" i="1" s="1"/>
  <c r="P22" i="1" s="1"/>
  <c r="Q22" i="1" s="1"/>
  <c r="N27" i="1"/>
  <c r="O27" i="1" s="1"/>
  <c r="N26" i="1"/>
  <c r="O26" i="1" s="1"/>
  <c r="N25" i="1"/>
  <c r="O25" i="1" s="1"/>
  <c r="N20" i="1"/>
  <c r="O20" i="1" s="1"/>
  <c r="N19" i="1"/>
  <c r="O19" i="1" s="1"/>
  <c r="P19" i="1" s="1"/>
  <c r="Q19" i="1" s="1"/>
  <c r="R19" i="1" s="1"/>
  <c r="S19" i="1" s="1"/>
  <c r="N18" i="1"/>
  <c r="O18" i="1" s="1"/>
  <c r="N16" i="1"/>
  <c r="O16" i="1" s="1"/>
  <c r="N37" i="1"/>
  <c r="O37" i="1" s="1"/>
  <c r="P37" i="1" s="1"/>
  <c r="Q37" i="1" s="1"/>
  <c r="N36" i="1"/>
  <c r="O36" i="1" s="1"/>
  <c r="N35" i="1"/>
  <c r="O35" i="1" s="1"/>
  <c r="P35" i="1" s="1"/>
  <c r="Q35" i="1" s="1"/>
  <c r="N24" i="1"/>
  <c r="O24" i="1" s="1"/>
  <c r="N15" i="1"/>
  <c r="O15" i="1" s="1"/>
  <c r="N17" i="1"/>
  <c r="O17" i="1" s="1"/>
  <c r="N23" i="1"/>
  <c r="O23" i="1" s="1"/>
  <c r="N14" i="1"/>
  <c r="O14" i="1" s="1"/>
  <c r="N13" i="1"/>
  <c r="O13" i="1" s="1"/>
  <c r="P13" i="1" s="1"/>
  <c r="Q13" i="1" s="1"/>
  <c r="N10" i="1"/>
  <c r="O10" i="1" s="1"/>
  <c r="N12" i="1"/>
  <c r="O12" i="1" s="1"/>
  <c r="N11" i="1"/>
  <c r="O11" i="1" s="1"/>
  <c r="N9" i="1"/>
  <c r="O9" i="1" s="1"/>
  <c r="N8" i="1"/>
  <c r="O8" i="1" s="1"/>
  <c r="P8" i="1" s="1"/>
  <c r="Q8" i="1" s="1"/>
  <c r="R8" i="1" s="1"/>
  <c r="S8" i="1" s="1"/>
  <c r="N7" i="1"/>
  <c r="O7" i="1" s="1"/>
  <c r="N6" i="1"/>
  <c r="O6" i="1" s="1"/>
  <c r="N4" i="1"/>
  <c r="O4" i="1" s="1"/>
  <c r="P4" i="1" s="1"/>
  <c r="Q4" i="1" s="1"/>
  <c r="N5" i="1"/>
  <c r="O5" i="1" s="1"/>
  <c r="N3" i="1"/>
  <c r="O3" i="1" s="1"/>
  <c r="N2" i="1"/>
  <c r="T1657" i="1" l="1"/>
  <c r="R885" i="1"/>
  <c r="S885" i="1" s="1"/>
  <c r="R283" i="1"/>
  <c r="S283" i="1" s="1"/>
  <c r="R563" i="1"/>
  <c r="S563" i="1" s="1"/>
  <c r="R1024" i="1"/>
  <c r="S1024" i="1" s="1"/>
  <c r="R1600" i="1"/>
  <c r="S1600" i="1" s="1"/>
  <c r="P951" i="1"/>
  <c r="Q951" i="1" s="1"/>
  <c r="R951" i="1" s="1"/>
  <c r="S951" i="1" s="1"/>
  <c r="P865" i="1"/>
  <c r="Q865" i="1" s="1"/>
  <c r="R865" i="1" s="1"/>
  <c r="S865" i="1" s="1"/>
  <c r="R897" i="1"/>
  <c r="S897" i="1" s="1"/>
  <c r="R983" i="1"/>
  <c r="S983" i="1" s="1"/>
  <c r="R1420" i="1"/>
  <c r="S1420" i="1" s="1"/>
  <c r="P431" i="1"/>
  <c r="Q431" i="1" s="1"/>
  <c r="R431" i="1" s="1"/>
  <c r="S431" i="1" s="1"/>
  <c r="R1496" i="1"/>
  <c r="S1496" i="1" s="1"/>
  <c r="R1607" i="1"/>
  <c r="S1607" i="1" s="1"/>
  <c r="R468" i="1"/>
  <c r="S468" i="1" s="1"/>
  <c r="R801" i="1"/>
  <c r="S801" i="1" s="1"/>
  <c r="P1401" i="1"/>
  <c r="Q1401" i="1" s="1"/>
  <c r="R1401" i="1" s="1"/>
  <c r="S1401" i="1" s="1"/>
  <c r="R586" i="1"/>
  <c r="S586" i="1" s="1"/>
  <c r="R562" i="1"/>
  <c r="S562" i="1" s="1"/>
  <c r="R1569" i="1"/>
  <c r="S1569" i="1" s="1"/>
  <c r="R923" i="1"/>
  <c r="S923" i="1" s="1"/>
  <c r="P1602" i="1"/>
  <c r="Q1602" i="1" s="1"/>
  <c r="R1602" i="1" s="1"/>
  <c r="S1602" i="1" s="1"/>
  <c r="O2" i="1"/>
  <c r="O1654" i="1" s="1"/>
  <c r="N1654" i="1"/>
  <c r="R596" i="1"/>
  <c r="S596" i="1" s="1"/>
  <c r="R1072" i="1"/>
  <c r="S1072" i="1" s="1"/>
  <c r="R1030" i="1"/>
  <c r="S1030" i="1" s="1"/>
  <c r="P933" i="1"/>
  <c r="Q933" i="1" s="1"/>
  <c r="R933" i="1" s="1"/>
  <c r="S933" i="1" s="1"/>
  <c r="T1654" i="1"/>
  <c r="T1660" i="1" s="1"/>
  <c r="T1665" i="1" s="1"/>
  <c r="T1666" i="1" s="1"/>
  <c r="P1271" i="1"/>
  <c r="Q1271" i="1" s="1"/>
  <c r="R1271" i="1" s="1"/>
  <c r="S1271" i="1" s="1"/>
  <c r="R947" i="1"/>
  <c r="S947" i="1" s="1"/>
  <c r="P1381" i="1"/>
  <c r="Q1381" i="1" s="1"/>
  <c r="R1381" i="1" s="1"/>
  <c r="S1381" i="1" s="1"/>
  <c r="R446" i="1"/>
  <c r="S446" i="1" s="1"/>
  <c r="R498" i="1"/>
  <c r="S498" i="1" s="1"/>
  <c r="R973" i="1"/>
  <c r="S973" i="1" s="1"/>
  <c r="R689" i="1"/>
  <c r="S689" i="1" s="1"/>
  <c r="R1411" i="1"/>
  <c r="S1411" i="1" s="1"/>
  <c r="R1105" i="1"/>
  <c r="S1105" i="1" s="1"/>
  <c r="R1254" i="1"/>
  <c r="S1254" i="1" s="1"/>
  <c r="P1625" i="1"/>
  <c r="Q1625" i="1" s="1"/>
  <c r="R1625" i="1" s="1"/>
  <c r="S1625" i="1" s="1"/>
  <c r="P945" i="1"/>
  <c r="Q945" i="1" s="1"/>
  <c r="R945" i="1" s="1"/>
  <c r="S945" i="1" s="1"/>
  <c r="P1003" i="1"/>
  <c r="Q1003" i="1" s="1"/>
  <c r="R1003" i="1" s="1"/>
  <c r="S1003" i="1" s="1"/>
  <c r="P1595" i="1"/>
  <c r="Q1595" i="1" s="1"/>
  <c r="R1595" i="1" s="1"/>
  <c r="S1595" i="1" s="1"/>
  <c r="P120" i="1"/>
  <c r="Q120" i="1" s="1"/>
  <c r="R120" i="1" s="1"/>
  <c r="S120" i="1" s="1"/>
  <c r="P86" i="1"/>
  <c r="Q86" i="1" s="1"/>
  <c r="R86" i="1" s="1"/>
  <c r="S86" i="1" s="1"/>
  <c r="P859" i="1"/>
  <c r="Q859" i="1" s="1"/>
  <c r="R859" i="1" s="1"/>
  <c r="S859" i="1" s="1"/>
  <c r="P207" i="1"/>
  <c r="Q207" i="1" s="1"/>
  <c r="R207" i="1" s="1"/>
  <c r="S207" i="1" s="1"/>
  <c r="P1069" i="1"/>
  <c r="Q1069" i="1" s="1"/>
  <c r="R1069" i="1" s="1"/>
  <c r="S1069" i="1" s="1"/>
  <c r="P1041" i="1"/>
  <c r="Q1041" i="1" s="1"/>
  <c r="R1041" i="1" s="1"/>
  <c r="S1041" i="1" s="1"/>
  <c r="P339" i="1"/>
  <c r="Q339" i="1" s="1"/>
  <c r="R339" i="1" s="1"/>
  <c r="S339" i="1" s="1"/>
  <c r="P972" i="1"/>
  <c r="Q972" i="1" s="1"/>
  <c r="R972" i="1" s="1"/>
  <c r="S972" i="1" s="1"/>
  <c r="P1147" i="1"/>
  <c r="Q1147" i="1" s="1"/>
  <c r="R1147" i="1" s="1"/>
  <c r="S1147" i="1" s="1"/>
  <c r="P189" i="1"/>
  <c r="Q189" i="1" s="1"/>
  <c r="R189" i="1" s="1"/>
  <c r="S189" i="1" s="1"/>
  <c r="P1076" i="1"/>
  <c r="Q1076" i="1" s="1"/>
  <c r="R1076" i="1" s="1"/>
  <c r="S1076" i="1" s="1"/>
  <c r="P1078" i="1"/>
  <c r="Q1078" i="1" s="1"/>
  <c r="R1078" i="1" s="1"/>
  <c r="S1078" i="1" s="1"/>
  <c r="P327" i="1"/>
  <c r="Q327" i="1" s="1"/>
  <c r="R327" i="1" s="1"/>
  <c r="S327" i="1" s="1"/>
  <c r="P539" i="1"/>
  <c r="Q539" i="1" s="1"/>
  <c r="R539" i="1" s="1"/>
  <c r="S539" i="1" s="1"/>
  <c r="P1538" i="1"/>
  <c r="Q1538" i="1" s="1"/>
  <c r="R1538" i="1" s="1"/>
  <c r="S1538" i="1" s="1"/>
  <c r="P1566" i="1"/>
  <c r="Q1566" i="1" s="1"/>
  <c r="R1566" i="1" s="1"/>
  <c r="S1566" i="1" s="1"/>
  <c r="P482" i="1"/>
  <c r="Q482" i="1" s="1"/>
  <c r="R482" i="1" s="1"/>
  <c r="S482" i="1" s="1"/>
  <c r="P1178" i="1"/>
  <c r="Q1178" i="1" s="1"/>
  <c r="R1178" i="1" s="1"/>
  <c r="S1178" i="1" s="1"/>
  <c r="R273" i="1"/>
  <c r="S273" i="1" s="1"/>
  <c r="P850" i="1"/>
  <c r="Q850" i="1" s="1"/>
  <c r="R850" i="1" s="1"/>
  <c r="S850" i="1" s="1"/>
  <c r="R1192" i="1"/>
  <c r="S1192" i="1" s="1"/>
  <c r="P98" i="1"/>
  <c r="Q98" i="1" s="1"/>
  <c r="R98" i="1"/>
  <c r="S98" i="1" s="1"/>
  <c r="P1049" i="1"/>
  <c r="Q1049" i="1" s="1"/>
  <c r="R1049" i="1" s="1"/>
  <c r="S1049" i="1" s="1"/>
  <c r="R1098" i="1"/>
  <c r="S1098" i="1" s="1"/>
  <c r="P1361" i="1"/>
  <c r="Q1361" i="1" s="1"/>
  <c r="R1361" i="1" s="1"/>
  <c r="S1361" i="1" s="1"/>
  <c r="P1014" i="1"/>
  <c r="Q1014" i="1" s="1"/>
  <c r="R1014" i="1" s="1"/>
  <c r="S1014" i="1" s="1"/>
  <c r="P1140" i="1"/>
  <c r="Q1140" i="1" s="1"/>
  <c r="R1140" i="1" s="1"/>
  <c r="S1140" i="1" s="1"/>
  <c r="P979" i="1"/>
  <c r="Q979" i="1" s="1"/>
  <c r="R979" i="1" s="1"/>
  <c r="S979" i="1" s="1"/>
  <c r="P1641" i="1"/>
  <c r="Q1641" i="1" s="1"/>
  <c r="R1641" i="1" s="1"/>
  <c r="S1641" i="1" s="1"/>
  <c r="P220" i="1"/>
  <c r="Q220" i="1" s="1"/>
  <c r="R220" i="1" s="1"/>
  <c r="S220" i="1" s="1"/>
  <c r="P1167" i="1"/>
  <c r="Q1167" i="1" s="1"/>
  <c r="R1167" i="1" s="1"/>
  <c r="S1167" i="1" s="1"/>
  <c r="P172" i="1"/>
  <c r="Q172" i="1" s="1"/>
  <c r="R172" i="1" s="1"/>
  <c r="S172" i="1" s="1"/>
  <c r="P827" i="1"/>
  <c r="Q827" i="1" s="1"/>
  <c r="R827" i="1"/>
  <c r="S827" i="1" s="1"/>
  <c r="P1374" i="1"/>
  <c r="Q1374" i="1" s="1"/>
  <c r="R1374" i="1" s="1"/>
  <c r="S1374" i="1" s="1"/>
  <c r="P1574" i="1"/>
  <c r="Q1574" i="1" s="1"/>
  <c r="R1574" i="1" s="1"/>
  <c r="S1574" i="1" s="1"/>
  <c r="P1077" i="1"/>
  <c r="Q1077" i="1" s="1"/>
  <c r="R1077" i="1"/>
  <c r="S1077" i="1" s="1"/>
  <c r="P1198" i="1"/>
  <c r="Q1198" i="1" s="1"/>
  <c r="R1198" i="1" s="1"/>
  <c r="S1198" i="1" s="1"/>
  <c r="P1458" i="1"/>
  <c r="Q1458" i="1" s="1"/>
  <c r="R1458" i="1" s="1"/>
  <c r="S1458" i="1" s="1"/>
  <c r="P1522" i="1"/>
  <c r="Q1522" i="1" s="1"/>
  <c r="R1522" i="1" s="1"/>
  <c r="S1522" i="1" s="1"/>
  <c r="P1366" i="1"/>
  <c r="Q1366" i="1" s="1"/>
  <c r="R1366" i="1" s="1"/>
  <c r="S1366" i="1" s="1"/>
  <c r="P1539" i="1"/>
  <c r="Q1539" i="1" s="1"/>
  <c r="R1539" i="1" s="1"/>
  <c r="S1539" i="1" s="1"/>
  <c r="R228" i="1"/>
  <c r="S228" i="1" s="1"/>
  <c r="P1172" i="1"/>
  <c r="Q1172" i="1" s="1"/>
  <c r="R1172" i="1" s="1"/>
  <c r="S1172" i="1" s="1"/>
  <c r="P1576" i="1"/>
  <c r="Q1576" i="1" s="1"/>
  <c r="R1576" i="1" s="1"/>
  <c r="S1576" i="1" s="1"/>
  <c r="P76" i="1"/>
  <c r="Q76" i="1" s="1"/>
  <c r="R76" i="1" s="1"/>
  <c r="S76" i="1" s="1"/>
  <c r="R995" i="1"/>
  <c r="S995" i="1" s="1"/>
  <c r="R1632" i="1"/>
  <c r="S1632" i="1" s="1"/>
  <c r="R1646" i="1"/>
  <c r="S1646" i="1" s="1"/>
  <c r="P293" i="1"/>
  <c r="Q293" i="1" s="1"/>
  <c r="R293" i="1" s="1"/>
  <c r="S293" i="1" s="1"/>
  <c r="P969" i="1"/>
  <c r="Q969" i="1" s="1"/>
  <c r="R969" i="1" s="1"/>
  <c r="S969" i="1" s="1"/>
  <c r="R209" i="1"/>
  <c r="S209" i="1" s="1"/>
  <c r="R642" i="1"/>
  <c r="S642" i="1" s="1"/>
  <c r="R318" i="1"/>
  <c r="S318" i="1" s="1"/>
  <c r="P1062" i="1"/>
  <c r="Q1062" i="1" s="1"/>
  <c r="R1062" i="1" s="1"/>
  <c r="S1062" i="1" s="1"/>
  <c r="P1131" i="1"/>
  <c r="Q1131" i="1" s="1"/>
  <c r="R1131" i="1" s="1"/>
  <c r="S1131" i="1" s="1"/>
  <c r="P1280" i="1"/>
  <c r="Q1280" i="1" s="1"/>
  <c r="R1280" i="1" s="1"/>
  <c r="S1280" i="1" s="1"/>
  <c r="R515" i="1"/>
  <c r="S515" i="1" s="1"/>
  <c r="P853" i="1"/>
  <c r="Q853" i="1" s="1"/>
  <c r="R853" i="1" s="1"/>
  <c r="S853" i="1" s="1"/>
  <c r="P753" i="1"/>
  <c r="Q753" i="1" s="1"/>
  <c r="R753" i="1" s="1"/>
  <c r="S753" i="1" s="1"/>
  <c r="R77" i="1"/>
  <c r="S77" i="1" s="1"/>
  <c r="R165" i="1"/>
  <c r="S165" i="1" s="1"/>
  <c r="P597" i="1"/>
  <c r="Q597" i="1" s="1"/>
  <c r="R597" i="1" s="1"/>
  <c r="S597" i="1" s="1"/>
  <c r="R22" i="1"/>
  <c r="S22" i="1" s="1"/>
  <c r="P268" i="1"/>
  <c r="Q268" i="1" s="1"/>
  <c r="R268" i="1" s="1"/>
  <c r="S268" i="1" s="1"/>
  <c r="R1612" i="1"/>
  <c r="S1612" i="1" s="1"/>
  <c r="R589" i="1"/>
  <c r="S589" i="1" s="1"/>
  <c r="P1570" i="1"/>
  <c r="Q1570" i="1" s="1"/>
  <c r="R1570" i="1" s="1"/>
  <c r="S1570" i="1" s="1"/>
  <c r="R877" i="1"/>
  <c r="S877" i="1" s="1"/>
  <c r="P1291" i="1"/>
  <c r="Q1291" i="1" s="1"/>
  <c r="R1291" i="1" s="1"/>
  <c r="S1291" i="1" s="1"/>
  <c r="R188" i="1"/>
  <c r="S188" i="1" s="1"/>
  <c r="R1058" i="1"/>
  <c r="S1058" i="1" s="1"/>
  <c r="P378" i="1"/>
  <c r="Q378" i="1" s="1"/>
  <c r="R378" i="1" s="1"/>
  <c r="S378" i="1" s="1"/>
  <c r="P691" i="1"/>
  <c r="Q691" i="1" s="1"/>
  <c r="R691" i="1" s="1"/>
  <c r="S691" i="1" s="1"/>
  <c r="R986" i="1"/>
  <c r="S986" i="1" s="1"/>
  <c r="R1208" i="1"/>
  <c r="S1208" i="1" s="1"/>
  <c r="R653" i="1"/>
  <c r="S653" i="1" s="1"/>
  <c r="P599" i="1"/>
  <c r="Q599" i="1" s="1"/>
  <c r="R599" i="1" s="1"/>
  <c r="S599" i="1" s="1"/>
  <c r="P676" i="1"/>
  <c r="Q676" i="1" s="1"/>
  <c r="R676" i="1" s="1"/>
  <c r="S676" i="1" s="1"/>
  <c r="P950" i="1"/>
  <c r="Q950" i="1" s="1"/>
  <c r="R950" i="1" s="1"/>
  <c r="S950" i="1" s="1"/>
  <c r="P1064" i="1"/>
  <c r="Q1064" i="1" s="1"/>
  <c r="R1064" i="1" s="1"/>
  <c r="S1064" i="1" s="1"/>
  <c r="P1597" i="1"/>
  <c r="Q1597" i="1" s="1"/>
  <c r="R1597" i="1" s="1"/>
  <c r="S1597" i="1" s="1"/>
  <c r="R1403" i="1"/>
  <c r="S1403" i="1" s="1"/>
  <c r="P1483" i="1"/>
  <c r="Q1483" i="1" s="1"/>
  <c r="R1483" i="1" s="1"/>
  <c r="S1483" i="1" s="1"/>
  <c r="P831" i="1"/>
  <c r="Q831" i="1" s="1"/>
  <c r="R831" i="1" s="1"/>
  <c r="S831" i="1" s="1"/>
  <c r="R912" i="1"/>
  <c r="S912" i="1" s="1"/>
  <c r="P1393" i="1"/>
  <c r="Q1393" i="1" s="1"/>
  <c r="R1393" i="1" s="1"/>
  <c r="S1393" i="1" s="1"/>
  <c r="P1026" i="1"/>
  <c r="Q1026" i="1" s="1"/>
  <c r="R1026" i="1" s="1"/>
  <c r="S1026" i="1" s="1"/>
  <c r="R146" i="1"/>
  <c r="S146" i="1" s="1"/>
  <c r="R1647" i="1"/>
  <c r="S1647" i="1" s="1"/>
  <c r="P21" i="1"/>
  <c r="Q21" i="1" s="1"/>
  <c r="R21" i="1" s="1"/>
  <c r="S21" i="1" s="1"/>
  <c r="P450" i="1"/>
  <c r="Q450" i="1" s="1"/>
  <c r="R450" i="1" s="1"/>
  <c r="S450" i="1" s="1"/>
  <c r="R602" i="1"/>
  <c r="S602" i="1" s="1"/>
  <c r="P1042" i="1"/>
  <c r="Q1042" i="1" s="1"/>
  <c r="R1042" i="1" s="1"/>
  <c r="S1042" i="1" s="1"/>
  <c r="P1134" i="1"/>
  <c r="Q1134" i="1" s="1"/>
  <c r="R1134" i="1" s="1"/>
  <c r="S1134" i="1" s="1"/>
  <c r="P1155" i="1"/>
  <c r="Q1155" i="1" s="1"/>
  <c r="R1155" i="1" s="1"/>
  <c r="S1155" i="1" s="1"/>
  <c r="P1275" i="1"/>
  <c r="Q1275" i="1" s="1"/>
  <c r="R1275" i="1" s="1"/>
  <c r="S1275" i="1" s="1"/>
  <c r="P1329" i="1"/>
  <c r="Q1329" i="1" s="1"/>
  <c r="R1329" i="1" s="1"/>
  <c r="S1329" i="1" s="1"/>
  <c r="P1008" i="1"/>
  <c r="Q1008" i="1" s="1"/>
  <c r="R1008" i="1" s="1"/>
  <c r="S1008" i="1" s="1"/>
  <c r="P1052" i="1"/>
  <c r="Q1052" i="1" s="1"/>
  <c r="R1052" i="1" s="1"/>
  <c r="S1052" i="1" s="1"/>
  <c r="P1557" i="1"/>
  <c r="Q1557" i="1" s="1"/>
  <c r="R1557" i="1" s="1"/>
  <c r="S1557" i="1" s="1"/>
  <c r="P1588" i="1"/>
  <c r="Q1588" i="1" s="1"/>
  <c r="R1588" i="1" s="1"/>
  <c r="S1588" i="1" s="1"/>
  <c r="P604" i="1"/>
  <c r="Q604" i="1" s="1"/>
  <c r="R604" i="1" s="1"/>
  <c r="S604" i="1" s="1"/>
  <c r="P841" i="1"/>
  <c r="Q841" i="1" s="1"/>
  <c r="R841" i="1" s="1"/>
  <c r="S841" i="1" s="1"/>
  <c r="P904" i="1"/>
  <c r="Q904" i="1" s="1"/>
  <c r="R904" i="1" s="1"/>
  <c r="S904" i="1" s="1"/>
  <c r="R1168" i="1"/>
  <c r="S1168" i="1" s="1"/>
  <c r="R1259" i="1"/>
  <c r="S1259" i="1" s="1"/>
  <c r="R1309" i="1"/>
  <c r="S1309" i="1" s="1"/>
  <c r="P1349" i="1"/>
  <c r="Q1349" i="1" s="1"/>
  <c r="R1349" i="1" s="1"/>
  <c r="S1349" i="1" s="1"/>
  <c r="R1394" i="1"/>
  <c r="S1394" i="1" s="1"/>
  <c r="R1464" i="1"/>
  <c r="S1464" i="1" s="1"/>
  <c r="P999" i="1"/>
  <c r="Q999" i="1" s="1"/>
  <c r="R999" i="1" s="1"/>
  <c r="S999" i="1" s="1"/>
  <c r="R357" i="1"/>
  <c r="S357" i="1" s="1"/>
  <c r="P386" i="1"/>
  <c r="Q386" i="1" s="1"/>
  <c r="R386" i="1" s="1"/>
  <c r="S386" i="1" s="1"/>
  <c r="R547" i="1"/>
  <c r="S547" i="1" s="1"/>
  <c r="R594" i="1"/>
  <c r="S594" i="1" s="1"/>
  <c r="R832" i="1"/>
  <c r="S832" i="1" s="1"/>
  <c r="P872" i="1"/>
  <c r="Q872" i="1" s="1"/>
  <c r="R872" i="1" s="1"/>
  <c r="S872" i="1" s="1"/>
  <c r="P966" i="1"/>
  <c r="Q966" i="1" s="1"/>
  <c r="R966" i="1"/>
  <c r="S966" i="1" s="1"/>
  <c r="R1034" i="1"/>
  <c r="S1034" i="1" s="1"/>
  <c r="R1082" i="1"/>
  <c r="S1082" i="1" s="1"/>
  <c r="P800" i="1"/>
  <c r="Q800" i="1" s="1"/>
  <c r="R800" i="1" s="1"/>
  <c r="S800" i="1" s="1"/>
  <c r="R1530" i="1"/>
  <c r="S1530" i="1" s="1"/>
  <c r="P1601" i="1"/>
  <c r="Q1601" i="1" s="1"/>
  <c r="R1601" i="1" s="1"/>
  <c r="S1601" i="1" s="1"/>
  <c r="P789" i="1"/>
  <c r="Q789" i="1" s="1"/>
  <c r="R789" i="1" s="1"/>
  <c r="S789" i="1" s="1"/>
  <c r="P1151" i="1"/>
  <c r="Q1151" i="1" s="1"/>
  <c r="R1151" i="1" s="1"/>
  <c r="S1151" i="1" s="1"/>
  <c r="R1252" i="1"/>
  <c r="S1252" i="1" s="1"/>
  <c r="P1292" i="1"/>
  <c r="Q1292" i="1" s="1"/>
  <c r="R1292" i="1" s="1"/>
  <c r="S1292" i="1" s="1"/>
  <c r="R1395" i="1"/>
  <c r="S1395" i="1" s="1"/>
  <c r="R1405" i="1"/>
  <c r="S1405" i="1" s="1"/>
  <c r="R523" i="1"/>
  <c r="S523" i="1" s="1"/>
  <c r="P1628" i="1"/>
  <c r="Q1628" i="1" s="1"/>
  <c r="R1628" i="1" s="1"/>
  <c r="S1628" i="1" s="1"/>
  <c r="R345" i="1"/>
  <c r="S345" i="1" s="1"/>
  <c r="P1332" i="1"/>
  <c r="Q1332" i="1" s="1"/>
  <c r="R1332" i="1" s="1"/>
  <c r="S1332" i="1" s="1"/>
  <c r="R744" i="1"/>
  <c r="S744" i="1" s="1"/>
  <c r="P1649" i="1"/>
  <c r="Q1649" i="1" s="1"/>
  <c r="R1649" i="1" s="1"/>
  <c r="S1649" i="1" s="1"/>
  <c r="P113" i="1"/>
  <c r="Q113" i="1" s="1"/>
  <c r="R113" i="1" s="1"/>
  <c r="S113" i="1" s="1"/>
  <c r="R992" i="1"/>
  <c r="S992" i="1" s="1"/>
  <c r="P1455" i="1"/>
  <c r="Q1455" i="1" s="1"/>
  <c r="R1455" i="1" s="1"/>
  <c r="S1455" i="1" s="1"/>
  <c r="R1521" i="1"/>
  <c r="S1521" i="1" s="1"/>
  <c r="R1609" i="1"/>
  <c r="S1609" i="1" s="1"/>
  <c r="P453" i="1"/>
  <c r="Q453" i="1" s="1"/>
  <c r="R453" i="1" s="1"/>
  <c r="S453" i="1" s="1"/>
  <c r="R1513" i="1"/>
  <c r="S1513" i="1" s="1"/>
  <c r="P1536" i="1"/>
  <c r="Q1536" i="1" s="1"/>
  <c r="R1536" i="1" s="1"/>
  <c r="S1536" i="1" s="1"/>
  <c r="P540" i="1"/>
  <c r="Q540" i="1" s="1"/>
  <c r="R540" i="1" s="1"/>
  <c r="S540" i="1" s="1"/>
  <c r="P1294" i="1"/>
  <c r="Q1294" i="1" s="1"/>
  <c r="R1294" i="1" s="1"/>
  <c r="S1294" i="1" s="1"/>
  <c r="R1338" i="1"/>
  <c r="S1338" i="1" s="1"/>
  <c r="P1606" i="1"/>
  <c r="Q1606" i="1" s="1"/>
  <c r="R1606" i="1" s="1"/>
  <c r="S1606" i="1" s="1"/>
  <c r="P1613" i="1"/>
  <c r="Q1613" i="1" s="1"/>
  <c r="R1613" i="1" s="1"/>
  <c r="S1613" i="1" s="1"/>
  <c r="P1635" i="1"/>
  <c r="Q1635" i="1" s="1"/>
  <c r="R1635" i="1" s="1"/>
  <c r="S1635" i="1" s="1"/>
  <c r="P210" i="1"/>
  <c r="Q210" i="1" s="1"/>
  <c r="R210" i="1" s="1"/>
  <c r="S210" i="1" s="1"/>
  <c r="P643" i="1"/>
  <c r="Q643" i="1" s="1"/>
  <c r="R643" i="1" s="1"/>
  <c r="S643" i="1" s="1"/>
  <c r="R373" i="1"/>
  <c r="S373" i="1" s="1"/>
  <c r="P665" i="1"/>
  <c r="Q665" i="1" s="1"/>
  <c r="R665" i="1" s="1"/>
  <c r="S665" i="1" s="1"/>
  <c r="R507" i="1"/>
  <c r="S507" i="1" s="1"/>
  <c r="R821" i="1"/>
  <c r="S821" i="1" s="1"/>
  <c r="P854" i="1"/>
  <c r="Q854" i="1" s="1"/>
  <c r="R854" i="1" s="1"/>
  <c r="S854" i="1" s="1"/>
  <c r="R1045" i="1"/>
  <c r="S1045" i="1" s="1"/>
  <c r="R1448" i="1"/>
  <c r="S1448" i="1" s="1"/>
  <c r="R1544" i="1"/>
  <c r="S1544" i="1" s="1"/>
  <c r="R518" i="1"/>
  <c r="S518" i="1" s="1"/>
  <c r="P677" i="1"/>
  <c r="Q677" i="1" s="1"/>
  <c r="R677" i="1" s="1"/>
  <c r="S677" i="1" s="1"/>
  <c r="R261" i="1"/>
  <c r="S261" i="1" s="1"/>
  <c r="P585" i="1"/>
  <c r="Q585" i="1" s="1"/>
  <c r="R585" i="1" s="1"/>
  <c r="S585" i="1" s="1"/>
  <c r="R1263" i="1"/>
  <c r="S1263" i="1" s="1"/>
  <c r="R1459" i="1"/>
  <c r="S1459" i="1" s="1"/>
  <c r="P1524" i="1"/>
  <c r="Q1524" i="1" s="1"/>
  <c r="R1524" i="1" s="1"/>
  <c r="S1524" i="1" s="1"/>
  <c r="P1604" i="1"/>
  <c r="Q1604" i="1" s="1"/>
  <c r="R1604" i="1" s="1"/>
  <c r="S1604" i="1" s="1"/>
  <c r="P1610" i="1"/>
  <c r="Q1610" i="1" s="1"/>
  <c r="R1610" i="1" s="1"/>
  <c r="S1610" i="1" s="1"/>
  <c r="P269" i="1"/>
  <c r="Q269" i="1" s="1"/>
  <c r="R269" i="1" s="1"/>
  <c r="S269" i="1" s="1"/>
  <c r="R1000" i="1"/>
  <c r="S1000" i="1" s="1"/>
  <c r="R1081" i="1"/>
  <c r="S1081" i="1" s="1"/>
  <c r="R732" i="1"/>
  <c r="S732" i="1" s="1"/>
  <c r="R828" i="1"/>
  <c r="S828" i="1" s="1"/>
  <c r="R637" i="1"/>
  <c r="S637" i="1" s="1"/>
  <c r="R750" i="1"/>
  <c r="S750" i="1" s="1"/>
  <c r="R790" i="1"/>
  <c r="S790" i="1" s="1"/>
  <c r="R1418" i="1"/>
  <c r="S1418" i="1" s="1"/>
  <c r="R1490" i="1"/>
  <c r="S1490" i="1" s="1"/>
  <c r="P1633" i="1"/>
  <c r="Q1633" i="1" s="1"/>
  <c r="R1633" i="1" s="1"/>
  <c r="S1633" i="1" s="1"/>
  <c r="P205" i="1"/>
  <c r="Q205" i="1" s="1"/>
  <c r="R205" i="1" s="1"/>
  <c r="S205" i="1" s="1"/>
  <c r="P3" i="1"/>
  <c r="Q3" i="1" s="1"/>
  <c r="R3" i="1" s="1"/>
  <c r="S3" i="1" s="1"/>
  <c r="P26" i="1"/>
  <c r="Q26" i="1" s="1"/>
  <c r="R26" i="1" s="1"/>
  <c r="S26" i="1" s="1"/>
  <c r="P281" i="1"/>
  <c r="Q281" i="1" s="1"/>
  <c r="R281" i="1" s="1"/>
  <c r="S281" i="1" s="1"/>
  <c r="R44" i="1"/>
  <c r="S44" i="1" s="1"/>
  <c r="P73" i="1"/>
  <c r="Q73" i="1" s="1"/>
  <c r="R73" i="1" s="1"/>
  <c r="S73" i="1" s="1"/>
  <c r="P107" i="1"/>
  <c r="Q107" i="1" s="1"/>
  <c r="R107" i="1" s="1"/>
  <c r="S107" i="1" s="1"/>
  <c r="P75" i="1"/>
  <c r="Q75" i="1" s="1"/>
  <c r="R75" i="1" s="1"/>
  <c r="S75" i="1" s="1"/>
  <c r="P426" i="1"/>
  <c r="Q426" i="1" s="1"/>
  <c r="R426" i="1" s="1"/>
  <c r="S426" i="1" s="1"/>
  <c r="P48" i="1"/>
  <c r="Q48" i="1" s="1"/>
  <c r="R48" i="1" s="1"/>
  <c r="S48" i="1" s="1"/>
  <c r="P96" i="1"/>
  <c r="Q96" i="1" s="1"/>
  <c r="R96" i="1" s="1"/>
  <c r="S96" i="1" s="1"/>
  <c r="P6" i="1"/>
  <c r="Q6" i="1" s="1"/>
  <c r="R6" i="1" s="1"/>
  <c r="S6" i="1" s="1"/>
  <c r="P38" i="1"/>
  <c r="Q38" i="1" s="1"/>
  <c r="R38" i="1" s="1"/>
  <c r="S38" i="1" s="1"/>
  <c r="P657" i="1"/>
  <c r="Q657" i="1" s="1"/>
  <c r="R657" i="1" s="1"/>
  <c r="S657" i="1" s="1"/>
  <c r="P9" i="1"/>
  <c r="Q9" i="1" s="1"/>
  <c r="R9" i="1" s="1"/>
  <c r="S9" i="1" s="1"/>
  <c r="P65" i="1"/>
  <c r="Q65" i="1" s="1"/>
  <c r="R65" i="1" s="1"/>
  <c r="S65" i="1" s="1"/>
  <c r="P110" i="1"/>
  <c r="Q110" i="1" s="1"/>
  <c r="R110" i="1" s="1"/>
  <c r="S110" i="1" s="1"/>
  <c r="P139" i="1"/>
  <c r="Q139" i="1" s="1"/>
  <c r="R139" i="1" s="1"/>
  <c r="S139" i="1" s="1"/>
  <c r="P191" i="1"/>
  <c r="Q191" i="1" s="1"/>
  <c r="R191" i="1" s="1"/>
  <c r="S191" i="1" s="1"/>
  <c r="P274" i="1"/>
  <c r="Q274" i="1" s="1"/>
  <c r="R274" i="1" s="1"/>
  <c r="S274" i="1" s="1"/>
  <c r="P294" i="1"/>
  <c r="Q294" i="1" s="1"/>
  <c r="R294" i="1" s="1"/>
  <c r="S294" i="1" s="1"/>
  <c r="P33" i="1"/>
  <c r="Q33" i="1" s="1"/>
  <c r="R33" i="1" s="1"/>
  <c r="S33" i="1" s="1"/>
  <c r="P375" i="1"/>
  <c r="Q375" i="1" s="1"/>
  <c r="R375" i="1" s="1"/>
  <c r="S375" i="1" s="1"/>
  <c r="P219" i="1"/>
  <c r="Q219" i="1" s="1"/>
  <c r="R219" i="1" s="1"/>
  <c r="S219" i="1" s="1"/>
  <c r="P16" i="1"/>
  <c r="Q16" i="1" s="1"/>
  <c r="R16" i="1" s="1"/>
  <c r="S16" i="1" s="1"/>
  <c r="P78" i="1"/>
  <c r="Q78" i="1" s="1"/>
  <c r="R78" i="1" s="1"/>
  <c r="S78" i="1" s="1"/>
  <c r="P166" i="1"/>
  <c r="Q166" i="1" s="1"/>
  <c r="R166" i="1" s="1"/>
  <c r="S166" i="1" s="1"/>
  <c r="P40" i="1"/>
  <c r="Q40" i="1" s="1"/>
  <c r="R40" i="1" s="1"/>
  <c r="S40" i="1" s="1"/>
  <c r="P649" i="1"/>
  <c r="Q649" i="1" s="1"/>
  <c r="R649" i="1" s="1"/>
  <c r="S649" i="1" s="1"/>
  <c r="P12" i="1"/>
  <c r="Q12" i="1" s="1"/>
  <c r="R12" i="1" s="1"/>
  <c r="S12" i="1" s="1"/>
  <c r="P50" i="1"/>
  <c r="Q50" i="1" s="1"/>
  <c r="R50" i="1" s="1"/>
  <c r="S50" i="1" s="1"/>
  <c r="P142" i="1"/>
  <c r="Q142" i="1" s="1"/>
  <c r="R142" i="1" s="1"/>
  <c r="S142" i="1" s="1"/>
  <c r="P99" i="1"/>
  <c r="Q99" i="1" s="1"/>
  <c r="R99" i="1" s="1"/>
  <c r="S99" i="1" s="1"/>
  <c r="P232" i="1"/>
  <c r="Q232" i="1" s="1"/>
  <c r="R232" i="1" s="1"/>
  <c r="S232" i="1" s="1"/>
  <c r="P14" i="1"/>
  <c r="Q14" i="1" s="1"/>
  <c r="R14" i="1" s="1"/>
  <c r="S14" i="1" s="1"/>
  <c r="P30" i="1"/>
  <c r="Q30" i="1" s="1"/>
  <c r="R30" i="1" s="1"/>
  <c r="S30" i="1" s="1"/>
  <c r="P81" i="1"/>
  <c r="Q81" i="1" s="1"/>
  <c r="R81" i="1" s="1"/>
  <c r="S81" i="1" s="1"/>
  <c r="P70" i="1"/>
  <c r="Q70" i="1" s="1"/>
  <c r="R70" i="1" s="1"/>
  <c r="S70" i="1" s="1"/>
  <c r="P223" i="1"/>
  <c r="Q223" i="1" s="1"/>
  <c r="R223" i="1" s="1"/>
  <c r="S223" i="1" s="1"/>
  <c r="P291" i="1"/>
  <c r="Q291" i="1" s="1"/>
  <c r="R291" i="1" s="1"/>
  <c r="S291" i="1" s="1"/>
  <c r="P414" i="1"/>
  <c r="Q414" i="1" s="1"/>
  <c r="R414" i="1" s="1"/>
  <c r="S414" i="1" s="1"/>
  <c r="P546" i="1"/>
  <c r="Q546" i="1" s="1"/>
  <c r="R546" i="1" s="1"/>
  <c r="S546" i="1" s="1"/>
  <c r="P43" i="1"/>
  <c r="Q43" i="1" s="1"/>
  <c r="R43" i="1" s="1"/>
  <c r="S43" i="1" s="1"/>
  <c r="P52" i="1"/>
  <c r="Q52" i="1" s="1"/>
  <c r="R52" i="1" s="1"/>
  <c r="S52" i="1" s="1"/>
  <c r="P87" i="1"/>
  <c r="Q87" i="1" s="1"/>
  <c r="R87" i="1" s="1"/>
  <c r="S87" i="1" s="1"/>
  <c r="P290" i="1"/>
  <c r="Q290" i="1" s="1"/>
  <c r="R290" i="1" s="1"/>
  <c r="S290" i="1" s="1"/>
  <c r="P121" i="1"/>
  <c r="Q121" i="1" s="1"/>
  <c r="R121" i="1" s="1"/>
  <c r="S121" i="1" s="1"/>
  <c r="P152" i="1"/>
  <c r="Q152" i="1" s="1"/>
  <c r="R152" i="1" s="1"/>
  <c r="S152" i="1" s="1"/>
  <c r="R237" i="1"/>
  <c r="S237" i="1" s="1"/>
  <c r="P477" i="1"/>
  <c r="Q477" i="1" s="1"/>
  <c r="R477" i="1" s="1"/>
  <c r="S477" i="1" s="1"/>
  <c r="P483" i="1"/>
  <c r="Q483" i="1" s="1"/>
  <c r="R483" i="1" s="1"/>
  <c r="S483" i="1" s="1"/>
  <c r="P490" i="1"/>
  <c r="Q490" i="1" s="1"/>
  <c r="R490" i="1" s="1"/>
  <c r="S490" i="1" s="1"/>
  <c r="P338" i="1"/>
  <c r="Q338" i="1" s="1"/>
  <c r="R338" i="1" s="1"/>
  <c r="S338" i="1" s="1"/>
  <c r="R347" i="1"/>
  <c r="S347" i="1" s="1"/>
  <c r="P442" i="1"/>
  <c r="Q442" i="1" s="1"/>
  <c r="R442" i="1" s="1"/>
  <c r="S442" i="1" s="1"/>
  <c r="P117" i="1"/>
  <c r="Q117" i="1" s="1"/>
  <c r="R117" i="1" s="1"/>
  <c r="S117" i="1" s="1"/>
  <c r="P304" i="1"/>
  <c r="Q304" i="1" s="1"/>
  <c r="R304" i="1" s="1"/>
  <c r="S304" i="1" s="1"/>
  <c r="R123" i="1"/>
  <c r="S123" i="1" s="1"/>
  <c r="P211" i="1"/>
  <c r="Q211" i="1" s="1"/>
  <c r="R211" i="1" s="1"/>
  <c r="S211" i="1" s="1"/>
  <c r="P233" i="1"/>
  <c r="Q233" i="1" s="1"/>
  <c r="R233" i="1" s="1"/>
  <c r="S233" i="1" s="1"/>
  <c r="P329" i="1"/>
  <c r="Q329" i="1" s="1"/>
  <c r="R329" i="1" s="1"/>
  <c r="S329" i="1" s="1"/>
  <c r="P334" i="1"/>
  <c r="Q334" i="1" s="1"/>
  <c r="R334" i="1" s="1"/>
  <c r="S334" i="1" s="1"/>
  <c r="P360" i="1"/>
  <c r="Q360" i="1" s="1"/>
  <c r="R360" i="1" s="1"/>
  <c r="S360" i="1" s="1"/>
  <c r="P528" i="1"/>
  <c r="Q528" i="1" s="1"/>
  <c r="R528" i="1" s="1"/>
  <c r="S528" i="1" s="1"/>
  <c r="P619" i="1"/>
  <c r="Q619" i="1" s="1"/>
  <c r="R619" i="1" s="1"/>
  <c r="S619" i="1" s="1"/>
  <c r="P880" i="1"/>
  <c r="Q880" i="1" s="1"/>
  <c r="R880" i="1" s="1"/>
  <c r="S880" i="1" s="1"/>
  <c r="P83" i="1"/>
  <c r="Q83" i="1" s="1"/>
  <c r="R83" i="1" s="1"/>
  <c r="S83" i="1" s="1"/>
  <c r="R286" i="1"/>
  <c r="S286" i="1" s="1"/>
  <c r="P407" i="1"/>
  <c r="Q407" i="1" s="1"/>
  <c r="R407" i="1" s="1"/>
  <c r="S407" i="1" s="1"/>
  <c r="P710" i="1"/>
  <c r="Q710" i="1" s="1"/>
  <c r="R710" i="1" s="1"/>
  <c r="S710" i="1" s="1"/>
  <c r="P82" i="1"/>
  <c r="Q82" i="1" s="1"/>
  <c r="R82" i="1" s="1"/>
  <c r="S82" i="1" s="1"/>
  <c r="P553" i="1"/>
  <c r="Q553" i="1" s="1"/>
  <c r="R553" i="1" s="1"/>
  <c r="S553" i="1" s="1"/>
  <c r="P1519" i="1"/>
  <c r="Q1519" i="1" s="1"/>
  <c r="R1519" i="1" s="1"/>
  <c r="S1519" i="1" s="1"/>
  <c r="R35" i="1"/>
  <c r="S35" i="1" s="1"/>
  <c r="P1025" i="1"/>
  <c r="Q1025" i="1" s="1"/>
  <c r="R1025" i="1" s="1"/>
  <c r="S1025" i="1" s="1"/>
  <c r="P340" i="1"/>
  <c r="Q340" i="1" s="1"/>
  <c r="R340" i="1" s="1"/>
  <c r="S340" i="1" s="1"/>
  <c r="P47" i="1"/>
  <c r="Q47" i="1" s="1"/>
  <c r="R47" i="1" s="1"/>
  <c r="S47" i="1" s="1"/>
  <c r="P112" i="1"/>
  <c r="Q112" i="1" s="1"/>
  <c r="R112" i="1" s="1"/>
  <c r="S112" i="1" s="1"/>
  <c r="P136" i="1"/>
  <c r="Q136" i="1" s="1"/>
  <c r="R136" i="1" s="1"/>
  <c r="S136" i="1" s="1"/>
  <c r="P167" i="1"/>
  <c r="Q167" i="1" s="1"/>
  <c r="R167" i="1" s="1"/>
  <c r="S167" i="1" s="1"/>
  <c r="P181" i="1"/>
  <c r="Q181" i="1" s="1"/>
  <c r="R181" i="1" s="1"/>
  <c r="S181" i="1" s="1"/>
  <c r="R247" i="1"/>
  <c r="S247" i="1" s="1"/>
  <c r="P17" i="1"/>
  <c r="Q17" i="1" s="1"/>
  <c r="R17" i="1" s="1"/>
  <c r="S17" i="1" s="1"/>
  <c r="P84" i="1"/>
  <c r="Q84" i="1" s="1"/>
  <c r="R84" i="1" s="1"/>
  <c r="S84" i="1" s="1"/>
  <c r="P90" i="1"/>
  <c r="Q90" i="1" s="1"/>
  <c r="R90" i="1" s="1"/>
  <c r="S90" i="1" s="1"/>
  <c r="R287" i="1"/>
  <c r="S287" i="1" s="1"/>
  <c r="P420" i="1"/>
  <c r="Q420" i="1" s="1"/>
  <c r="R420" i="1" s="1"/>
  <c r="S420" i="1" s="1"/>
  <c r="P124" i="1"/>
  <c r="Q124" i="1" s="1"/>
  <c r="R124" i="1" s="1"/>
  <c r="S124" i="1" s="1"/>
  <c r="P137" i="1"/>
  <c r="Q137" i="1" s="1"/>
  <c r="R137" i="1" s="1"/>
  <c r="S137" i="1" s="1"/>
  <c r="P161" i="1"/>
  <c r="Q161" i="1" s="1"/>
  <c r="R161" i="1" s="1"/>
  <c r="S161" i="1" s="1"/>
  <c r="P192" i="1"/>
  <c r="Q192" i="1" s="1"/>
  <c r="R192" i="1" s="1"/>
  <c r="S192" i="1" s="1"/>
  <c r="P474" i="1"/>
  <c r="Q474" i="1" s="1"/>
  <c r="R474" i="1" s="1"/>
  <c r="S474" i="1" s="1"/>
  <c r="R432" i="1"/>
  <c r="S432" i="1" s="1"/>
  <c r="R648" i="1"/>
  <c r="S648" i="1" s="1"/>
  <c r="R361" i="1"/>
  <c r="S361" i="1" s="1"/>
  <c r="P521" i="1"/>
  <c r="Q521" i="1" s="1"/>
  <c r="R521" i="1" s="1"/>
  <c r="S521" i="1" s="1"/>
  <c r="P621" i="1"/>
  <c r="Q621" i="1" s="1"/>
  <c r="R621" i="1" s="1"/>
  <c r="S621" i="1" s="1"/>
  <c r="P890" i="1"/>
  <c r="Q890" i="1" s="1"/>
  <c r="R890" i="1" s="1"/>
  <c r="S890" i="1" s="1"/>
  <c r="P930" i="1"/>
  <c r="Q930" i="1" s="1"/>
  <c r="R930" i="1" s="1"/>
  <c r="S930" i="1" s="1"/>
  <c r="P88" i="1"/>
  <c r="Q88" i="1" s="1"/>
  <c r="R88" i="1" s="1"/>
  <c r="S88" i="1" s="1"/>
  <c r="P1156" i="1"/>
  <c r="Q1156" i="1" s="1"/>
  <c r="R1156" i="1" s="1"/>
  <c r="S1156" i="1" s="1"/>
  <c r="R218" i="1"/>
  <c r="S218" i="1" s="1"/>
  <c r="P500" i="1"/>
  <c r="Q500" i="1" s="1"/>
  <c r="R500" i="1" s="1"/>
  <c r="S500" i="1" s="1"/>
  <c r="P616" i="1"/>
  <c r="Q616" i="1" s="1"/>
  <c r="R616" i="1" s="1"/>
  <c r="S616" i="1" s="1"/>
  <c r="P89" i="1"/>
  <c r="Q89" i="1" s="1"/>
  <c r="R89" i="1" s="1"/>
  <c r="S89" i="1" s="1"/>
  <c r="R4" i="1"/>
  <c r="S4" i="1" s="1"/>
  <c r="P292" i="1"/>
  <c r="Q292" i="1" s="1"/>
  <c r="R292" i="1" s="1"/>
  <c r="S292" i="1" s="1"/>
  <c r="P656" i="1"/>
  <c r="Q656" i="1" s="1"/>
  <c r="R656" i="1" s="1"/>
  <c r="S656" i="1" s="1"/>
  <c r="P359" i="1"/>
  <c r="Q359" i="1" s="1"/>
  <c r="R359" i="1" s="1"/>
  <c r="S359" i="1" s="1"/>
  <c r="P797" i="1"/>
  <c r="Q797" i="1" s="1"/>
  <c r="R797" i="1" s="1"/>
  <c r="S797" i="1" s="1"/>
  <c r="P34" i="1"/>
  <c r="Q34" i="1" s="1"/>
  <c r="R34" i="1" s="1"/>
  <c r="S34" i="1" s="1"/>
  <c r="P97" i="1"/>
  <c r="Q97" i="1" s="1"/>
  <c r="R97" i="1" s="1"/>
  <c r="S97" i="1" s="1"/>
  <c r="P415" i="1"/>
  <c r="Q415" i="1" s="1"/>
  <c r="R415" i="1" s="1"/>
  <c r="S415" i="1" s="1"/>
  <c r="P421" i="1"/>
  <c r="Q421" i="1" s="1"/>
  <c r="R421" i="1" s="1"/>
  <c r="S421" i="1" s="1"/>
  <c r="P45" i="1"/>
  <c r="Q45" i="1" s="1"/>
  <c r="R45" i="1" s="1"/>
  <c r="S45" i="1" s="1"/>
  <c r="P72" i="1"/>
  <c r="Q72" i="1" s="1"/>
  <c r="R72" i="1" s="1"/>
  <c r="S72" i="1" s="1"/>
  <c r="P422" i="1"/>
  <c r="Q422" i="1" s="1"/>
  <c r="R422" i="1" s="1"/>
  <c r="S422" i="1" s="1"/>
  <c r="P131" i="1"/>
  <c r="Q131" i="1" s="1"/>
  <c r="R131" i="1" s="1"/>
  <c r="S131" i="1" s="1"/>
  <c r="P279" i="1"/>
  <c r="Q279" i="1" s="1"/>
  <c r="R279" i="1" s="1"/>
  <c r="S279" i="1" s="1"/>
  <c r="P298" i="1"/>
  <c r="Q298" i="1" s="1"/>
  <c r="R298" i="1" s="1"/>
  <c r="S298" i="1" s="1"/>
  <c r="P317" i="1"/>
  <c r="Q317" i="1" s="1"/>
  <c r="R317" i="1" s="1"/>
  <c r="S317" i="1" s="1"/>
  <c r="P362" i="1"/>
  <c r="Q362" i="1" s="1"/>
  <c r="R362" i="1" s="1"/>
  <c r="S362" i="1" s="1"/>
  <c r="P496" i="1"/>
  <c r="Q496" i="1" s="1"/>
  <c r="R496" i="1" s="1"/>
  <c r="S496" i="1" s="1"/>
  <c r="P5" i="1"/>
  <c r="Q5" i="1" s="1"/>
  <c r="R5" i="1" s="1"/>
  <c r="S5" i="1" s="1"/>
  <c r="P238" i="1"/>
  <c r="Q238" i="1" s="1"/>
  <c r="R238" i="1" s="1"/>
  <c r="S238" i="1" s="1"/>
  <c r="P129" i="1"/>
  <c r="Q129" i="1" s="1"/>
  <c r="R129" i="1" s="1"/>
  <c r="S129" i="1" s="1"/>
  <c r="P706" i="1"/>
  <c r="Q706" i="1" s="1"/>
  <c r="R706" i="1" s="1"/>
  <c r="S706" i="1" s="1"/>
  <c r="P537" i="1"/>
  <c r="Q537" i="1" s="1"/>
  <c r="R537" i="1" s="1"/>
  <c r="S537" i="1" s="1"/>
  <c r="P111" i="1"/>
  <c r="Q111" i="1" s="1"/>
  <c r="R111" i="1" s="1"/>
  <c r="S111" i="1" s="1"/>
  <c r="P119" i="1"/>
  <c r="Q119" i="1" s="1"/>
  <c r="R119" i="1" s="1"/>
  <c r="S119" i="1" s="1"/>
  <c r="R200" i="1"/>
  <c r="S200" i="1" s="1"/>
  <c r="P248" i="1"/>
  <c r="Q248" i="1" s="1"/>
  <c r="R248" i="1" s="1"/>
  <c r="S248" i="1" s="1"/>
  <c r="P7" i="1"/>
  <c r="Q7" i="1" s="1"/>
  <c r="R7" i="1" s="1"/>
  <c r="S7" i="1" s="1"/>
  <c r="P54" i="1"/>
  <c r="Q54" i="1" s="1"/>
  <c r="R54" i="1" s="1"/>
  <c r="S54" i="1" s="1"/>
  <c r="P282" i="1"/>
  <c r="Q282" i="1" s="1"/>
  <c r="R282" i="1" s="1"/>
  <c r="S282" i="1" s="1"/>
  <c r="P144" i="1"/>
  <c r="Q144" i="1" s="1"/>
  <c r="R144" i="1" s="1"/>
  <c r="S144" i="1" s="1"/>
  <c r="R150" i="1"/>
  <c r="S150" i="1" s="1"/>
  <c r="R162" i="1"/>
  <c r="S162" i="1" s="1"/>
  <c r="P183" i="1"/>
  <c r="Q183" i="1" s="1"/>
  <c r="R183" i="1" s="1"/>
  <c r="S183" i="1" s="1"/>
  <c r="P242" i="1"/>
  <c r="Q242" i="1" s="1"/>
  <c r="R242" i="1" s="1"/>
  <c r="S242" i="1" s="1"/>
  <c r="P250" i="1"/>
  <c r="Q250" i="1" s="1"/>
  <c r="R250" i="1" s="1"/>
  <c r="S250" i="1" s="1"/>
  <c r="P488" i="1"/>
  <c r="Q488" i="1" s="1"/>
  <c r="R488" i="1" s="1"/>
  <c r="S488" i="1" s="1"/>
  <c r="P354" i="1"/>
  <c r="Q354" i="1" s="1"/>
  <c r="R354" i="1" s="1"/>
  <c r="S354" i="1" s="1"/>
  <c r="P409" i="1"/>
  <c r="Q409" i="1" s="1"/>
  <c r="R409" i="1" s="1"/>
  <c r="S409" i="1" s="1"/>
  <c r="P713" i="1"/>
  <c r="Q713" i="1" s="1"/>
  <c r="R713" i="1" s="1"/>
  <c r="S713" i="1" s="1"/>
  <c r="P719" i="1"/>
  <c r="Q719" i="1" s="1"/>
  <c r="R719" i="1" s="1"/>
  <c r="S719" i="1" s="1"/>
  <c r="P505" i="1"/>
  <c r="Q505" i="1" s="1"/>
  <c r="R505" i="1" s="1"/>
  <c r="S505" i="1" s="1"/>
  <c r="P857" i="1"/>
  <c r="Q857" i="1" s="1"/>
  <c r="R857" i="1" s="1"/>
  <c r="S857" i="1" s="1"/>
  <c r="P46" i="1"/>
  <c r="Q46" i="1" s="1"/>
  <c r="R46" i="1" s="1"/>
  <c r="S46" i="1" s="1"/>
  <c r="P418" i="1"/>
  <c r="Q418" i="1" s="1"/>
  <c r="R418" i="1" s="1"/>
  <c r="S418" i="1" s="1"/>
  <c r="P536" i="1"/>
  <c r="Q536" i="1" s="1"/>
  <c r="R536" i="1" s="1"/>
  <c r="S536" i="1" s="1"/>
  <c r="P374" i="1"/>
  <c r="Q374" i="1" s="1"/>
  <c r="R374" i="1" s="1"/>
  <c r="S374" i="1" s="1"/>
  <c r="P190" i="1"/>
  <c r="Q190" i="1" s="1"/>
  <c r="R190" i="1" s="1"/>
  <c r="S190" i="1" s="1"/>
  <c r="P239" i="1"/>
  <c r="Q239" i="1" s="1"/>
  <c r="R239" i="1" s="1"/>
  <c r="S239" i="1" s="1"/>
  <c r="P62" i="1"/>
  <c r="Q62" i="1" s="1"/>
  <c r="R62" i="1" s="1"/>
  <c r="S62" i="1" s="1"/>
  <c r="R255" i="1"/>
  <c r="S255" i="1" s="1"/>
  <c r="P91" i="1"/>
  <c r="Q91" i="1" s="1"/>
  <c r="R91" i="1" s="1"/>
  <c r="S91" i="1" s="1"/>
  <c r="R187" i="1"/>
  <c r="S187" i="1" s="1"/>
  <c r="P235" i="1"/>
  <c r="Q235" i="1" s="1"/>
  <c r="R235" i="1" s="1"/>
  <c r="S235" i="1" s="1"/>
  <c r="P646" i="1"/>
  <c r="Q646" i="1" s="1"/>
  <c r="R646" i="1" s="1"/>
  <c r="S646" i="1" s="1"/>
  <c r="P353" i="1"/>
  <c r="Q353" i="1" s="1"/>
  <c r="R353" i="1" s="1"/>
  <c r="S353" i="1" s="1"/>
  <c r="P416" i="1"/>
  <c r="Q416" i="1" s="1"/>
  <c r="R416" i="1" s="1"/>
  <c r="S416" i="1" s="1"/>
  <c r="P10" i="1"/>
  <c r="Q10" i="1" s="1"/>
  <c r="R10" i="1" s="1"/>
  <c r="S10" i="1" s="1"/>
  <c r="P15" i="1"/>
  <c r="Q15" i="1" s="1"/>
  <c r="R15" i="1" s="1"/>
  <c r="S15" i="1" s="1"/>
  <c r="R59" i="1"/>
  <c r="S59" i="1" s="1"/>
  <c r="R411" i="1"/>
  <c r="S411" i="1" s="1"/>
  <c r="R145" i="1"/>
  <c r="S145" i="1" s="1"/>
  <c r="P170" i="1"/>
  <c r="Q170" i="1" s="1"/>
  <c r="R170" i="1" s="1"/>
  <c r="S170" i="1" s="1"/>
  <c r="P175" i="1"/>
  <c r="Q175" i="1" s="1"/>
  <c r="R175" i="1"/>
  <c r="S175" i="1" s="1"/>
  <c r="P344" i="1"/>
  <c r="Q344" i="1" s="1"/>
  <c r="R344" i="1" s="1"/>
  <c r="S344" i="1" s="1"/>
  <c r="P451" i="1"/>
  <c r="Q451" i="1" s="1"/>
  <c r="R451" i="1" s="1"/>
  <c r="S451" i="1" s="1"/>
  <c r="P276" i="1"/>
  <c r="Q276" i="1" s="1"/>
  <c r="R276" i="1" s="1"/>
  <c r="S276" i="1" s="1"/>
  <c r="P795" i="1"/>
  <c r="Q795" i="1" s="1"/>
  <c r="R795" i="1" s="1"/>
  <c r="S795" i="1" s="1"/>
  <c r="P39" i="1"/>
  <c r="Q39" i="1" s="1"/>
  <c r="R39" i="1" s="1"/>
  <c r="S39" i="1" s="1"/>
  <c r="P226" i="1"/>
  <c r="Q226" i="1" s="1"/>
  <c r="R226" i="1" s="1"/>
  <c r="S226" i="1" s="1"/>
  <c r="P85" i="1"/>
  <c r="Q85" i="1" s="1"/>
  <c r="R85" i="1" s="1"/>
  <c r="S85" i="1" s="1"/>
  <c r="P28" i="1"/>
  <c r="Q28" i="1" s="1"/>
  <c r="R28" i="1" s="1"/>
  <c r="S28" i="1" s="1"/>
  <c r="P163" i="1"/>
  <c r="Q163" i="1" s="1"/>
  <c r="R163" i="1" s="1"/>
  <c r="S163" i="1" s="1"/>
  <c r="P355" i="1"/>
  <c r="Q355" i="1" s="1"/>
  <c r="R355" i="1" s="1"/>
  <c r="S355" i="1" s="1"/>
  <c r="P400" i="1"/>
  <c r="Q400" i="1" s="1"/>
  <c r="R400" i="1" s="1"/>
  <c r="S400" i="1" s="1"/>
  <c r="P721" i="1"/>
  <c r="Q721" i="1" s="1"/>
  <c r="R721" i="1" s="1"/>
  <c r="S721" i="1" s="1"/>
  <c r="P560" i="1"/>
  <c r="Q560" i="1" s="1"/>
  <c r="R560" i="1" s="1"/>
  <c r="S560" i="1" s="1"/>
  <c r="P858" i="1"/>
  <c r="Q858" i="1" s="1"/>
  <c r="R858" i="1" s="1"/>
  <c r="S858" i="1" s="1"/>
  <c r="P259" i="1"/>
  <c r="Q259" i="1" s="1"/>
  <c r="R259" i="1" s="1"/>
  <c r="S259" i="1" s="1"/>
  <c r="P312" i="1"/>
  <c r="Q312" i="1" s="1"/>
  <c r="R312" i="1" s="1"/>
  <c r="S312" i="1" s="1"/>
  <c r="P675" i="1"/>
  <c r="Q675" i="1" s="1"/>
  <c r="R675" i="1" s="1"/>
  <c r="S675" i="1" s="1"/>
  <c r="P95" i="1"/>
  <c r="Q95" i="1" s="1"/>
  <c r="R95" i="1" s="1"/>
  <c r="S95" i="1" s="1"/>
  <c r="P470" i="1"/>
  <c r="Q470" i="1" s="1"/>
  <c r="R470" i="1" s="1"/>
  <c r="S470" i="1" s="1"/>
  <c r="P147" i="1"/>
  <c r="Q147" i="1" s="1"/>
  <c r="R147" i="1" s="1"/>
  <c r="S147" i="1" s="1"/>
  <c r="P254" i="1"/>
  <c r="Q254" i="1" s="1"/>
  <c r="R254" i="1" s="1"/>
  <c r="S254" i="1" s="1"/>
  <c r="P388" i="1"/>
  <c r="Q388" i="1" s="1"/>
  <c r="R388" i="1" s="1"/>
  <c r="S388" i="1" s="1"/>
  <c r="P51" i="1"/>
  <c r="Q51" i="1" s="1"/>
  <c r="R51" i="1" s="1"/>
  <c r="S51" i="1" s="1"/>
  <c r="P707" i="1"/>
  <c r="Q707" i="1" s="1"/>
  <c r="R707" i="1" s="1"/>
  <c r="S707" i="1" s="1"/>
  <c r="P23" i="1"/>
  <c r="Q23" i="1" s="1"/>
  <c r="R23" i="1" s="1"/>
  <c r="S23" i="1" s="1"/>
  <c r="P997" i="1"/>
  <c r="Q997" i="1" s="1"/>
  <c r="R997" i="1" s="1"/>
  <c r="S997" i="1" s="1"/>
  <c r="P53" i="1"/>
  <c r="Q53" i="1" s="1"/>
  <c r="R53" i="1" s="1"/>
  <c r="S53" i="1" s="1"/>
  <c r="R37" i="1"/>
  <c r="S37" i="1" s="1"/>
  <c r="P206" i="1"/>
  <c r="Q206" i="1" s="1"/>
  <c r="R206" i="1" s="1"/>
  <c r="S206" i="1" s="1"/>
  <c r="P18" i="1"/>
  <c r="Q18" i="1" s="1"/>
  <c r="R18" i="1" s="1"/>
  <c r="S18" i="1" s="1"/>
  <c r="P27" i="1"/>
  <c r="Q27" i="1" s="1"/>
  <c r="R27" i="1" s="1"/>
  <c r="S27" i="1" s="1"/>
  <c r="P60" i="1"/>
  <c r="Q60" i="1" s="1"/>
  <c r="R60" i="1" s="1"/>
  <c r="S60" i="1" s="1"/>
  <c r="R417" i="1"/>
  <c r="S417" i="1" s="1"/>
  <c r="P164" i="1"/>
  <c r="Q164" i="1" s="1"/>
  <c r="R164" i="1" s="1"/>
  <c r="S164" i="1" s="1"/>
  <c r="P202" i="1"/>
  <c r="Q202" i="1" s="1"/>
  <c r="R202" i="1" s="1"/>
  <c r="S202" i="1" s="1"/>
  <c r="R208" i="1"/>
  <c r="S208" i="1" s="1"/>
  <c r="P215" i="1"/>
  <c r="Q215" i="1" s="1"/>
  <c r="R215" i="1" s="1"/>
  <c r="S215" i="1" s="1"/>
  <c r="P229" i="1"/>
  <c r="Q229" i="1" s="1"/>
  <c r="R229" i="1" s="1"/>
  <c r="S229" i="1" s="1"/>
  <c r="P258" i="1"/>
  <c r="Q258" i="1" s="1"/>
  <c r="R258" i="1" s="1"/>
  <c r="S258" i="1" s="1"/>
  <c r="R506" i="1"/>
  <c r="S506" i="1" s="1"/>
  <c r="P551" i="1"/>
  <c r="Q551" i="1" s="1"/>
  <c r="R551" i="1" s="1"/>
  <c r="S551" i="1" s="1"/>
  <c r="R822" i="1"/>
  <c r="S822" i="1" s="1"/>
  <c r="P94" i="1"/>
  <c r="Q94" i="1" s="1"/>
  <c r="R94" i="1" s="1"/>
  <c r="S94" i="1" s="1"/>
  <c r="R158" i="1"/>
  <c r="S158" i="1" s="1"/>
  <c r="R178" i="1"/>
  <c r="S178" i="1" s="1"/>
  <c r="P1323" i="1"/>
  <c r="Q1323" i="1" s="1"/>
  <c r="R1323" i="1" s="1"/>
  <c r="S1323" i="1" s="1"/>
  <c r="P128" i="1"/>
  <c r="Q128" i="1" s="1"/>
  <c r="R128" i="1" s="1"/>
  <c r="S128" i="1" s="1"/>
  <c r="R499" i="1"/>
  <c r="S499" i="1" s="1"/>
  <c r="R419" i="1"/>
  <c r="S419" i="1" s="1"/>
  <c r="P153" i="1"/>
  <c r="Q153" i="1" s="1"/>
  <c r="R153" i="1" s="1"/>
  <c r="S153" i="1" s="1"/>
  <c r="P179" i="1"/>
  <c r="Q179" i="1" s="1"/>
  <c r="R179" i="1" s="1"/>
  <c r="S179" i="1" s="1"/>
  <c r="P20" i="1"/>
  <c r="Q20" i="1" s="1"/>
  <c r="R20" i="1" s="1"/>
  <c r="S20" i="1" s="1"/>
  <c r="P479" i="1"/>
  <c r="Q479" i="1" s="1"/>
  <c r="R479" i="1" s="1"/>
  <c r="S479" i="1" s="1"/>
  <c r="R462" i="1"/>
  <c r="S462" i="1" s="1"/>
  <c r="P36" i="1"/>
  <c r="Q36" i="1" s="1"/>
  <c r="R36" i="1" s="1"/>
  <c r="S36" i="1" s="1"/>
  <c r="P213" i="1"/>
  <c r="Q213" i="1" s="1"/>
  <c r="R213" i="1" s="1"/>
  <c r="S213" i="1" s="1"/>
  <c r="P102" i="1"/>
  <c r="Q102" i="1" s="1"/>
  <c r="R102" i="1" s="1"/>
  <c r="S102" i="1" s="1"/>
  <c r="R13" i="1"/>
  <c r="S13" i="1" s="1"/>
  <c r="R93" i="1"/>
  <c r="S93" i="1" s="1"/>
  <c r="P115" i="1"/>
  <c r="Q115" i="1" s="1"/>
  <c r="R115" i="1" s="1"/>
  <c r="S115" i="1" s="1"/>
  <c r="P171" i="1"/>
  <c r="Q171" i="1" s="1"/>
  <c r="R171" i="1" s="1"/>
  <c r="S171" i="1" s="1"/>
  <c r="P216" i="1"/>
  <c r="Q216" i="1" s="1"/>
  <c r="R216" i="1" s="1"/>
  <c r="S216" i="1" s="1"/>
  <c r="P489" i="1"/>
  <c r="Q489" i="1" s="1"/>
  <c r="R489" i="1" s="1"/>
  <c r="S489" i="1" s="1"/>
  <c r="P346" i="1"/>
  <c r="Q346" i="1" s="1"/>
  <c r="R346" i="1" s="1"/>
  <c r="S346" i="1" s="1"/>
  <c r="P394" i="1"/>
  <c r="Q394" i="1" s="1"/>
  <c r="R394" i="1" s="1"/>
  <c r="S394" i="1" s="1"/>
  <c r="R495" i="1"/>
  <c r="S495" i="1" s="1"/>
  <c r="P467" i="1"/>
  <c r="Q467" i="1" s="1"/>
  <c r="R467" i="1" s="1"/>
  <c r="S467" i="1" s="1"/>
  <c r="P561" i="1"/>
  <c r="Q561" i="1" s="1"/>
  <c r="R561" i="1" s="1"/>
  <c r="S561" i="1" s="1"/>
  <c r="P376" i="1"/>
  <c r="Q376" i="1" s="1"/>
  <c r="R376" i="1" s="1"/>
  <c r="S376" i="1" s="1"/>
  <c r="P412" i="1"/>
  <c r="Q412" i="1" s="1"/>
  <c r="R412" i="1" s="1"/>
  <c r="S412" i="1" s="1"/>
  <c r="P288" i="1"/>
  <c r="Q288" i="1" s="1"/>
  <c r="R288" i="1" s="1"/>
  <c r="S288" i="1" s="1"/>
  <c r="R108" i="1"/>
  <c r="S108" i="1" s="1"/>
  <c r="P125" i="1"/>
  <c r="Q125" i="1" s="1"/>
  <c r="R125" i="1" s="1"/>
  <c r="S125" i="1" s="1"/>
  <c r="P132" i="1"/>
  <c r="Q132" i="1" s="1"/>
  <c r="R132" i="1" s="1"/>
  <c r="S132" i="1" s="1"/>
  <c r="P180" i="1"/>
  <c r="Q180" i="1" s="1"/>
  <c r="R180" i="1" s="1"/>
  <c r="S180" i="1" s="1"/>
  <c r="P184" i="1"/>
  <c r="Q184" i="1" s="1"/>
  <c r="R184" i="1" s="1"/>
  <c r="S184" i="1" s="1"/>
  <c r="R234" i="1"/>
  <c r="S234" i="1" s="1"/>
  <c r="R244" i="1"/>
  <c r="S244" i="1" s="1"/>
  <c r="R278" i="1"/>
  <c r="S278" i="1" s="1"/>
  <c r="P644" i="1"/>
  <c r="Q644" i="1" s="1"/>
  <c r="R644" i="1" s="1"/>
  <c r="S644" i="1" s="1"/>
  <c r="P485" i="1"/>
  <c r="Q485" i="1" s="1"/>
  <c r="R485" i="1" s="1"/>
  <c r="S485" i="1" s="1"/>
  <c r="R348" i="1"/>
  <c r="S348" i="1" s="1"/>
  <c r="P664" i="1"/>
  <c r="Q664" i="1" s="1"/>
  <c r="R664" i="1" s="1"/>
  <c r="S664" i="1" s="1"/>
  <c r="P716" i="1"/>
  <c r="Q716" i="1" s="1"/>
  <c r="R716" i="1" s="1"/>
  <c r="S716" i="1" s="1"/>
  <c r="P445" i="1"/>
  <c r="Q445" i="1" s="1"/>
  <c r="R445" i="1" s="1"/>
  <c r="S445" i="1" s="1"/>
  <c r="P803" i="1"/>
  <c r="Q803" i="1" s="1"/>
  <c r="R803" i="1" s="1"/>
  <c r="S803" i="1" s="1"/>
  <c r="P683" i="1"/>
  <c r="Q683" i="1" s="1"/>
  <c r="R683" i="1" s="1"/>
  <c r="S683" i="1" s="1"/>
  <c r="P968" i="1"/>
  <c r="Q968" i="1" s="1"/>
  <c r="R968" i="1" s="1"/>
  <c r="S968" i="1" s="1"/>
  <c r="P1204" i="1"/>
  <c r="Q1204" i="1" s="1"/>
  <c r="R1204" i="1" s="1"/>
  <c r="S1204" i="1" s="1"/>
  <c r="P1277" i="1"/>
  <c r="Q1277" i="1" s="1"/>
  <c r="R1277" i="1" s="1"/>
  <c r="S1277" i="1" s="1"/>
  <c r="P197" i="1"/>
  <c r="Q197" i="1" s="1"/>
  <c r="R197" i="1" s="1"/>
  <c r="S197" i="1" s="1"/>
  <c r="R271" i="1"/>
  <c r="S271" i="1" s="1"/>
  <c r="P480" i="1"/>
  <c r="Q480" i="1" s="1"/>
  <c r="R480" i="1" s="1"/>
  <c r="S480" i="1" s="1"/>
  <c r="P319" i="1"/>
  <c r="Q319" i="1" s="1"/>
  <c r="R319" i="1" s="1"/>
  <c r="S319" i="1" s="1"/>
  <c r="P335" i="1"/>
  <c r="Q335" i="1" s="1"/>
  <c r="R335" i="1" s="1"/>
  <c r="S335" i="1" s="1"/>
  <c r="R377" i="1"/>
  <c r="S377" i="1" s="1"/>
  <c r="P658" i="1"/>
  <c r="Q658" i="1" s="1"/>
  <c r="R658" i="1" s="1"/>
  <c r="S658" i="1" s="1"/>
  <c r="R516" i="1"/>
  <c r="S516" i="1" s="1"/>
  <c r="P622" i="1"/>
  <c r="Q622" i="1" s="1"/>
  <c r="R622" i="1" s="1"/>
  <c r="S622" i="1" s="1"/>
  <c r="P846" i="1"/>
  <c r="Q846" i="1" s="1"/>
  <c r="R846" i="1" s="1"/>
  <c r="S846" i="1" s="1"/>
  <c r="R961" i="1"/>
  <c r="S961" i="1" s="1"/>
  <c r="P1007" i="1"/>
  <c r="Q1007" i="1" s="1"/>
  <c r="R1007" i="1" s="1"/>
  <c r="S1007" i="1" s="1"/>
  <c r="P270" i="1"/>
  <c r="Q270" i="1" s="1"/>
  <c r="R270" i="1" s="1"/>
  <c r="S270" i="1" s="1"/>
  <c r="P874" i="1"/>
  <c r="Q874" i="1" s="1"/>
  <c r="R874" i="1" s="1"/>
  <c r="S874" i="1" s="1"/>
  <c r="P41" i="1"/>
  <c r="Q41" i="1" s="1"/>
  <c r="R41" i="1" s="1"/>
  <c r="S41" i="1" s="1"/>
  <c r="P118" i="1"/>
  <c r="Q118" i="1" s="1"/>
  <c r="R118" i="1" s="1"/>
  <c r="S118" i="1" s="1"/>
  <c r="P266" i="1"/>
  <c r="Q266" i="1" s="1"/>
  <c r="R266" i="1" s="1"/>
  <c r="S266" i="1" s="1"/>
  <c r="P313" i="1"/>
  <c r="Q313" i="1" s="1"/>
  <c r="R313" i="1" s="1"/>
  <c r="S313" i="1" s="1"/>
  <c r="P389" i="1"/>
  <c r="Q389" i="1" s="1"/>
  <c r="R389" i="1" s="1"/>
  <c r="S389" i="1" s="1"/>
  <c r="P403" i="1"/>
  <c r="Q403" i="1" s="1"/>
  <c r="R403" i="1" s="1"/>
  <c r="S403" i="1" s="1"/>
  <c r="P517" i="1"/>
  <c r="Q517" i="1" s="1"/>
  <c r="R517" i="1" s="1"/>
  <c r="S517" i="1" s="1"/>
  <c r="P860" i="1"/>
  <c r="Q860" i="1" s="1"/>
  <c r="R860" i="1" s="1"/>
  <c r="S860" i="1" s="1"/>
  <c r="P866" i="1"/>
  <c r="Q866" i="1" s="1"/>
  <c r="R866" i="1" s="1"/>
  <c r="S866" i="1" s="1"/>
  <c r="R368" i="1"/>
  <c r="S368" i="1" s="1"/>
  <c r="R993" i="1"/>
  <c r="S993" i="1" s="1"/>
  <c r="P71" i="1"/>
  <c r="Q71" i="1" s="1"/>
  <c r="R71" i="1" s="1"/>
  <c r="S71" i="1" s="1"/>
  <c r="P57" i="1"/>
  <c r="Q57" i="1" s="1"/>
  <c r="R57" i="1" s="1"/>
  <c r="S57" i="1" s="1"/>
  <c r="R105" i="1"/>
  <c r="S105" i="1" s="1"/>
  <c r="P133" i="1"/>
  <c r="Q133" i="1" s="1"/>
  <c r="R133" i="1" s="1"/>
  <c r="S133" i="1" s="1"/>
  <c r="P140" i="1"/>
  <c r="Q140" i="1" s="1"/>
  <c r="R140" i="1" s="1"/>
  <c r="S140" i="1" s="1"/>
  <c r="R155" i="1"/>
  <c r="S155" i="1" s="1"/>
  <c r="P221" i="1"/>
  <c r="Q221" i="1" s="1"/>
  <c r="R221" i="1" s="1"/>
  <c r="S221" i="1" s="1"/>
  <c r="P251" i="1"/>
  <c r="Q251" i="1" s="1"/>
  <c r="R251" i="1" s="1"/>
  <c r="S251" i="1" s="1"/>
  <c r="R423" i="1"/>
  <c r="S423" i="1" s="1"/>
  <c r="P429" i="1"/>
  <c r="Q429" i="1" s="1"/>
  <c r="R429" i="1" s="1"/>
  <c r="S429" i="1" s="1"/>
  <c r="P652" i="1"/>
  <c r="Q652" i="1" s="1"/>
  <c r="R652" i="1" s="1"/>
  <c r="S652" i="1" s="1"/>
  <c r="P300" i="1"/>
  <c r="Q300" i="1" s="1"/>
  <c r="R300" i="1" s="1"/>
  <c r="S300" i="1" s="1"/>
  <c r="P307" i="1"/>
  <c r="Q307" i="1" s="1"/>
  <c r="R307" i="1" s="1"/>
  <c r="S307" i="1" s="1"/>
  <c r="P325" i="1"/>
  <c r="Q325" i="1" s="1"/>
  <c r="R325" i="1" s="1"/>
  <c r="S325" i="1" s="1"/>
  <c r="P349" i="1"/>
  <c r="Q349" i="1" s="1"/>
  <c r="R349" i="1" s="1"/>
  <c r="S349" i="1" s="1"/>
  <c r="P458" i="1"/>
  <c r="Q458" i="1" s="1"/>
  <c r="R458" i="1" s="1"/>
  <c r="S458" i="1" s="1"/>
  <c r="P509" i="1"/>
  <c r="Q509" i="1" s="1"/>
  <c r="R509" i="1" s="1"/>
  <c r="S509" i="1" s="1"/>
  <c r="P694" i="1"/>
  <c r="Q694" i="1" s="1"/>
  <c r="R694" i="1" s="1"/>
  <c r="S694" i="1" s="1"/>
  <c r="P1021" i="1"/>
  <c r="Q1021" i="1" s="1"/>
  <c r="R1021" i="1" s="1"/>
  <c r="S1021" i="1" s="1"/>
  <c r="P1222" i="1"/>
  <c r="Q1222" i="1" s="1"/>
  <c r="R1222" i="1" s="1"/>
  <c r="S1222" i="1" s="1"/>
  <c r="R295" i="1"/>
  <c r="S295" i="1" s="1"/>
  <c r="P198" i="1"/>
  <c r="Q198" i="1" s="1"/>
  <c r="R198" i="1" s="1"/>
  <c r="S198" i="1" s="1"/>
  <c r="R31" i="1"/>
  <c r="S31" i="1" s="1"/>
  <c r="R67" i="1"/>
  <c r="S67" i="1" s="1"/>
  <c r="R79" i="1"/>
  <c r="S79" i="1" s="1"/>
  <c r="P277" i="1"/>
  <c r="Q277" i="1" s="1"/>
  <c r="R277" i="1" s="1"/>
  <c r="S277" i="1" s="1"/>
  <c r="P148" i="1"/>
  <c r="Q148" i="1" s="1"/>
  <c r="R148" i="1" s="1"/>
  <c r="S148" i="1" s="1"/>
  <c r="R168" i="1"/>
  <c r="S168" i="1" s="1"/>
  <c r="R193" i="1"/>
  <c r="S193" i="1" s="1"/>
  <c r="R245" i="1"/>
  <c r="S245" i="1" s="1"/>
  <c r="P262" i="1"/>
  <c r="Q262" i="1" s="1"/>
  <c r="R262" i="1" s="1"/>
  <c r="S262" i="1" s="1"/>
  <c r="P272" i="1"/>
  <c r="Q272" i="1" s="1"/>
  <c r="R272" i="1" s="1"/>
  <c r="S272" i="1" s="1"/>
  <c r="P640" i="1"/>
  <c r="Q640" i="1" s="1"/>
  <c r="R640" i="1" s="1"/>
  <c r="S640" i="1" s="1"/>
  <c r="R370" i="1"/>
  <c r="S370" i="1" s="1"/>
  <c r="P404" i="1"/>
  <c r="Q404" i="1" s="1"/>
  <c r="R404" i="1" s="1"/>
  <c r="S404" i="1" s="1"/>
  <c r="R440" i="1"/>
  <c r="S440" i="1" s="1"/>
  <c r="P447" i="1"/>
  <c r="Q447" i="1" s="1"/>
  <c r="R447" i="1" s="1"/>
  <c r="S447" i="1" s="1"/>
  <c r="P459" i="1"/>
  <c r="Q459" i="1" s="1"/>
  <c r="R459" i="1" s="1"/>
  <c r="S459" i="1" s="1"/>
  <c r="P510" i="1"/>
  <c r="Q510" i="1" s="1"/>
  <c r="R510" i="1" s="1"/>
  <c r="S510" i="1" s="1"/>
  <c r="P526" i="1"/>
  <c r="Q526" i="1" s="1"/>
  <c r="R526" i="1" s="1"/>
  <c r="S526" i="1" s="1"/>
  <c r="P532" i="1"/>
  <c r="Q532" i="1" s="1"/>
  <c r="R532" i="1" s="1"/>
  <c r="S532" i="1" s="1"/>
  <c r="R556" i="1"/>
  <c r="S556" i="1" s="1"/>
  <c r="R704" i="1"/>
  <c r="S704" i="1" s="1"/>
  <c r="P939" i="1"/>
  <c r="Q939" i="1" s="1"/>
  <c r="R939" i="1" s="1"/>
  <c r="S939" i="1" s="1"/>
  <c r="P156" i="1"/>
  <c r="Q156" i="1" s="1"/>
  <c r="R156" i="1" s="1"/>
  <c r="S156" i="1" s="1"/>
  <c r="P240" i="1"/>
  <c r="Q240" i="1" s="1"/>
  <c r="R240" i="1" s="1"/>
  <c r="S240" i="1" s="1"/>
  <c r="P246" i="1"/>
  <c r="Q246" i="1" s="1"/>
  <c r="R246" i="1" s="1"/>
  <c r="S246" i="1" s="1"/>
  <c r="P267" i="1"/>
  <c r="Q267" i="1" s="1"/>
  <c r="R267" i="1" s="1"/>
  <c r="S267" i="1" s="1"/>
  <c r="P430" i="1"/>
  <c r="Q430" i="1" s="1"/>
  <c r="R430" i="1" s="1"/>
  <c r="S430" i="1" s="1"/>
  <c r="P301" i="1"/>
  <c r="Q301" i="1" s="1"/>
  <c r="R301" i="1" s="1"/>
  <c r="S301" i="1" s="1"/>
  <c r="P326" i="1"/>
  <c r="Q326" i="1" s="1"/>
  <c r="R326" i="1" s="1"/>
  <c r="S326" i="1" s="1"/>
  <c r="P350" i="1"/>
  <c r="Q350" i="1" s="1"/>
  <c r="R350" i="1" s="1"/>
  <c r="S350" i="1" s="1"/>
  <c r="P398" i="1"/>
  <c r="Q398" i="1" s="1"/>
  <c r="R398" i="1" s="1"/>
  <c r="S398" i="1" s="1"/>
  <c r="P660" i="1"/>
  <c r="Q660" i="1" s="1"/>
  <c r="R660" i="1" s="1"/>
  <c r="S660" i="1" s="1"/>
  <c r="P519" i="1"/>
  <c r="Q519" i="1" s="1"/>
  <c r="R519" i="1" s="1"/>
  <c r="S519" i="1" s="1"/>
  <c r="P557" i="1"/>
  <c r="Q557" i="1" s="1"/>
  <c r="R557" i="1" s="1"/>
  <c r="S557" i="1" s="1"/>
  <c r="P614" i="1"/>
  <c r="Q614" i="1" s="1"/>
  <c r="R614" i="1" s="1"/>
  <c r="S614" i="1" s="1"/>
  <c r="P848" i="1"/>
  <c r="Q848" i="1" s="1"/>
  <c r="R848" i="1" s="1"/>
  <c r="S848" i="1" s="1"/>
  <c r="P905" i="1"/>
  <c r="Q905" i="1" s="1"/>
  <c r="R905" i="1" s="1"/>
  <c r="S905" i="1" s="1"/>
  <c r="P963" i="1"/>
  <c r="Q963" i="1" s="1"/>
  <c r="R963" i="1" s="1"/>
  <c r="S963" i="1" s="1"/>
  <c r="P464" i="1"/>
  <c r="Q464" i="1" s="1"/>
  <c r="R464" i="1" s="1"/>
  <c r="S464" i="1" s="1"/>
  <c r="P103" i="1"/>
  <c r="Q103" i="1" s="1"/>
  <c r="R103" i="1" s="1"/>
  <c r="S103" i="1" s="1"/>
  <c r="P11" i="1"/>
  <c r="Q11" i="1" s="1"/>
  <c r="R11" i="1" s="1"/>
  <c r="S11" i="1" s="1"/>
  <c r="P24" i="1"/>
  <c r="Q24" i="1" s="1"/>
  <c r="R24" i="1" s="1"/>
  <c r="S24" i="1" s="1"/>
  <c r="P25" i="1"/>
  <c r="Q25" i="1" s="1"/>
  <c r="R25" i="1" s="1"/>
  <c r="S25" i="1" s="1"/>
  <c r="P29" i="1"/>
  <c r="Q29" i="1" s="1"/>
  <c r="R29" i="1" s="1"/>
  <c r="S29" i="1" s="1"/>
  <c r="P66" i="1"/>
  <c r="Q66" i="1" s="1"/>
  <c r="R66" i="1" s="1"/>
  <c r="S66" i="1" s="1"/>
  <c r="P275" i="1"/>
  <c r="Q275" i="1" s="1"/>
  <c r="R275" i="1" s="1"/>
  <c r="S275" i="1" s="1"/>
  <c r="P55" i="1"/>
  <c r="Q55" i="1" s="1"/>
  <c r="R55" i="1" s="1"/>
  <c r="S55" i="1" s="1"/>
  <c r="P63" i="1"/>
  <c r="Q63" i="1" s="1"/>
  <c r="R63" i="1" s="1"/>
  <c r="S63" i="1" s="1"/>
  <c r="P64" i="1"/>
  <c r="Q64" i="1" s="1"/>
  <c r="R64" i="1" s="1"/>
  <c r="S64" i="1" s="1"/>
  <c r="P69" i="1"/>
  <c r="Q69" i="1" s="1"/>
  <c r="R69" i="1" s="1"/>
  <c r="S69" i="1" s="1"/>
  <c r="P413" i="1"/>
  <c r="Q413" i="1" s="1"/>
  <c r="R413" i="1" s="1"/>
  <c r="S413" i="1" s="1"/>
  <c r="P289" i="1"/>
  <c r="Q289" i="1" s="1"/>
  <c r="R289" i="1" s="1"/>
  <c r="S289" i="1" s="1"/>
  <c r="P126" i="1"/>
  <c r="Q126" i="1" s="1"/>
  <c r="R126" i="1" s="1"/>
  <c r="S126" i="1" s="1"/>
  <c r="P141" i="1"/>
  <c r="Q141" i="1" s="1"/>
  <c r="R141" i="1" s="1"/>
  <c r="S141" i="1" s="1"/>
  <c r="P160" i="1"/>
  <c r="Q160" i="1" s="1"/>
  <c r="R160" i="1" s="1"/>
  <c r="S160" i="1" s="1"/>
  <c r="R173" i="1"/>
  <c r="S173" i="1" s="1"/>
  <c r="P177" i="1"/>
  <c r="Q177" i="1" s="1"/>
  <c r="R177" i="1" s="1"/>
  <c r="S177" i="1" s="1"/>
  <c r="P199" i="1"/>
  <c r="Q199" i="1" s="1"/>
  <c r="R199" i="1" s="1"/>
  <c r="S199" i="1" s="1"/>
  <c r="P203" i="1"/>
  <c r="Q203" i="1" s="1"/>
  <c r="R203" i="1" s="1"/>
  <c r="S203" i="1" s="1"/>
  <c r="P252" i="1"/>
  <c r="Q252" i="1" s="1"/>
  <c r="R252" i="1" s="1"/>
  <c r="S252" i="1" s="1"/>
  <c r="R493" i="1"/>
  <c r="S493" i="1" s="1"/>
  <c r="R654" i="1"/>
  <c r="S654" i="1" s="1"/>
  <c r="P315" i="1"/>
  <c r="Q315" i="1" s="1"/>
  <c r="R315" i="1" s="1"/>
  <c r="S315" i="1" s="1"/>
  <c r="P337" i="1"/>
  <c r="Q337" i="1" s="1"/>
  <c r="R337" i="1" s="1"/>
  <c r="S337" i="1" s="1"/>
  <c r="P391" i="1"/>
  <c r="Q391" i="1" s="1"/>
  <c r="R391" i="1" s="1"/>
  <c r="S391" i="1" s="1"/>
  <c r="R405" i="1"/>
  <c r="S405" i="1" s="1"/>
  <c r="P511" i="1"/>
  <c r="Q511" i="1" s="1"/>
  <c r="R511" i="1" s="1"/>
  <c r="S511" i="1" s="1"/>
  <c r="P533" i="1"/>
  <c r="Q533" i="1" s="1"/>
  <c r="R533" i="1" s="1"/>
  <c r="S533" i="1" s="1"/>
  <c r="P558" i="1"/>
  <c r="Q558" i="1" s="1"/>
  <c r="R558" i="1" s="1"/>
  <c r="S558" i="1" s="1"/>
  <c r="P443" i="1"/>
  <c r="Q443" i="1" s="1"/>
  <c r="R443" i="1" s="1"/>
  <c r="S443" i="1" s="1"/>
  <c r="P686" i="1"/>
  <c r="Q686" i="1" s="1"/>
  <c r="R686" i="1" s="1"/>
  <c r="S686" i="1" s="1"/>
  <c r="R695" i="1"/>
  <c r="S695" i="1" s="1"/>
  <c r="P834" i="1"/>
  <c r="Q834" i="1" s="1"/>
  <c r="R834" i="1" s="1"/>
  <c r="S834" i="1" s="1"/>
  <c r="P887" i="1"/>
  <c r="Q887" i="1" s="1"/>
  <c r="R887" i="1" s="1"/>
  <c r="S887" i="1" s="1"/>
  <c r="P260" i="1"/>
  <c r="Q260" i="1" s="1"/>
  <c r="R260" i="1" s="1"/>
  <c r="S260" i="1" s="1"/>
  <c r="P494" i="1"/>
  <c r="Q494" i="1" s="1"/>
  <c r="R494" i="1" s="1"/>
  <c r="S494" i="1" s="1"/>
  <c r="R851" i="1"/>
  <c r="S851" i="1" s="1"/>
  <c r="P182" i="1"/>
  <c r="Q182" i="1" s="1"/>
  <c r="R182" i="1" s="1"/>
  <c r="S182" i="1" s="1"/>
  <c r="P194" i="1"/>
  <c r="Q194" i="1" s="1"/>
  <c r="R194" i="1" s="1"/>
  <c r="S194" i="1" s="1"/>
  <c r="R212" i="1"/>
  <c r="S212" i="1" s="1"/>
  <c r="P227" i="1"/>
  <c r="Q227" i="1" s="1"/>
  <c r="R227" i="1" s="1"/>
  <c r="S227" i="1" s="1"/>
  <c r="R343" i="1"/>
  <c r="S343" i="1" s="1"/>
  <c r="P712" i="1"/>
  <c r="Q712" i="1" s="1"/>
  <c r="R712" i="1" s="1"/>
  <c r="S712" i="1" s="1"/>
  <c r="P448" i="1"/>
  <c r="Q448" i="1" s="1"/>
  <c r="R448" i="1" s="1"/>
  <c r="S448" i="1" s="1"/>
  <c r="P461" i="1"/>
  <c r="Q461" i="1" s="1"/>
  <c r="R461" i="1" s="1"/>
  <c r="S461" i="1" s="1"/>
  <c r="P410" i="1"/>
  <c r="Q410" i="1" s="1"/>
  <c r="R410" i="1" s="1"/>
  <c r="S410" i="1" s="1"/>
  <c r="P520" i="1"/>
  <c r="Q520" i="1" s="1"/>
  <c r="R520" i="1" s="1"/>
  <c r="S520" i="1" s="1"/>
  <c r="P534" i="1"/>
  <c r="Q534" i="1" s="1"/>
  <c r="R534" i="1" s="1"/>
  <c r="S534" i="1" s="1"/>
  <c r="P543" i="1"/>
  <c r="Q543" i="1" s="1"/>
  <c r="R543" i="1" s="1"/>
  <c r="S543" i="1" s="1"/>
  <c r="P550" i="1"/>
  <c r="Q550" i="1" s="1"/>
  <c r="R550" i="1" s="1"/>
  <c r="S550" i="1" s="1"/>
  <c r="P572" i="1"/>
  <c r="Q572" i="1" s="1"/>
  <c r="R572" i="1" s="1"/>
  <c r="S572" i="1" s="1"/>
  <c r="P615" i="1"/>
  <c r="Q615" i="1" s="1"/>
  <c r="R615" i="1" s="1"/>
  <c r="S615" i="1" s="1"/>
  <c r="P835" i="1"/>
  <c r="Q835" i="1" s="1"/>
  <c r="R835" i="1" s="1"/>
  <c r="S835" i="1" s="1"/>
  <c r="R100" i="1"/>
  <c r="S100" i="1" s="1"/>
  <c r="R92" i="1"/>
  <c r="S92" i="1" s="1"/>
  <c r="P116" i="1"/>
  <c r="Q116" i="1" s="1"/>
  <c r="R116" i="1" s="1"/>
  <c r="S116" i="1" s="1"/>
  <c r="R169" i="1"/>
  <c r="S169" i="1" s="1"/>
  <c r="R195" i="1"/>
  <c r="S195" i="1" s="1"/>
  <c r="P655" i="1"/>
  <c r="Q655" i="1" s="1"/>
  <c r="R655" i="1" s="1"/>
  <c r="S655" i="1" s="1"/>
  <c r="R303" i="1"/>
  <c r="S303" i="1" s="1"/>
  <c r="P309" i="1"/>
  <c r="Q309" i="1" s="1"/>
  <c r="R309" i="1" s="1"/>
  <c r="S309" i="1" s="1"/>
  <c r="R352" i="1"/>
  <c r="S352" i="1" s="1"/>
  <c r="P384" i="1"/>
  <c r="Q384" i="1" s="1"/>
  <c r="R384" i="1" s="1"/>
  <c r="S384" i="1" s="1"/>
  <c r="P435" i="1"/>
  <c r="Q435" i="1" s="1"/>
  <c r="R435" i="1" s="1"/>
  <c r="S435" i="1" s="1"/>
  <c r="P504" i="1"/>
  <c r="Q504" i="1" s="1"/>
  <c r="R504" i="1" s="1"/>
  <c r="S504" i="1" s="1"/>
  <c r="P512" i="1"/>
  <c r="Q512" i="1" s="1"/>
  <c r="R512" i="1" s="1"/>
  <c r="S512" i="1" s="1"/>
  <c r="P607" i="1"/>
  <c r="Q607" i="1" s="1"/>
  <c r="R607" i="1" s="1"/>
  <c r="S607" i="1" s="1"/>
  <c r="P674" i="1"/>
  <c r="Q674" i="1" s="1"/>
  <c r="R674" i="1" s="1"/>
  <c r="S674" i="1" s="1"/>
  <c r="R680" i="1"/>
  <c r="S680" i="1" s="1"/>
  <c r="P971" i="1"/>
  <c r="Q971" i="1" s="1"/>
  <c r="R971" i="1" s="1"/>
  <c r="S971" i="1" s="1"/>
  <c r="P436" i="1"/>
  <c r="Q436" i="1" s="1"/>
  <c r="R436" i="1" s="1"/>
  <c r="S436" i="1" s="1"/>
  <c r="P441" i="1"/>
  <c r="Q441" i="1" s="1"/>
  <c r="R441" i="1" s="1"/>
  <c r="S441" i="1" s="1"/>
  <c r="P538" i="1"/>
  <c r="Q538" i="1" s="1"/>
  <c r="R538" i="1" s="1"/>
  <c r="S538" i="1" s="1"/>
  <c r="P544" i="1"/>
  <c r="Q544" i="1" s="1"/>
  <c r="R544" i="1" s="1"/>
  <c r="S544" i="1" s="1"/>
  <c r="P579" i="1"/>
  <c r="Q579" i="1" s="1"/>
  <c r="R579" i="1" s="1"/>
  <c r="S579" i="1" s="1"/>
  <c r="P833" i="1"/>
  <c r="Q833" i="1" s="1"/>
  <c r="R833" i="1" s="1"/>
  <c r="S833" i="1" s="1"/>
  <c r="P962" i="1"/>
  <c r="Q962" i="1" s="1"/>
  <c r="R962" i="1" s="1"/>
  <c r="S962" i="1" s="1"/>
  <c r="P988" i="1"/>
  <c r="Q988" i="1" s="1"/>
  <c r="R988" i="1" s="1"/>
  <c r="S988" i="1" s="1"/>
  <c r="P1050" i="1"/>
  <c r="Q1050" i="1" s="1"/>
  <c r="R1050" i="1" s="1"/>
  <c r="S1050" i="1" s="1"/>
  <c r="P1070" i="1"/>
  <c r="Q1070" i="1" s="1"/>
  <c r="R1070" i="1" s="1"/>
  <c r="S1070" i="1" s="1"/>
  <c r="P1211" i="1"/>
  <c r="Q1211" i="1" s="1"/>
  <c r="R1211" i="1" s="1"/>
  <c r="S1211" i="1" s="1"/>
  <c r="P222" i="1"/>
  <c r="Q222" i="1" s="1"/>
  <c r="R222" i="1" s="1"/>
  <c r="S222" i="1" s="1"/>
  <c r="P243" i="1"/>
  <c r="Q243" i="1" s="1"/>
  <c r="R243" i="1" s="1"/>
  <c r="S243" i="1" s="1"/>
  <c r="P641" i="1"/>
  <c r="Q641" i="1" s="1"/>
  <c r="R641" i="1" s="1"/>
  <c r="S641" i="1" s="1"/>
  <c r="P427" i="1"/>
  <c r="Q427" i="1" s="1"/>
  <c r="R427" i="1" s="1"/>
  <c r="S427" i="1" s="1"/>
  <c r="P308" i="1"/>
  <c r="Q308" i="1" s="1"/>
  <c r="R308" i="1" s="1"/>
  <c r="S308" i="1" s="1"/>
  <c r="R322" i="1"/>
  <c r="S322" i="1" s="1"/>
  <c r="R369" i="1"/>
  <c r="S369" i="1" s="1"/>
  <c r="R390" i="1"/>
  <c r="S390" i="1" s="1"/>
  <c r="P663" i="1"/>
  <c r="Q663" i="1" s="1"/>
  <c r="R663" i="1" s="1"/>
  <c r="S663" i="1" s="1"/>
  <c r="P711" i="1"/>
  <c r="Q711" i="1" s="1"/>
  <c r="R711" i="1" s="1"/>
  <c r="S711" i="1" s="1"/>
  <c r="P720" i="1"/>
  <c r="Q720" i="1" s="1"/>
  <c r="R720" i="1" s="1"/>
  <c r="S720" i="1" s="1"/>
  <c r="R457" i="1"/>
  <c r="S457" i="1" s="1"/>
  <c r="P463" i="1"/>
  <c r="Q463" i="1" s="1"/>
  <c r="R463" i="1" s="1"/>
  <c r="S463" i="1" s="1"/>
  <c r="P527" i="1"/>
  <c r="Q527" i="1" s="1"/>
  <c r="R527" i="1" s="1"/>
  <c r="S527" i="1" s="1"/>
  <c r="P545" i="1"/>
  <c r="Q545" i="1" s="1"/>
  <c r="R545" i="1" s="1"/>
  <c r="S545" i="1" s="1"/>
  <c r="R601" i="1"/>
  <c r="S601" i="1" s="1"/>
  <c r="P852" i="1"/>
  <c r="Q852" i="1" s="1"/>
  <c r="R852" i="1" s="1"/>
  <c r="S852" i="1" s="1"/>
  <c r="P873" i="1"/>
  <c r="Q873" i="1" s="1"/>
  <c r="R873" i="1" s="1"/>
  <c r="S873" i="1" s="1"/>
  <c r="P934" i="1"/>
  <c r="Q934" i="1" s="1"/>
  <c r="R934" i="1" s="1"/>
  <c r="S934" i="1" s="1"/>
  <c r="P974" i="1"/>
  <c r="Q974" i="1" s="1"/>
  <c r="R974" i="1" s="1"/>
  <c r="S974" i="1" s="1"/>
  <c r="P981" i="1"/>
  <c r="Q981" i="1" s="1"/>
  <c r="R981" i="1" s="1"/>
  <c r="S981" i="1" s="1"/>
  <c r="P1221" i="1"/>
  <c r="Q1221" i="1" s="1"/>
  <c r="R1221" i="1" s="1"/>
  <c r="S1221" i="1" s="1"/>
  <c r="P314" i="1"/>
  <c r="Q314" i="1" s="1"/>
  <c r="R314" i="1" s="1"/>
  <c r="S314" i="1" s="1"/>
  <c r="R365" i="1"/>
  <c r="S365" i="1" s="1"/>
  <c r="R385" i="1"/>
  <c r="S385" i="1" s="1"/>
  <c r="R406" i="1"/>
  <c r="S406" i="1" s="1"/>
  <c r="P449" i="1"/>
  <c r="Q449" i="1" s="1"/>
  <c r="R449" i="1" s="1"/>
  <c r="S449" i="1" s="1"/>
  <c r="P568" i="1"/>
  <c r="Q568" i="1" s="1"/>
  <c r="R568" i="1" s="1"/>
  <c r="S568" i="1" s="1"/>
  <c r="P574" i="1"/>
  <c r="Q574" i="1" s="1"/>
  <c r="R574" i="1" s="1"/>
  <c r="S574" i="1" s="1"/>
  <c r="P603" i="1"/>
  <c r="Q603" i="1" s="1"/>
  <c r="R603" i="1" s="1"/>
  <c r="S603" i="1" s="1"/>
  <c r="P1205" i="1"/>
  <c r="Q1205" i="1" s="1"/>
  <c r="R1205" i="1" s="1"/>
  <c r="S1205" i="1" s="1"/>
  <c r="R310" i="1"/>
  <c r="S310" i="1" s="1"/>
  <c r="P717" i="1"/>
  <c r="Q717" i="1" s="1"/>
  <c r="R717" i="1" s="1"/>
  <c r="S717" i="1" s="1"/>
  <c r="P666" i="1"/>
  <c r="Q666" i="1" s="1"/>
  <c r="R666" i="1" s="1"/>
  <c r="S666" i="1" s="1"/>
  <c r="R454" i="1"/>
  <c r="S454" i="1" s="1"/>
  <c r="R575" i="1"/>
  <c r="S575" i="1" s="1"/>
  <c r="P883" i="1"/>
  <c r="Q883" i="1" s="1"/>
  <c r="R883" i="1" s="1"/>
  <c r="S883" i="1" s="1"/>
  <c r="P924" i="1"/>
  <c r="Q924" i="1" s="1"/>
  <c r="R924" i="1" s="1"/>
  <c r="S924" i="1" s="1"/>
  <c r="P1113" i="1"/>
  <c r="Q1113" i="1" s="1"/>
  <c r="R1113" i="1" s="1"/>
  <c r="S1113" i="1" s="1"/>
  <c r="R1124" i="1"/>
  <c r="S1124" i="1" s="1"/>
  <c r="P230" i="1"/>
  <c r="Q230" i="1" s="1"/>
  <c r="R230" i="1" s="1"/>
  <c r="S230" i="1" s="1"/>
  <c r="R256" i="1"/>
  <c r="S256" i="1" s="1"/>
  <c r="P356" i="1"/>
  <c r="Q356" i="1" s="1"/>
  <c r="R356" i="1" s="1"/>
  <c r="S356" i="1" s="1"/>
  <c r="P366" i="1"/>
  <c r="Q366" i="1" s="1"/>
  <c r="R366" i="1" s="1"/>
  <c r="S366" i="1" s="1"/>
  <c r="P371" i="1"/>
  <c r="Q371" i="1" s="1"/>
  <c r="R371" i="1" s="1"/>
  <c r="S371" i="1" s="1"/>
  <c r="R381" i="1"/>
  <c r="S381" i="1" s="1"/>
  <c r="R401" i="1"/>
  <c r="S401" i="1" s="1"/>
  <c r="R796" i="1"/>
  <c r="S796" i="1" s="1"/>
  <c r="P465" i="1"/>
  <c r="Q465" i="1" s="1"/>
  <c r="R465" i="1" s="1"/>
  <c r="S465" i="1" s="1"/>
  <c r="P497" i="1"/>
  <c r="Q497" i="1" s="1"/>
  <c r="R497" i="1" s="1"/>
  <c r="S497" i="1" s="1"/>
  <c r="P513" i="1"/>
  <c r="Q513" i="1" s="1"/>
  <c r="R513" i="1" s="1"/>
  <c r="S513" i="1" s="1"/>
  <c r="P541" i="1"/>
  <c r="Q541" i="1" s="1"/>
  <c r="R541" i="1" s="1"/>
  <c r="S541" i="1" s="1"/>
  <c r="R672" i="1"/>
  <c r="S672" i="1" s="1"/>
  <c r="P684" i="1"/>
  <c r="Q684" i="1" s="1"/>
  <c r="R684" i="1" s="1"/>
  <c r="S684" i="1" s="1"/>
  <c r="P842" i="1"/>
  <c r="Q842" i="1" s="1"/>
  <c r="R842" i="1" s="1"/>
  <c r="S842" i="1" s="1"/>
  <c r="P893" i="1"/>
  <c r="Q893" i="1" s="1"/>
  <c r="R893" i="1" s="1"/>
  <c r="S893" i="1" s="1"/>
  <c r="P917" i="1"/>
  <c r="Q917" i="1" s="1"/>
  <c r="R917" i="1" s="1"/>
  <c r="S917" i="1" s="1"/>
  <c r="P957" i="1"/>
  <c r="Q957" i="1" s="1"/>
  <c r="R957" i="1" s="1"/>
  <c r="S957" i="1" s="1"/>
  <c r="P647" i="1"/>
  <c r="Q647" i="1" s="1"/>
  <c r="R647" i="1" s="1"/>
  <c r="S647" i="1" s="1"/>
  <c r="P486" i="1"/>
  <c r="Q486" i="1" s="1"/>
  <c r="R486" i="1" s="1"/>
  <c r="S486" i="1" s="1"/>
  <c r="P305" i="1"/>
  <c r="Q305" i="1" s="1"/>
  <c r="R305" i="1" s="1"/>
  <c r="S305" i="1" s="1"/>
  <c r="P332" i="1"/>
  <c r="Q332" i="1" s="1"/>
  <c r="R332" i="1" s="1"/>
  <c r="S332" i="1" s="1"/>
  <c r="R351" i="1"/>
  <c r="S351" i="1" s="1"/>
  <c r="P392" i="1"/>
  <c r="Q392" i="1" s="1"/>
  <c r="R392" i="1" s="1"/>
  <c r="S392" i="1" s="1"/>
  <c r="R535" i="1"/>
  <c r="S535" i="1" s="1"/>
  <c r="P576" i="1"/>
  <c r="Q576" i="1" s="1"/>
  <c r="R576" i="1" s="1"/>
  <c r="S576" i="1" s="1"/>
  <c r="R592" i="1"/>
  <c r="S592" i="1" s="1"/>
  <c r="R598" i="1"/>
  <c r="S598" i="1" s="1"/>
  <c r="P843" i="1"/>
  <c r="Q843" i="1" s="1"/>
  <c r="R843" i="1" s="1"/>
  <c r="S843" i="1" s="1"/>
  <c r="R876" i="1"/>
  <c r="S876" i="1" s="1"/>
  <c r="P884" i="1"/>
  <c r="Q884" i="1" s="1"/>
  <c r="R884" i="1" s="1"/>
  <c r="S884" i="1" s="1"/>
  <c r="P1061" i="1"/>
  <c r="Q1061" i="1" s="1"/>
  <c r="R1061" i="1" s="1"/>
  <c r="S1061" i="1" s="1"/>
  <c r="P1235" i="1"/>
  <c r="Q1235" i="1" s="1"/>
  <c r="R1235" i="1" s="1"/>
  <c r="S1235" i="1" s="1"/>
  <c r="P127" i="1"/>
  <c r="Q127" i="1" s="1"/>
  <c r="R127" i="1" s="1"/>
  <c r="S127" i="1" s="1"/>
  <c r="P135" i="1"/>
  <c r="Q135" i="1" s="1"/>
  <c r="R135" i="1" s="1"/>
  <c r="S135" i="1" s="1"/>
  <c r="P143" i="1"/>
  <c r="Q143" i="1" s="1"/>
  <c r="R143" i="1" s="1"/>
  <c r="S143" i="1" s="1"/>
  <c r="P151" i="1"/>
  <c r="Q151" i="1" s="1"/>
  <c r="R151" i="1" s="1"/>
  <c r="S151" i="1" s="1"/>
  <c r="P159" i="1"/>
  <c r="Q159" i="1" s="1"/>
  <c r="R159" i="1" s="1"/>
  <c r="S159" i="1" s="1"/>
  <c r="P176" i="1"/>
  <c r="Q176" i="1" s="1"/>
  <c r="R176" i="1" s="1"/>
  <c r="S176" i="1" s="1"/>
  <c r="R185" i="1"/>
  <c r="S185" i="1" s="1"/>
  <c r="P204" i="1"/>
  <c r="Q204" i="1" s="1"/>
  <c r="R204" i="1" s="1"/>
  <c r="S204" i="1" s="1"/>
  <c r="R241" i="1"/>
  <c r="S241" i="1" s="1"/>
  <c r="P264" i="1"/>
  <c r="Q264" i="1" s="1"/>
  <c r="R264" i="1" s="1"/>
  <c r="S264" i="1" s="1"/>
  <c r="R650" i="1"/>
  <c r="S650" i="1" s="1"/>
  <c r="P320" i="1"/>
  <c r="Q320" i="1" s="1"/>
  <c r="R320" i="1" s="1"/>
  <c r="S320" i="1" s="1"/>
  <c r="P328" i="1"/>
  <c r="Q328" i="1" s="1"/>
  <c r="R328" i="1" s="1"/>
  <c r="S328" i="1" s="1"/>
  <c r="P341" i="1"/>
  <c r="Q341" i="1" s="1"/>
  <c r="R341" i="1" s="1"/>
  <c r="S341" i="1" s="1"/>
  <c r="P438" i="1"/>
  <c r="Q438" i="1" s="1"/>
  <c r="R438" i="1" s="1"/>
  <c r="S438" i="1" s="1"/>
  <c r="R708" i="1"/>
  <c r="S708" i="1" s="1"/>
  <c r="P455" i="1"/>
  <c r="Q455" i="1" s="1"/>
  <c r="R455" i="1" s="1"/>
  <c r="S455" i="1" s="1"/>
  <c r="P460" i="1"/>
  <c r="Q460" i="1" s="1"/>
  <c r="R460" i="1"/>
  <c r="S460" i="1" s="1"/>
  <c r="P524" i="1"/>
  <c r="Q524" i="1" s="1"/>
  <c r="R524" i="1" s="1"/>
  <c r="S524" i="1" s="1"/>
  <c r="P548" i="1"/>
  <c r="Q548" i="1" s="1"/>
  <c r="R548" i="1" s="1"/>
  <c r="S548" i="1" s="1"/>
  <c r="P570" i="1"/>
  <c r="Q570" i="1" s="1"/>
  <c r="R570" i="1" s="1"/>
  <c r="S570" i="1" s="1"/>
  <c r="P582" i="1"/>
  <c r="Q582" i="1" s="1"/>
  <c r="R582" i="1" s="1"/>
  <c r="S582" i="1" s="1"/>
  <c r="P667" i="1"/>
  <c r="Q667" i="1" s="1"/>
  <c r="R667" i="1" s="1"/>
  <c r="S667" i="1" s="1"/>
  <c r="P903" i="1"/>
  <c r="Q903" i="1" s="1"/>
  <c r="R903" i="1" s="1"/>
  <c r="S903" i="1" s="1"/>
  <c r="P1012" i="1"/>
  <c r="Q1012" i="1" s="1"/>
  <c r="R1012" i="1" s="1"/>
  <c r="S1012" i="1" s="1"/>
  <c r="P1031" i="1"/>
  <c r="Q1031" i="1" s="1"/>
  <c r="R1031" i="1" s="1"/>
  <c r="S1031" i="1" s="1"/>
  <c r="P1046" i="1"/>
  <c r="Q1046" i="1" s="1"/>
  <c r="R1046" i="1" s="1"/>
  <c r="S1046" i="1" s="1"/>
  <c r="P1053" i="1"/>
  <c r="Q1053" i="1" s="1"/>
  <c r="R1053" i="1" s="1"/>
  <c r="S1053" i="1" s="1"/>
  <c r="R217" i="1"/>
  <c r="S217" i="1" s="1"/>
  <c r="R249" i="1"/>
  <c r="S249" i="1" s="1"/>
  <c r="R491" i="1"/>
  <c r="S491" i="1" s="1"/>
  <c r="P311" i="1"/>
  <c r="Q311" i="1" s="1"/>
  <c r="R311" i="1" s="1"/>
  <c r="S311" i="1" s="1"/>
  <c r="P372" i="1"/>
  <c r="Q372" i="1" s="1"/>
  <c r="R372" i="1" s="1"/>
  <c r="S372" i="1" s="1"/>
  <c r="P382" i="1"/>
  <c r="Q382" i="1" s="1"/>
  <c r="R382" i="1" s="1"/>
  <c r="S382" i="1" s="1"/>
  <c r="P387" i="1"/>
  <c r="Q387" i="1" s="1"/>
  <c r="R387" i="1" s="1"/>
  <c r="S387" i="1" s="1"/>
  <c r="P525" i="1"/>
  <c r="Q525" i="1" s="1"/>
  <c r="R525" i="1" s="1"/>
  <c r="S525" i="1" s="1"/>
  <c r="P825" i="1"/>
  <c r="Q825" i="1" s="1"/>
  <c r="R825" i="1" s="1"/>
  <c r="S825" i="1" s="1"/>
  <c r="P855" i="1"/>
  <c r="Q855" i="1" s="1"/>
  <c r="R855" i="1" s="1"/>
  <c r="S855" i="1" s="1"/>
  <c r="P862" i="1"/>
  <c r="Q862" i="1" s="1"/>
  <c r="R862" i="1" s="1"/>
  <c r="S862" i="1" s="1"/>
  <c r="P1200" i="1"/>
  <c r="Q1200" i="1" s="1"/>
  <c r="R1200" i="1" s="1"/>
  <c r="S1200" i="1" s="1"/>
  <c r="R201" i="1"/>
  <c r="S201" i="1" s="1"/>
  <c r="P214" i="1"/>
  <c r="Q214" i="1" s="1"/>
  <c r="R214" i="1" s="1"/>
  <c r="S214" i="1" s="1"/>
  <c r="R257" i="1"/>
  <c r="S257" i="1" s="1"/>
  <c r="R492" i="1"/>
  <c r="S492" i="1" s="1"/>
  <c r="R651" i="1"/>
  <c r="S651" i="1" s="1"/>
  <c r="P306" i="1"/>
  <c r="Q306" i="1" s="1"/>
  <c r="R306" i="1" s="1"/>
  <c r="S306" i="1" s="1"/>
  <c r="P316" i="1"/>
  <c r="Q316" i="1" s="1"/>
  <c r="R316" i="1" s="1"/>
  <c r="S316" i="1" s="1"/>
  <c r="R358" i="1"/>
  <c r="S358" i="1" s="1"/>
  <c r="P397" i="1"/>
  <c r="Q397" i="1" s="1"/>
  <c r="R397" i="1" s="1"/>
  <c r="S397" i="1" s="1"/>
  <c r="R402" i="1"/>
  <c r="S402" i="1" s="1"/>
  <c r="P408" i="1"/>
  <c r="Q408" i="1" s="1"/>
  <c r="R408" i="1" s="1"/>
  <c r="S408" i="1" s="1"/>
  <c r="P439" i="1"/>
  <c r="Q439" i="1" s="1"/>
  <c r="R439" i="1" s="1"/>
  <c r="S439" i="1" s="1"/>
  <c r="R444" i="1"/>
  <c r="S444" i="1" s="1"/>
  <c r="P709" i="1"/>
  <c r="Q709" i="1" s="1"/>
  <c r="R709" i="1" s="1"/>
  <c r="S709" i="1" s="1"/>
  <c r="P802" i="1"/>
  <c r="Q802" i="1" s="1"/>
  <c r="R802" i="1" s="1"/>
  <c r="S802" i="1" s="1"/>
  <c r="P503" i="1"/>
  <c r="Q503" i="1" s="1"/>
  <c r="R503" i="1" s="1"/>
  <c r="S503" i="1" s="1"/>
  <c r="P514" i="1"/>
  <c r="Q514" i="1" s="1"/>
  <c r="R514" i="1" s="1"/>
  <c r="S514" i="1" s="1"/>
  <c r="P530" i="1"/>
  <c r="Q530" i="1" s="1"/>
  <c r="R530" i="1" s="1"/>
  <c r="S530" i="1" s="1"/>
  <c r="R549" i="1"/>
  <c r="S549" i="1" s="1"/>
  <c r="P554" i="1"/>
  <c r="Q554" i="1" s="1"/>
  <c r="R554" i="1" s="1"/>
  <c r="S554" i="1" s="1"/>
  <c r="P577" i="1"/>
  <c r="Q577" i="1" s="1"/>
  <c r="R577" i="1" s="1"/>
  <c r="S577" i="1" s="1"/>
  <c r="P606" i="1"/>
  <c r="Q606" i="1" s="1"/>
  <c r="R606" i="1" s="1"/>
  <c r="S606" i="1" s="1"/>
  <c r="P612" i="1"/>
  <c r="Q612" i="1" s="1"/>
  <c r="R612" i="1" s="1"/>
  <c r="S612" i="1" s="1"/>
  <c r="P693" i="1"/>
  <c r="Q693" i="1" s="1"/>
  <c r="R693" i="1" s="1"/>
  <c r="S693" i="1" s="1"/>
  <c r="P703" i="1"/>
  <c r="Q703" i="1" s="1"/>
  <c r="R703" i="1" s="1"/>
  <c r="S703" i="1" s="1"/>
  <c r="P870" i="1"/>
  <c r="Q870" i="1" s="1"/>
  <c r="R870" i="1" s="1"/>
  <c r="S870" i="1" s="1"/>
  <c r="P1162" i="1"/>
  <c r="Q1162" i="1" s="1"/>
  <c r="R1162" i="1" s="1"/>
  <c r="S1162" i="1" s="1"/>
  <c r="P1184" i="1"/>
  <c r="Q1184" i="1" s="1"/>
  <c r="R1184" i="1" s="1"/>
  <c r="S1184" i="1" s="1"/>
  <c r="R610" i="1"/>
  <c r="S610" i="1" s="1"/>
  <c r="P620" i="1"/>
  <c r="Q620" i="1" s="1"/>
  <c r="R620" i="1" s="1"/>
  <c r="S620" i="1" s="1"/>
  <c r="P856" i="1"/>
  <c r="Q856" i="1" s="1"/>
  <c r="R856" i="1" s="1"/>
  <c r="S856" i="1" s="1"/>
  <c r="P878" i="1"/>
  <c r="Q878" i="1" s="1"/>
  <c r="R878" i="1" s="1"/>
  <c r="S878" i="1" s="1"/>
  <c r="P892" i="1"/>
  <c r="Q892" i="1" s="1"/>
  <c r="R892" i="1" s="1"/>
  <c r="S892" i="1" s="1"/>
  <c r="P925" i="1"/>
  <c r="Q925" i="1" s="1"/>
  <c r="R925" i="1" s="1"/>
  <c r="S925" i="1" s="1"/>
  <c r="R954" i="1"/>
  <c r="S954" i="1" s="1"/>
  <c r="P1054" i="1"/>
  <c r="Q1054" i="1" s="1"/>
  <c r="R1054" i="1" s="1"/>
  <c r="S1054" i="1" s="1"/>
  <c r="P1106" i="1"/>
  <c r="Q1106" i="1" s="1"/>
  <c r="R1106" i="1" s="1"/>
  <c r="S1106" i="1" s="1"/>
  <c r="P1315" i="1"/>
  <c r="Q1315" i="1" s="1"/>
  <c r="R1315" i="1" s="1"/>
  <c r="S1315" i="1" s="1"/>
  <c r="P1484" i="1"/>
  <c r="Q1484" i="1" s="1"/>
  <c r="R1484" i="1" s="1"/>
  <c r="S1484" i="1" s="1"/>
  <c r="P1520" i="1"/>
  <c r="Q1520" i="1" s="1"/>
  <c r="R1520" i="1"/>
  <c r="S1520" i="1" s="1"/>
  <c r="R571" i="1"/>
  <c r="S571" i="1" s="1"/>
  <c r="P611" i="1"/>
  <c r="Q611" i="1" s="1"/>
  <c r="R611" i="1" s="1"/>
  <c r="S611" i="1" s="1"/>
  <c r="P671" i="1"/>
  <c r="Q671" i="1" s="1"/>
  <c r="R671" i="1" s="1"/>
  <c r="S671" i="1" s="1"/>
  <c r="P867" i="1"/>
  <c r="Q867" i="1" s="1"/>
  <c r="R867" i="1" s="1"/>
  <c r="S867" i="1" s="1"/>
  <c r="P879" i="1"/>
  <c r="Q879" i="1" s="1"/>
  <c r="R879" i="1" s="1"/>
  <c r="S879" i="1" s="1"/>
  <c r="P919" i="1"/>
  <c r="Q919" i="1" s="1"/>
  <c r="R919" i="1" s="1"/>
  <c r="S919" i="1" s="1"/>
  <c r="P948" i="1"/>
  <c r="Q948" i="1" s="1"/>
  <c r="R948" i="1" s="1"/>
  <c r="S948" i="1" s="1"/>
  <c r="P955" i="1"/>
  <c r="Q955" i="1" s="1"/>
  <c r="R955" i="1" s="1"/>
  <c r="S955" i="1" s="1"/>
  <c r="R1099" i="1"/>
  <c r="S1099" i="1" s="1"/>
  <c r="P1136" i="1"/>
  <c r="Q1136" i="1" s="1"/>
  <c r="R1136" i="1" s="1"/>
  <c r="S1136" i="1" s="1"/>
  <c r="R1161" i="1"/>
  <c r="S1161" i="1" s="1"/>
  <c r="P886" i="1"/>
  <c r="Q886" i="1" s="1"/>
  <c r="R886" i="1" s="1"/>
  <c r="S886" i="1" s="1"/>
  <c r="P931" i="1"/>
  <c r="Q931" i="1" s="1"/>
  <c r="R931" i="1" s="1"/>
  <c r="S931" i="1" s="1"/>
  <c r="P956" i="1"/>
  <c r="Q956" i="1" s="1"/>
  <c r="R956" i="1" s="1"/>
  <c r="S956" i="1" s="1"/>
  <c r="P1091" i="1"/>
  <c r="Q1091" i="1" s="1"/>
  <c r="R1091" i="1" s="1"/>
  <c r="S1091" i="1" s="1"/>
  <c r="R696" i="1"/>
  <c r="S696" i="1" s="1"/>
  <c r="P839" i="1"/>
  <c r="Q839" i="1" s="1"/>
  <c r="R839" i="1" s="1"/>
  <c r="S839" i="1" s="1"/>
  <c r="P868" i="1"/>
  <c r="Q868" i="1" s="1"/>
  <c r="R868" i="1" s="1"/>
  <c r="S868" i="1" s="1"/>
  <c r="P900" i="1"/>
  <c r="Q900" i="1" s="1"/>
  <c r="R900" i="1" s="1"/>
  <c r="S900" i="1" s="1"/>
  <c r="R907" i="1"/>
  <c r="S907" i="1" s="1"/>
  <c r="P964" i="1"/>
  <c r="Q964" i="1" s="1"/>
  <c r="R964" i="1" s="1"/>
  <c r="S964" i="1" s="1"/>
  <c r="P970" i="1"/>
  <c r="Q970" i="1" s="1"/>
  <c r="R970" i="1" s="1"/>
  <c r="S970" i="1" s="1"/>
  <c r="P1293" i="1"/>
  <c r="Q1293" i="1" s="1"/>
  <c r="R1293" i="1" s="1"/>
  <c r="S1293" i="1" s="1"/>
  <c r="P617" i="1"/>
  <c r="Q617" i="1" s="1"/>
  <c r="R617" i="1" s="1"/>
  <c r="S617" i="1" s="1"/>
  <c r="R697" i="1"/>
  <c r="S697" i="1" s="1"/>
  <c r="P942" i="1"/>
  <c r="Q942" i="1" s="1"/>
  <c r="R942" i="1" s="1"/>
  <c r="S942" i="1" s="1"/>
  <c r="P990" i="1"/>
  <c r="Q990" i="1" s="1"/>
  <c r="R990" i="1" s="1"/>
  <c r="S990" i="1" s="1"/>
  <c r="P424" i="1"/>
  <c r="Q424" i="1" s="1"/>
  <c r="R424" i="1" s="1"/>
  <c r="S424" i="1" s="1"/>
  <c r="P323" i="1"/>
  <c r="Q323" i="1" s="1"/>
  <c r="R323" i="1" s="1"/>
  <c r="S323" i="1" s="1"/>
  <c r="R531" i="1"/>
  <c r="S531" i="1" s="1"/>
  <c r="R565" i="1"/>
  <c r="S565" i="1" s="1"/>
  <c r="P583" i="1"/>
  <c r="Q583" i="1" s="1"/>
  <c r="R583" i="1" s="1"/>
  <c r="S583" i="1" s="1"/>
  <c r="P687" i="1"/>
  <c r="Q687" i="1" s="1"/>
  <c r="R687" i="1" s="1"/>
  <c r="S687" i="1" s="1"/>
  <c r="P692" i="1"/>
  <c r="Q692" i="1" s="1"/>
  <c r="R692" i="1" s="1"/>
  <c r="S692" i="1" s="1"/>
  <c r="R830" i="1"/>
  <c r="S830" i="1" s="1"/>
  <c r="R869" i="1"/>
  <c r="S869" i="1" s="1"/>
  <c r="P895" i="1"/>
  <c r="Q895" i="1" s="1"/>
  <c r="R895" i="1" s="1"/>
  <c r="S895" i="1" s="1"/>
  <c r="P902" i="1"/>
  <c r="Q902" i="1" s="1"/>
  <c r="R902" i="1" s="1"/>
  <c r="S902" i="1" s="1"/>
  <c r="P908" i="1"/>
  <c r="Q908" i="1" s="1"/>
  <c r="R908" i="1" s="1"/>
  <c r="S908" i="1" s="1"/>
  <c r="P977" i="1"/>
  <c r="Q977" i="1" s="1"/>
  <c r="R977" i="1" s="1"/>
  <c r="S977" i="1" s="1"/>
  <c r="R984" i="1"/>
  <c r="S984" i="1" s="1"/>
  <c r="P1022" i="1"/>
  <c r="Q1022" i="1" s="1"/>
  <c r="R1022" i="1" s="1"/>
  <c r="S1022" i="1" s="1"/>
  <c r="P1027" i="1"/>
  <c r="Q1027" i="1" s="1"/>
  <c r="R1027" i="1" s="1"/>
  <c r="S1027" i="1" s="1"/>
  <c r="P1157" i="1"/>
  <c r="Q1157" i="1" s="1"/>
  <c r="R1157" i="1" s="1"/>
  <c r="S1157" i="1" s="1"/>
  <c r="P302" i="1"/>
  <c r="Q302" i="1" s="1"/>
  <c r="R302" i="1" s="1"/>
  <c r="S302" i="1" s="1"/>
  <c r="R363" i="1"/>
  <c r="S363" i="1" s="1"/>
  <c r="R379" i="1"/>
  <c r="S379" i="1" s="1"/>
  <c r="R395" i="1"/>
  <c r="S395" i="1" s="1"/>
  <c r="R433" i="1"/>
  <c r="S433" i="1" s="1"/>
  <c r="R661" i="1"/>
  <c r="S661" i="1" s="1"/>
  <c r="R714" i="1"/>
  <c r="S714" i="1" s="1"/>
  <c r="P608" i="1"/>
  <c r="Q608" i="1" s="1"/>
  <c r="R608" i="1" s="1"/>
  <c r="S608" i="1" s="1"/>
  <c r="P826" i="1"/>
  <c r="Q826" i="1" s="1"/>
  <c r="R826" i="1" s="1"/>
  <c r="S826" i="1" s="1"/>
  <c r="P863" i="1"/>
  <c r="Q863" i="1" s="1"/>
  <c r="R863" i="1" s="1"/>
  <c r="S863" i="1" s="1"/>
  <c r="P896" i="1"/>
  <c r="Q896" i="1" s="1"/>
  <c r="R896" i="1" s="1"/>
  <c r="S896" i="1" s="1"/>
  <c r="P1120" i="1"/>
  <c r="Q1120" i="1" s="1"/>
  <c r="R1120" i="1" s="1"/>
  <c r="S1120" i="1" s="1"/>
  <c r="P1144" i="1"/>
  <c r="Q1144" i="1" s="1"/>
  <c r="R1144" i="1" s="1"/>
  <c r="S1144" i="1" s="1"/>
  <c r="P1194" i="1"/>
  <c r="Q1194" i="1" s="1"/>
  <c r="R1194" i="1" s="1"/>
  <c r="S1194" i="1" s="1"/>
  <c r="P1237" i="1"/>
  <c r="Q1237" i="1" s="1"/>
  <c r="R1237" i="1" s="1"/>
  <c r="S1237" i="1" s="1"/>
  <c r="P1248" i="1"/>
  <c r="Q1248" i="1" s="1"/>
  <c r="R1248" i="1" s="1"/>
  <c r="S1248" i="1" s="1"/>
  <c r="P299" i="1"/>
  <c r="Q299" i="1" s="1"/>
  <c r="R299" i="1" s="1"/>
  <c r="S299" i="1" s="1"/>
  <c r="P501" i="1"/>
  <c r="Q501" i="1" s="1"/>
  <c r="R501" i="1" s="1"/>
  <c r="S501" i="1" s="1"/>
  <c r="P508" i="1"/>
  <c r="Q508" i="1" s="1"/>
  <c r="R508" i="1" s="1"/>
  <c r="S508" i="1" s="1"/>
  <c r="R555" i="1"/>
  <c r="S555" i="1" s="1"/>
  <c r="P569" i="1"/>
  <c r="Q569" i="1" s="1"/>
  <c r="R569" i="1" s="1"/>
  <c r="S569" i="1" s="1"/>
  <c r="P591" i="1"/>
  <c r="Q591" i="1" s="1"/>
  <c r="R591" i="1" s="1"/>
  <c r="S591" i="1" s="1"/>
  <c r="R595" i="1"/>
  <c r="S595" i="1" s="1"/>
  <c r="P618" i="1"/>
  <c r="Q618" i="1" s="1"/>
  <c r="R618" i="1" s="1"/>
  <c r="S618" i="1" s="1"/>
  <c r="P688" i="1"/>
  <c r="Q688" i="1" s="1"/>
  <c r="R688" i="1" s="1"/>
  <c r="S688" i="1" s="1"/>
  <c r="P836" i="1"/>
  <c r="Q836" i="1" s="1"/>
  <c r="R836" i="1" s="1"/>
  <c r="S836" i="1" s="1"/>
  <c r="P845" i="1"/>
  <c r="Q845" i="1" s="1"/>
  <c r="R845" i="1" s="1"/>
  <c r="S845" i="1" s="1"/>
  <c r="P889" i="1"/>
  <c r="Q889" i="1" s="1"/>
  <c r="R889" i="1" s="1"/>
  <c r="S889" i="1" s="1"/>
  <c r="P910" i="1"/>
  <c r="Q910" i="1" s="1"/>
  <c r="R910" i="1" s="1"/>
  <c r="S910" i="1" s="1"/>
  <c r="P922" i="1"/>
  <c r="Q922" i="1" s="1"/>
  <c r="R922" i="1" s="1"/>
  <c r="S922" i="1" s="1"/>
  <c r="R927" i="1"/>
  <c r="S927" i="1" s="1"/>
  <c r="P944" i="1"/>
  <c r="Q944" i="1" s="1"/>
  <c r="R944" i="1" s="1"/>
  <c r="S944" i="1" s="1"/>
  <c r="P1028" i="1"/>
  <c r="Q1028" i="1" s="1"/>
  <c r="R1028" i="1" s="1"/>
  <c r="S1028" i="1" s="1"/>
  <c r="P1065" i="1"/>
  <c r="Q1065" i="1" s="1"/>
  <c r="R1065" i="1" s="1"/>
  <c r="S1065" i="1" s="1"/>
  <c r="P1209" i="1"/>
  <c r="Q1209" i="1" s="1"/>
  <c r="R1209" i="1" s="1"/>
  <c r="S1209" i="1" s="1"/>
  <c r="P1228" i="1"/>
  <c r="Q1228" i="1" s="1"/>
  <c r="R1228" i="1" s="1"/>
  <c r="S1228" i="1" s="1"/>
  <c r="P580" i="1"/>
  <c r="Q580" i="1" s="1"/>
  <c r="R580" i="1" s="1"/>
  <c r="S580" i="1" s="1"/>
  <c r="P613" i="1"/>
  <c r="Q613" i="1" s="1"/>
  <c r="R613" i="1" s="1"/>
  <c r="S613" i="1" s="1"/>
  <c r="P623" i="1"/>
  <c r="Q623" i="1" s="1"/>
  <c r="R623" i="1" s="1"/>
  <c r="S623" i="1" s="1"/>
  <c r="P678" i="1"/>
  <c r="Q678" i="1" s="1"/>
  <c r="R678" i="1" s="1"/>
  <c r="S678" i="1" s="1"/>
  <c r="P698" i="1"/>
  <c r="Q698" i="1" s="1"/>
  <c r="R698" i="1" s="1"/>
  <c r="S698" i="1" s="1"/>
  <c r="P1095" i="1"/>
  <c r="Q1095" i="1" s="1"/>
  <c r="R1095" i="1" s="1"/>
  <c r="S1095" i="1" s="1"/>
  <c r="P1139" i="1"/>
  <c r="Q1139" i="1" s="1"/>
  <c r="R1139" i="1" s="1"/>
  <c r="S1139" i="1" s="1"/>
  <c r="P552" i="1"/>
  <c r="Q552" i="1" s="1"/>
  <c r="R552" i="1" s="1"/>
  <c r="S552" i="1" s="1"/>
  <c r="R837" i="1"/>
  <c r="S837" i="1" s="1"/>
  <c r="P911" i="1"/>
  <c r="Q911" i="1" s="1"/>
  <c r="R911" i="1" s="1"/>
  <c r="S911" i="1" s="1"/>
  <c r="P916" i="1"/>
  <c r="Q916" i="1" s="1"/>
  <c r="R916" i="1" s="1"/>
  <c r="S916" i="1" s="1"/>
  <c r="P967" i="1"/>
  <c r="Q967" i="1" s="1"/>
  <c r="R967" i="1" s="1"/>
  <c r="S967" i="1" s="1"/>
  <c r="P1038" i="1"/>
  <c r="Q1038" i="1" s="1"/>
  <c r="R1038" i="1" s="1"/>
  <c r="S1038" i="1" s="1"/>
  <c r="P1203" i="1"/>
  <c r="Q1203" i="1" s="1"/>
  <c r="R1203" i="1" s="1"/>
  <c r="S1203" i="1" s="1"/>
  <c r="R1229" i="1"/>
  <c r="S1229" i="1" s="1"/>
  <c r="P1273" i="1"/>
  <c r="Q1273" i="1" s="1"/>
  <c r="R1273" i="1" s="1"/>
  <c r="S1273" i="1" s="1"/>
  <c r="P921" i="1"/>
  <c r="Q921" i="1" s="1"/>
  <c r="R921" i="1" s="1"/>
  <c r="S921" i="1" s="1"/>
  <c r="R1114" i="1"/>
  <c r="S1114" i="1" s="1"/>
  <c r="P1210" i="1"/>
  <c r="Q1210" i="1" s="1"/>
  <c r="R1210" i="1" s="1"/>
  <c r="S1210" i="1" s="1"/>
  <c r="P1220" i="1"/>
  <c r="Q1220" i="1" s="1"/>
  <c r="R1220" i="1" s="1"/>
  <c r="S1220" i="1" s="1"/>
  <c r="P1269" i="1"/>
  <c r="Q1269" i="1" s="1"/>
  <c r="R1269" i="1" s="1"/>
  <c r="S1269" i="1" s="1"/>
  <c r="P1324" i="1"/>
  <c r="Q1324" i="1" s="1"/>
  <c r="R1324" i="1" s="1"/>
  <c r="S1324" i="1" s="1"/>
  <c r="P752" i="1"/>
  <c r="Q752" i="1" s="1"/>
  <c r="R752" i="1" s="1"/>
  <c r="S752" i="1" s="1"/>
  <c r="P913" i="1"/>
  <c r="Q913" i="1" s="1"/>
  <c r="R913" i="1" s="1"/>
  <c r="S913" i="1" s="1"/>
  <c r="R936" i="1"/>
  <c r="S936" i="1" s="1"/>
  <c r="P994" i="1"/>
  <c r="Q994" i="1" s="1"/>
  <c r="R994" i="1" s="1"/>
  <c r="S994" i="1" s="1"/>
  <c r="P1006" i="1"/>
  <c r="Q1006" i="1" s="1"/>
  <c r="R1006" i="1" s="1"/>
  <c r="S1006" i="1" s="1"/>
  <c r="P1035" i="1"/>
  <c r="Q1035" i="1" s="1"/>
  <c r="R1035" i="1" s="1"/>
  <c r="S1035" i="1" s="1"/>
  <c r="R1043" i="1"/>
  <c r="S1043" i="1" s="1"/>
  <c r="P1125" i="1"/>
  <c r="Q1125" i="1" s="1"/>
  <c r="R1125" i="1" s="1"/>
  <c r="S1125" i="1" s="1"/>
  <c r="P739" i="1"/>
  <c r="Q739" i="1" s="1"/>
  <c r="R739" i="1" s="1"/>
  <c r="S739" i="1" s="1"/>
  <c r="P1067" i="1"/>
  <c r="Q1067" i="1" s="1"/>
  <c r="R1067" i="1" s="1"/>
  <c r="S1067" i="1" s="1"/>
  <c r="P1187" i="1"/>
  <c r="Q1187" i="1" s="1"/>
  <c r="R1187" i="1" s="1"/>
  <c r="S1187" i="1" s="1"/>
  <c r="P817" i="1"/>
  <c r="Q817" i="1" s="1"/>
  <c r="R817" i="1" s="1"/>
  <c r="S817" i="1" s="1"/>
  <c r="R670" i="1"/>
  <c r="S670" i="1" s="1"/>
  <c r="R690" i="1"/>
  <c r="S690" i="1" s="1"/>
  <c r="R882" i="1"/>
  <c r="S882" i="1" s="1"/>
  <c r="P891" i="1"/>
  <c r="Q891" i="1" s="1"/>
  <c r="R891" i="1" s="1"/>
  <c r="S891" i="1" s="1"/>
  <c r="P1037" i="1"/>
  <c r="Q1037" i="1" s="1"/>
  <c r="R1037" i="1" s="1"/>
  <c r="S1037" i="1" s="1"/>
  <c r="P1074" i="1"/>
  <c r="Q1074" i="1" s="1"/>
  <c r="R1074" i="1" s="1"/>
  <c r="S1074" i="1" s="1"/>
  <c r="P1100" i="1"/>
  <c r="Q1100" i="1" s="1"/>
  <c r="R1100" i="1" s="1"/>
  <c r="S1100" i="1" s="1"/>
  <c r="P1153" i="1"/>
  <c r="Q1153" i="1" s="1"/>
  <c r="R1153" i="1" s="1"/>
  <c r="S1153" i="1" s="1"/>
  <c r="P1193" i="1"/>
  <c r="Q1193" i="1" s="1"/>
  <c r="R1193" i="1" s="1"/>
  <c r="S1193" i="1" s="1"/>
  <c r="P1199" i="1"/>
  <c r="Q1199" i="1" s="1"/>
  <c r="R1199" i="1" s="1"/>
  <c r="S1199" i="1" s="1"/>
  <c r="P1214" i="1"/>
  <c r="Q1214" i="1" s="1"/>
  <c r="R1214" i="1" s="1"/>
  <c r="S1214" i="1" s="1"/>
  <c r="R1264" i="1"/>
  <c r="S1264" i="1" s="1"/>
  <c r="P829" i="1"/>
  <c r="Q829" i="1" s="1"/>
  <c r="R829" i="1" s="1"/>
  <c r="S829" i="1" s="1"/>
  <c r="R849" i="1"/>
  <c r="S849" i="1" s="1"/>
  <c r="P909" i="1"/>
  <c r="Q909" i="1" s="1"/>
  <c r="R909" i="1" s="1"/>
  <c r="S909" i="1" s="1"/>
  <c r="P914" i="1"/>
  <c r="Q914" i="1" s="1"/>
  <c r="R914" i="1" s="1"/>
  <c r="S914" i="1" s="1"/>
  <c r="P1044" i="1"/>
  <c r="Q1044" i="1" s="1"/>
  <c r="R1044" i="1" s="1"/>
  <c r="S1044" i="1" s="1"/>
  <c r="P1242" i="1"/>
  <c r="Q1242" i="1" s="1"/>
  <c r="R1242" i="1" s="1"/>
  <c r="S1242" i="1" s="1"/>
  <c r="P928" i="1"/>
  <c r="Q928" i="1" s="1"/>
  <c r="R928" i="1" s="1"/>
  <c r="S928" i="1" s="1"/>
  <c r="P991" i="1"/>
  <c r="Q991" i="1" s="1"/>
  <c r="R991" i="1" s="1"/>
  <c r="S991" i="1" s="1"/>
  <c r="P1243" i="1"/>
  <c r="Q1243" i="1" s="1"/>
  <c r="R1243" i="1" s="1"/>
  <c r="S1243" i="1" s="1"/>
  <c r="P605" i="1"/>
  <c r="Q605" i="1" s="1"/>
  <c r="R605" i="1" s="1"/>
  <c r="S605" i="1" s="1"/>
  <c r="R681" i="1"/>
  <c r="S681" i="1" s="1"/>
  <c r="R840" i="1"/>
  <c r="S840" i="1" s="1"/>
  <c r="P871" i="1"/>
  <c r="Q871" i="1" s="1"/>
  <c r="R871" i="1" s="1"/>
  <c r="S871" i="1" s="1"/>
  <c r="P888" i="1"/>
  <c r="Q888" i="1" s="1"/>
  <c r="R888" i="1" s="1"/>
  <c r="S888" i="1" s="1"/>
  <c r="P959" i="1"/>
  <c r="Q959" i="1" s="1"/>
  <c r="R959" i="1" s="1"/>
  <c r="S959" i="1" s="1"/>
  <c r="P980" i="1"/>
  <c r="Q980" i="1" s="1"/>
  <c r="R980" i="1" s="1"/>
  <c r="S980" i="1" s="1"/>
  <c r="P1009" i="1"/>
  <c r="Q1009" i="1" s="1"/>
  <c r="R1009" i="1" s="1"/>
  <c r="S1009" i="1" s="1"/>
  <c r="P1088" i="1"/>
  <c r="Q1088" i="1" s="1"/>
  <c r="R1088" i="1" s="1"/>
  <c r="S1088" i="1" s="1"/>
  <c r="P1096" i="1"/>
  <c r="Q1096" i="1" s="1"/>
  <c r="R1096" i="1" s="1"/>
  <c r="S1096" i="1" s="1"/>
  <c r="R1189" i="1"/>
  <c r="S1189" i="1" s="1"/>
  <c r="P1234" i="1"/>
  <c r="Q1234" i="1" s="1"/>
  <c r="R1234" i="1" s="1"/>
  <c r="S1234" i="1" s="1"/>
  <c r="P626" i="1"/>
  <c r="Q626" i="1" s="1"/>
  <c r="R626" i="1" s="1"/>
  <c r="S626" i="1" s="1"/>
  <c r="P823" i="1"/>
  <c r="Q823" i="1" s="1"/>
  <c r="R823" i="1" s="1"/>
  <c r="S823" i="1" s="1"/>
  <c r="P960" i="1"/>
  <c r="Q960" i="1" s="1"/>
  <c r="R960" i="1" s="1"/>
  <c r="S960" i="1" s="1"/>
  <c r="P1015" i="1"/>
  <c r="Q1015" i="1" s="1"/>
  <c r="R1015" i="1" s="1"/>
  <c r="S1015" i="1" s="1"/>
  <c r="R1119" i="1"/>
  <c r="S1119" i="1" s="1"/>
  <c r="P1149" i="1"/>
  <c r="Q1149" i="1" s="1"/>
  <c r="R1149" i="1" s="1"/>
  <c r="S1149" i="1" s="1"/>
  <c r="R864" i="1"/>
  <c r="S864" i="1" s="1"/>
  <c r="P901" i="1"/>
  <c r="Q901" i="1" s="1"/>
  <c r="R901" i="1" s="1"/>
  <c r="S901" i="1" s="1"/>
  <c r="R920" i="1"/>
  <c r="S920" i="1" s="1"/>
  <c r="P943" i="1"/>
  <c r="Q943" i="1" s="1"/>
  <c r="R943" i="1" s="1"/>
  <c r="S943" i="1" s="1"/>
  <c r="P953" i="1"/>
  <c r="Q953" i="1" s="1"/>
  <c r="R953" i="1" s="1"/>
  <c r="S953" i="1" s="1"/>
  <c r="P1032" i="1"/>
  <c r="Q1032" i="1" s="1"/>
  <c r="R1032" i="1" s="1"/>
  <c r="S1032" i="1" s="1"/>
  <c r="P1039" i="1"/>
  <c r="Q1039" i="1" s="1"/>
  <c r="R1039" i="1" s="1"/>
  <c r="S1039" i="1" s="1"/>
  <c r="R1129" i="1"/>
  <c r="S1129" i="1" s="1"/>
  <c r="P1331" i="1"/>
  <c r="Q1331" i="1" s="1"/>
  <c r="R1331" i="1" s="1"/>
  <c r="S1331" i="1" s="1"/>
  <c r="P1115" i="1"/>
  <c r="Q1115" i="1" s="1"/>
  <c r="R1115" i="1" s="1"/>
  <c r="S1115" i="1" s="1"/>
  <c r="P1122" i="1"/>
  <c r="Q1122" i="1" s="1"/>
  <c r="R1122" i="1" s="1"/>
  <c r="S1122" i="1" s="1"/>
  <c r="R1181" i="1"/>
  <c r="S1181" i="1" s="1"/>
  <c r="P1253" i="1"/>
  <c r="Q1253" i="1" s="1"/>
  <c r="R1253" i="1" s="1"/>
  <c r="S1253" i="1" s="1"/>
  <c r="P1486" i="1"/>
  <c r="Q1486" i="1" s="1"/>
  <c r="R1486" i="1" s="1"/>
  <c r="S1486" i="1" s="1"/>
  <c r="P1642" i="1"/>
  <c r="Q1642" i="1" s="1"/>
  <c r="R1642" i="1" s="1"/>
  <c r="S1642" i="1" s="1"/>
  <c r="P976" i="1"/>
  <c r="Q976" i="1" s="1"/>
  <c r="R976" i="1" s="1"/>
  <c r="S976" i="1" s="1"/>
  <c r="P1004" i="1"/>
  <c r="Q1004" i="1" s="1"/>
  <c r="R1004" i="1" s="1"/>
  <c r="S1004" i="1" s="1"/>
  <c r="P1011" i="1"/>
  <c r="Q1011" i="1" s="1"/>
  <c r="R1011" i="1" s="1"/>
  <c r="S1011" i="1" s="1"/>
  <c r="R1066" i="1"/>
  <c r="S1066" i="1" s="1"/>
  <c r="P1108" i="1"/>
  <c r="Q1108" i="1" s="1"/>
  <c r="R1108" i="1" s="1"/>
  <c r="S1108" i="1" s="1"/>
  <c r="P1123" i="1"/>
  <c r="Q1123" i="1" s="1"/>
  <c r="R1123" i="1" s="1"/>
  <c r="S1123" i="1" s="1"/>
  <c r="P1215" i="1"/>
  <c r="Q1215" i="1" s="1"/>
  <c r="R1215" i="1" s="1"/>
  <c r="S1215" i="1" s="1"/>
  <c r="P1223" i="1"/>
  <c r="Q1223" i="1" s="1"/>
  <c r="R1223" i="1" s="1"/>
  <c r="S1223" i="1" s="1"/>
  <c r="R1240" i="1"/>
  <c r="S1240" i="1" s="1"/>
  <c r="R1282" i="1"/>
  <c r="S1282" i="1" s="1"/>
  <c r="P1300" i="1"/>
  <c r="Q1300" i="1" s="1"/>
  <c r="R1300" i="1" s="1"/>
  <c r="S1300" i="1" s="1"/>
  <c r="P625" i="1"/>
  <c r="Q625" i="1" s="1"/>
  <c r="R625" i="1" s="1"/>
  <c r="S625" i="1" s="1"/>
  <c r="P758" i="1"/>
  <c r="Q758" i="1" s="1"/>
  <c r="R758" i="1" s="1"/>
  <c r="S758" i="1" s="1"/>
  <c r="P702" i="1"/>
  <c r="Q702" i="1" s="1"/>
  <c r="R702" i="1" s="1"/>
  <c r="S702" i="1" s="1"/>
  <c r="P815" i="1"/>
  <c r="Q815" i="1" s="1"/>
  <c r="R815" i="1" s="1"/>
  <c r="S815" i="1" s="1"/>
  <c r="P1478" i="1"/>
  <c r="Q1478" i="1" s="1"/>
  <c r="R1478" i="1" s="1"/>
  <c r="S1478" i="1" s="1"/>
  <c r="P1163" i="1"/>
  <c r="Q1163" i="1" s="1"/>
  <c r="R1163" i="1" s="1"/>
  <c r="S1163" i="1" s="1"/>
  <c r="P1190" i="1"/>
  <c r="Q1190" i="1" s="1"/>
  <c r="R1190" i="1" s="1"/>
  <c r="S1190" i="1" s="1"/>
  <c r="P1260" i="1"/>
  <c r="Q1260" i="1" s="1"/>
  <c r="R1260" i="1" s="1"/>
  <c r="S1260" i="1" s="1"/>
  <c r="P1288" i="1"/>
  <c r="Q1288" i="1" s="1"/>
  <c r="R1288" i="1" s="1"/>
  <c r="S1288" i="1" s="1"/>
  <c r="P1308" i="1"/>
  <c r="Q1308" i="1" s="1"/>
  <c r="R1308" i="1" s="1"/>
  <c r="S1308" i="1" s="1"/>
  <c r="P736" i="1"/>
  <c r="Q736" i="1" s="1"/>
  <c r="R736" i="1" s="1"/>
  <c r="S736" i="1" s="1"/>
  <c r="P808" i="1"/>
  <c r="Q808" i="1" s="1"/>
  <c r="R808" i="1" s="1"/>
  <c r="S808" i="1" s="1"/>
  <c r="P949" i="1"/>
  <c r="Q949" i="1" s="1"/>
  <c r="R949" i="1" s="1"/>
  <c r="S949" i="1" s="1"/>
  <c r="P1005" i="1"/>
  <c r="Q1005" i="1" s="1"/>
  <c r="R1005" i="1" s="1"/>
  <c r="S1005" i="1" s="1"/>
  <c r="P1084" i="1"/>
  <c r="Q1084" i="1" s="1"/>
  <c r="R1084" i="1" s="1"/>
  <c r="S1084" i="1" s="1"/>
  <c r="P1109" i="1"/>
  <c r="Q1109" i="1" s="1"/>
  <c r="R1109" i="1" s="1"/>
  <c r="S1109" i="1" s="1"/>
  <c r="R1143" i="1"/>
  <c r="S1143" i="1" s="1"/>
  <c r="P1176" i="1"/>
  <c r="Q1176" i="1" s="1"/>
  <c r="R1176" i="1" s="1"/>
  <c r="S1176" i="1" s="1"/>
  <c r="P1182" i="1"/>
  <c r="Q1182" i="1" s="1"/>
  <c r="R1182" i="1" s="1"/>
  <c r="S1182" i="1" s="1"/>
  <c r="P1216" i="1"/>
  <c r="Q1216" i="1" s="1"/>
  <c r="R1216" i="1" s="1"/>
  <c r="S1216" i="1" s="1"/>
  <c r="P1276" i="1"/>
  <c r="Q1276" i="1" s="1"/>
  <c r="R1276" i="1" s="1"/>
  <c r="S1276" i="1" s="1"/>
  <c r="P632" i="1"/>
  <c r="Q632" i="1" s="1"/>
  <c r="R632" i="1" s="1"/>
  <c r="S632" i="1" s="1"/>
  <c r="P774" i="1"/>
  <c r="Q774" i="1" s="1"/>
  <c r="R774" i="1" s="1"/>
  <c r="S774" i="1" s="1"/>
  <c r="P799" i="1"/>
  <c r="Q799" i="1" s="1"/>
  <c r="R799" i="1" s="1"/>
  <c r="S799" i="1" s="1"/>
  <c r="P1353" i="1"/>
  <c r="Q1353" i="1" s="1"/>
  <c r="R1353" i="1" s="1"/>
  <c r="S1353" i="1" s="1"/>
  <c r="R898" i="1"/>
  <c r="S898" i="1" s="1"/>
  <c r="P982" i="1"/>
  <c r="Q982" i="1" s="1"/>
  <c r="R982" i="1" s="1"/>
  <c r="S982" i="1" s="1"/>
  <c r="R1057" i="1"/>
  <c r="S1057" i="1" s="1"/>
  <c r="P1068" i="1"/>
  <c r="Q1068" i="1" s="1"/>
  <c r="R1068" i="1" s="1"/>
  <c r="S1068" i="1" s="1"/>
  <c r="R1085" i="1"/>
  <c r="S1085" i="1" s="1"/>
  <c r="R1103" i="1"/>
  <c r="S1103" i="1" s="1"/>
  <c r="R1110" i="1"/>
  <c r="S1110" i="1" s="1"/>
  <c r="P1133" i="1"/>
  <c r="Q1133" i="1" s="1"/>
  <c r="R1133" i="1" s="1"/>
  <c r="S1133" i="1" s="1"/>
  <c r="P1165" i="1"/>
  <c r="Q1165" i="1" s="1"/>
  <c r="R1165" i="1" s="1"/>
  <c r="S1165" i="1" s="1"/>
  <c r="P1177" i="1"/>
  <c r="Q1177" i="1" s="1"/>
  <c r="R1177" i="1" s="1"/>
  <c r="S1177" i="1" s="1"/>
  <c r="P1217" i="1"/>
  <c r="Q1217" i="1" s="1"/>
  <c r="R1217" i="1" s="1"/>
  <c r="S1217" i="1" s="1"/>
  <c r="P1241" i="1"/>
  <c r="Q1241" i="1" s="1"/>
  <c r="R1241" i="1" s="1"/>
  <c r="S1241" i="1" s="1"/>
  <c r="P767" i="1"/>
  <c r="Q767" i="1" s="1"/>
  <c r="R767" i="1" s="1"/>
  <c r="S767" i="1" s="1"/>
  <c r="P1347" i="1"/>
  <c r="Q1347" i="1" s="1"/>
  <c r="R1347" i="1" s="1"/>
  <c r="S1347" i="1" s="1"/>
  <c r="P937" i="1"/>
  <c r="Q937" i="1" s="1"/>
  <c r="R937" i="1" s="1"/>
  <c r="S937" i="1" s="1"/>
  <c r="P1013" i="1"/>
  <c r="Q1013" i="1" s="1"/>
  <c r="R1013" i="1" s="1"/>
  <c r="S1013" i="1" s="1"/>
  <c r="P1104" i="1"/>
  <c r="Q1104" i="1" s="1"/>
  <c r="R1104" i="1" s="1"/>
  <c r="S1104" i="1" s="1"/>
  <c r="R1270" i="1"/>
  <c r="S1270" i="1" s="1"/>
  <c r="P1278" i="1"/>
  <c r="Q1278" i="1" s="1"/>
  <c r="R1278" i="1" s="1"/>
  <c r="S1278" i="1" s="1"/>
  <c r="P906" i="1"/>
  <c r="Q906" i="1" s="1"/>
  <c r="R906" i="1" s="1"/>
  <c r="S906" i="1" s="1"/>
  <c r="P1001" i="1"/>
  <c r="Q1001" i="1" s="1"/>
  <c r="R1001" i="1" s="1"/>
  <c r="S1001" i="1" s="1"/>
  <c r="P1036" i="1"/>
  <c r="Q1036" i="1" s="1"/>
  <c r="R1036" i="1" s="1"/>
  <c r="S1036" i="1" s="1"/>
  <c r="P1126" i="1"/>
  <c r="Q1126" i="1" s="1"/>
  <c r="R1126" i="1" s="1"/>
  <c r="S1126" i="1" s="1"/>
  <c r="P1219" i="1"/>
  <c r="Q1219" i="1" s="1"/>
  <c r="R1219" i="1" s="1"/>
  <c r="S1219" i="1" s="1"/>
  <c r="P1226" i="1"/>
  <c r="Q1226" i="1" s="1"/>
  <c r="R1226" i="1" s="1"/>
  <c r="S1226" i="1" s="1"/>
  <c r="R1297" i="1"/>
  <c r="S1297" i="1" s="1"/>
  <c r="R1303" i="1"/>
  <c r="S1303" i="1" s="1"/>
  <c r="P1320" i="1"/>
  <c r="Q1320" i="1" s="1"/>
  <c r="R1320" i="1" s="1"/>
  <c r="S1320" i="1" s="1"/>
  <c r="P723" i="1"/>
  <c r="Q723" i="1" s="1"/>
  <c r="R723" i="1" s="1"/>
  <c r="S723" i="1" s="1"/>
  <c r="P1341" i="1"/>
  <c r="Q1341" i="1" s="1"/>
  <c r="R1341" i="1" s="1"/>
  <c r="S1341" i="1" s="1"/>
  <c r="P635" i="1"/>
  <c r="Q635" i="1" s="1"/>
  <c r="R635" i="1" s="1"/>
  <c r="S635" i="1" s="1"/>
  <c r="P747" i="1"/>
  <c r="Q747" i="1" s="1"/>
  <c r="R747" i="1" s="1"/>
  <c r="S747" i="1" s="1"/>
  <c r="P777" i="1"/>
  <c r="Q777" i="1" s="1"/>
  <c r="R777" i="1" s="1"/>
  <c r="S777" i="1" s="1"/>
  <c r="R1087" i="1"/>
  <c r="S1087" i="1" s="1"/>
  <c r="R1150" i="1"/>
  <c r="S1150" i="1" s="1"/>
  <c r="P1164" i="1"/>
  <c r="Q1164" i="1" s="1"/>
  <c r="R1164" i="1" s="1"/>
  <c r="S1164" i="1" s="1"/>
  <c r="R1174" i="1"/>
  <c r="S1174" i="1" s="1"/>
  <c r="R1249" i="1"/>
  <c r="S1249" i="1" s="1"/>
  <c r="P1327" i="1"/>
  <c r="Q1327" i="1" s="1"/>
  <c r="R1327" i="1" s="1"/>
  <c r="S1327" i="1" s="1"/>
  <c r="R1358" i="1"/>
  <c r="S1358" i="1" s="1"/>
  <c r="P1413" i="1"/>
  <c r="Q1413" i="1" s="1"/>
  <c r="R1413" i="1" s="1"/>
  <c r="S1413" i="1" s="1"/>
  <c r="P1145" i="1"/>
  <c r="Q1145" i="1" s="1"/>
  <c r="R1145" i="1" s="1"/>
  <c r="S1145" i="1" s="1"/>
  <c r="P1195" i="1"/>
  <c r="Q1195" i="1" s="1"/>
  <c r="R1195" i="1" s="1"/>
  <c r="S1195" i="1" s="1"/>
  <c r="P1230" i="1"/>
  <c r="Q1230" i="1" s="1"/>
  <c r="R1230" i="1" s="1"/>
  <c r="S1230" i="1" s="1"/>
  <c r="P1319" i="1"/>
  <c r="Q1319" i="1" s="1"/>
  <c r="R1319" i="1" s="1"/>
  <c r="S1319" i="1" s="1"/>
  <c r="P471" i="1"/>
  <c r="Q471" i="1" s="1"/>
  <c r="R471" i="1" s="1"/>
  <c r="S471" i="1" s="1"/>
  <c r="R1337" i="1"/>
  <c r="S1337" i="1" s="1"/>
  <c r="P940" i="1"/>
  <c r="Q940" i="1" s="1"/>
  <c r="R940" i="1" s="1"/>
  <c r="S940" i="1" s="1"/>
  <c r="P946" i="1"/>
  <c r="Q946" i="1" s="1"/>
  <c r="R946" i="1" s="1"/>
  <c r="S946" i="1" s="1"/>
  <c r="P952" i="1"/>
  <c r="Q952" i="1" s="1"/>
  <c r="R952" i="1" s="1"/>
  <c r="S952" i="1" s="1"/>
  <c r="P965" i="1"/>
  <c r="Q965" i="1" s="1"/>
  <c r="R965" i="1" s="1"/>
  <c r="S965" i="1" s="1"/>
  <c r="P978" i="1"/>
  <c r="Q978" i="1" s="1"/>
  <c r="R978" i="1" s="1"/>
  <c r="S978" i="1" s="1"/>
  <c r="P985" i="1"/>
  <c r="Q985" i="1" s="1"/>
  <c r="R985" i="1" s="1"/>
  <c r="S985" i="1" s="1"/>
  <c r="P1019" i="1"/>
  <c r="Q1019" i="1" s="1"/>
  <c r="R1019" i="1" s="1"/>
  <c r="S1019" i="1" s="1"/>
  <c r="P1051" i="1"/>
  <c r="Q1051" i="1" s="1"/>
  <c r="R1051" i="1" s="1"/>
  <c r="S1051" i="1" s="1"/>
  <c r="P1055" i="1"/>
  <c r="Q1055" i="1" s="1"/>
  <c r="R1055" i="1" s="1"/>
  <c r="S1055" i="1" s="1"/>
  <c r="P1075" i="1"/>
  <c r="Q1075" i="1" s="1"/>
  <c r="R1075" i="1" s="1"/>
  <c r="S1075" i="1" s="1"/>
  <c r="P1092" i="1"/>
  <c r="Q1092" i="1" s="1"/>
  <c r="R1092" i="1" s="1"/>
  <c r="S1092" i="1" s="1"/>
  <c r="P1101" i="1"/>
  <c r="Q1101" i="1" s="1"/>
  <c r="R1101" i="1" s="1"/>
  <c r="S1101" i="1" s="1"/>
  <c r="P1111" i="1"/>
  <c r="Q1111" i="1" s="1"/>
  <c r="R1111" i="1" s="1"/>
  <c r="S1111" i="1" s="1"/>
  <c r="P1121" i="1"/>
  <c r="Q1121" i="1" s="1"/>
  <c r="R1121" i="1" s="1"/>
  <c r="S1121" i="1" s="1"/>
  <c r="P1127" i="1"/>
  <c r="Q1127" i="1" s="1"/>
  <c r="R1127" i="1" s="1"/>
  <c r="S1127" i="1" s="1"/>
  <c r="R1132" i="1"/>
  <c r="S1132" i="1" s="1"/>
  <c r="P1201" i="1"/>
  <c r="Q1201" i="1" s="1"/>
  <c r="R1201" i="1" s="1"/>
  <c r="S1201" i="1" s="1"/>
  <c r="P1218" i="1"/>
  <c r="Q1218" i="1" s="1"/>
  <c r="R1218" i="1" s="1"/>
  <c r="S1218" i="1" s="1"/>
  <c r="P1224" i="1"/>
  <c r="Q1224" i="1" s="1"/>
  <c r="R1224" i="1" s="1"/>
  <c r="S1224" i="1" s="1"/>
  <c r="R1284" i="1"/>
  <c r="S1284" i="1" s="1"/>
  <c r="P1305" i="1"/>
  <c r="Q1305" i="1" s="1"/>
  <c r="R1305" i="1" s="1"/>
  <c r="S1305" i="1" s="1"/>
  <c r="R1312" i="1"/>
  <c r="S1312" i="1" s="1"/>
  <c r="P779" i="1"/>
  <c r="Q779" i="1" s="1"/>
  <c r="R779" i="1" s="1"/>
  <c r="S779" i="1" s="1"/>
  <c r="P811" i="1"/>
  <c r="Q811" i="1" s="1"/>
  <c r="R811" i="1" s="1"/>
  <c r="S811" i="1" s="1"/>
  <c r="R1016" i="1"/>
  <c r="S1016" i="1" s="1"/>
  <c r="P1029" i="1"/>
  <c r="Q1029" i="1" s="1"/>
  <c r="R1029" i="1" s="1"/>
  <c r="S1029" i="1" s="1"/>
  <c r="P1033" i="1"/>
  <c r="Q1033" i="1" s="1"/>
  <c r="R1033" i="1" s="1"/>
  <c r="S1033" i="1" s="1"/>
  <c r="R1040" i="1"/>
  <c r="S1040" i="1" s="1"/>
  <c r="P1047" i="1"/>
  <c r="Q1047" i="1" s="1"/>
  <c r="R1047" i="1" s="1"/>
  <c r="S1047" i="1" s="1"/>
  <c r="P1071" i="1"/>
  <c r="Q1071" i="1" s="1"/>
  <c r="R1071" i="1" s="1"/>
  <c r="S1071" i="1" s="1"/>
  <c r="P1116" i="1"/>
  <c r="Q1116" i="1" s="1"/>
  <c r="R1116" i="1" s="1"/>
  <c r="S1116" i="1" s="1"/>
  <c r="P1146" i="1"/>
  <c r="Q1146" i="1" s="1"/>
  <c r="R1146" i="1" s="1"/>
  <c r="S1146" i="1" s="1"/>
  <c r="R1185" i="1"/>
  <c r="S1185" i="1" s="1"/>
  <c r="P1196" i="1"/>
  <c r="Q1196" i="1" s="1"/>
  <c r="R1196" i="1" s="1"/>
  <c r="S1196" i="1" s="1"/>
  <c r="P1262" i="1"/>
  <c r="Q1262" i="1" s="1"/>
  <c r="R1262" i="1" s="1"/>
  <c r="S1262" i="1" s="1"/>
  <c r="R1306" i="1"/>
  <c r="S1306" i="1" s="1"/>
  <c r="P722" i="1"/>
  <c r="Q722" i="1" s="1"/>
  <c r="R722" i="1" s="1"/>
  <c r="S722" i="1" s="1"/>
  <c r="P629" i="1"/>
  <c r="Q629" i="1" s="1"/>
  <c r="R629" i="1" s="1"/>
  <c r="S629" i="1" s="1"/>
  <c r="P638" i="1"/>
  <c r="Q638" i="1" s="1"/>
  <c r="R638" i="1" s="1"/>
  <c r="S638" i="1" s="1"/>
  <c r="P975" i="1"/>
  <c r="Q975" i="1" s="1"/>
  <c r="R975" i="1" s="1"/>
  <c r="S975" i="1" s="1"/>
  <c r="R998" i="1"/>
  <c r="S998" i="1" s="1"/>
  <c r="P1002" i="1"/>
  <c r="Q1002" i="1" s="1"/>
  <c r="R1002" i="1" s="1"/>
  <c r="S1002" i="1" s="1"/>
  <c r="P1179" i="1"/>
  <c r="Q1179" i="1" s="1"/>
  <c r="R1179" i="1" s="1"/>
  <c r="S1179" i="1" s="1"/>
  <c r="P1213" i="1"/>
  <c r="Q1213" i="1" s="1"/>
  <c r="R1213" i="1" s="1"/>
  <c r="S1213" i="1" s="1"/>
  <c r="P1231" i="1"/>
  <c r="Q1231" i="1" s="1"/>
  <c r="R1231" i="1" s="1"/>
  <c r="S1231" i="1" s="1"/>
  <c r="P1238" i="1"/>
  <c r="Q1238" i="1" s="1"/>
  <c r="R1238" i="1" s="1"/>
  <c r="S1238" i="1" s="1"/>
  <c r="R1251" i="1"/>
  <c r="S1251" i="1" s="1"/>
  <c r="P780" i="1"/>
  <c r="Q780" i="1" s="1"/>
  <c r="R780" i="1" s="1"/>
  <c r="S780" i="1" s="1"/>
  <c r="P1350" i="1"/>
  <c r="Q1350" i="1" s="1"/>
  <c r="R1350" i="1" s="1"/>
  <c r="S1350" i="1" s="1"/>
  <c r="P784" i="1"/>
  <c r="Q784" i="1" s="1"/>
  <c r="R784" i="1" s="1"/>
  <c r="S784" i="1" s="1"/>
  <c r="P1060" i="1"/>
  <c r="Q1060" i="1" s="1"/>
  <c r="R1060" i="1" s="1"/>
  <c r="S1060" i="1" s="1"/>
  <c r="P1080" i="1"/>
  <c r="Q1080" i="1" s="1"/>
  <c r="R1080" i="1" s="1"/>
  <c r="S1080" i="1" s="1"/>
  <c r="P1093" i="1"/>
  <c r="Q1093" i="1" s="1"/>
  <c r="R1093" i="1" s="1"/>
  <c r="S1093" i="1" s="1"/>
  <c r="P1097" i="1"/>
  <c r="Q1097" i="1" s="1"/>
  <c r="R1097" i="1" s="1"/>
  <c r="S1097" i="1" s="1"/>
  <c r="P1102" i="1"/>
  <c r="Q1102" i="1" s="1"/>
  <c r="R1102" i="1" s="1"/>
  <c r="S1102" i="1" s="1"/>
  <c r="P1117" i="1"/>
  <c r="Q1117" i="1" s="1"/>
  <c r="R1117" i="1" s="1"/>
  <c r="S1117" i="1" s="1"/>
  <c r="R1141" i="1"/>
  <c r="S1141" i="1" s="1"/>
  <c r="R1166" i="1"/>
  <c r="S1166" i="1" s="1"/>
  <c r="R1186" i="1"/>
  <c r="S1186" i="1" s="1"/>
  <c r="R1225" i="1"/>
  <c r="S1225" i="1" s="1"/>
  <c r="P1256" i="1"/>
  <c r="Q1256" i="1" s="1"/>
  <c r="R1256" i="1" s="1"/>
  <c r="S1256" i="1" s="1"/>
  <c r="R1285" i="1"/>
  <c r="S1285" i="1" s="1"/>
  <c r="P1313" i="1"/>
  <c r="Q1313" i="1" s="1"/>
  <c r="R1313" i="1" s="1"/>
  <c r="S1313" i="1" s="1"/>
  <c r="P1382" i="1"/>
  <c r="Q1382" i="1" s="1"/>
  <c r="R1382" i="1" s="1"/>
  <c r="S1382" i="1" s="1"/>
  <c r="P1598" i="1"/>
  <c r="Q1598" i="1" s="1"/>
  <c r="R1598" i="1" s="1"/>
  <c r="S1598" i="1" s="1"/>
  <c r="P1048" i="1"/>
  <c r="Q1048" i="1" s="1"/>
  <c r="R1048" i="1" s="1"/>
  <c r="S1048" i="1" s="1"/>
  <c r="R1056" i="1"/>
  <c r="S1056" i="1" s="1"/>
  <c r="P1180" i="1"/>
  <c r="Q1180" i="1" s="1"/>
  <c r="R1180" i="1" s="1"/>
  <c r="S1180" i="1" s="1"/>
  <c r="P1232" i="1"/>
  <c r="Q1232" i="1" s="1"/>
  <c r="R1232" i="1" s="1"/>
  <c r="S1232" i="1" s="1"/>
  <c r="P1257" i="1"/>
  <c r="Q1257" i="1" s="1"/>
  <c r="R1257" i="1" s="1"/>
  <c r="S1257" i="1" s="1"/>
  <c r="P1525" i="1"/>
  <c r="Q1525" i="1" s="1"/>
  <c r="R1525" i="1" s="1"/>
  <c r="S1525" i="1" s="1"/>
  <c r="P1010" i="1"/>
  <c r="Q1010" i="1" s="1"/>
  <c r="R1010" i="1" s="1"/>
  <c r="S1010" i="1" s="1"/>
  <c r="R1089" i="1"/>
  <c r="S1089" i="1" s="1"/>
  <c r="P1107" i="1"/>
  <c r="Q1107" i="1" s="1"/>
  <c r="R1107" i="1" s="1"/>
  <c r="S1107" i="1" s="1"/>
  <c r="R1112" i="1"/>
  <c r="S1112" i="1" s="1"/>
  <c r="P1128" i="1"/>
  <c r="Q1128" i="1" s="1"/>
  <c r="R1128" i="1" s="1"/>
  <c r="S1128" i="1" s="1"/>
  <c r="R1274" i="1"/>
  <c r="S1274" i="1" s="1"/>
  <c r="P1307" i="1"/>
  <c r="Q1307" i="1" s="1"/>
  <c r="R1307" i="1" s="1"/>
  <c r="S1307" i="1" s="1"/>
  <c r="P1314" i="1"/>
  <c r="Q1314" i="1" s="1"/>
  <c r="R1314" i="1" s="1"/>
  <c r="S1314" i="1" s="1"/>
  <c r="R473" i="1"/>
  <c r="S473" i="1" s="1"/>
  <c r="P1339" i="1"/>
  <c r="Q1339" i="1" s="1"/>
  <c r="R1339" i="1" s="1"/>
  <c r="S1339" i="1" s="1"/>
  <c r="P757" i="1"/>
  <c r="Q757" i="1" s="1"/>
  <c r="R757" i="1" s="1"/>
  <c r="S757" i="1" s="1"/>
  <c r="P764" i="1"/>
  <c r="Q764" i="1" s="1"/>
  <c r="R764" i="1" s="1"/>
  <c r="S764" i="1" s="1"/>
  <c r="P1383" i="1"/>
  <c r="Q1383" i="1" s="1"/>
  <c r="R1383" i="1" s="1"/>
  <c r="S1383" i="1" s="1"/>
  <c r="P1523" i="1"/>
  <c r="Q1523" i="1" s="1"/>
  <c r="R1523" i="1" s="1"/>
  <c r="S1523" i="1" s="1"/>
  <c r="P1616" i="1"/>
  <c r="Q1616" i="1" s="1"/>
  <c r="R1616" i="1" s="1"/>
  <c r="S1616" i="1" s="1"/>
  <c r="P1627" i="1"/>
  <c r="Q1627" i="1" s="1"/>
  <c r="R1627" i="1" s="1"/>
  <c r="S1627" i="1" s="1"/>
  <c r="P1540" i="1"/>
  <c r="Q1540" i="1" s="1"/>
  <c r="R1540" i="1" s="1"/>
  <c r="S1540" i="1" s="1"/>
  <c r="P1154" i="1"/>
  <c r="Q1154" i="1" s="1"/>
  <c r="R1154" i="1" s="1"/>
  <c r="S1154" i="1" s="1"/>
  <c r="R1289" i="1"/>
  <c r="S1289" i="1" s="1"/>
  <c r="P1330" i="1"/>
  <c r="Q1330" i="1" s="1"/>
  <c r="R1330" i="1" s="1"/>
  <c r="S1330" i="1" s="1"/>
  <c r="P761" i="1"/>
  <c r="Q761" i="1" s="1"/>
  <c r="R761" i="1" s="1"/>
  <c r="S761" i="1" s="1"/>
  <c r="P807" i="1"/>
  <c r="Q807" i="1" s="1"/>
  <c r="R807" i="1" s="1"/>
  <c r="S807" i="1" s="1"/>
  <c r="P1169" i="1"/>
  <c r="Q1169" i="1" s="1"/>
  <c r="R1169" i="1" s="1"/>
  <c r="S1169" i="1" s="1"/>
  <c r="R1173" i="1"/>
  <c r="S1173" i="1" s="1"/>
  <c r="P1244" i="1"/>
  <c r="Q1244" i="1" s="1"/>
  <c r="R1244" i="1" s="1"/>
  <c r="S1244" i="1" s="1"/>
  <c r="P1310" i="1"/>
  <c r="Q1310" i="1" s="1"/>
  <c r="R1310" i="1" s="1"/>
  <c r="S1310" i="1" s="1"/>
  <c r="P1317" i="1"/>
  <c r="Q1317" i="1" s="1"/>
  <c r="R1317" i="1" s="1"/>
  <c r="S1317" i="1" s="1"/>
  <c r="P725" i="1"/>
  <c r="Q725" i="1" s="1"/>
  <c r="R725" i="1" s="1"/>
  <c r="S725" i="1" s="1"/>
  <c r="P1335" i="1"/>
  <c r="Q1335" i="1" s="1"/>
  <c r="R1335" i="1" s="1"/>
  <c r="S1335" i="1" s="1"/>
  <c r="P818" i="1"/>
  <c r="Q818" i="1" s="1"/>
  <c r="R818" i="1" s="1"/>
  <c r="S818" i="1" s="1"/>
  <c r="P1378" i="1"/>
  <c r="Q1378" i="1" s="1"/>
  <c r="R1378" i="1" s="1"/>
  <c r="S1378" i="1" s="1"/>
  <c r="P1491" i="1"/>
  <c r="Q1491" i="1" s="1"/>
  <c r="R1491" i="1" s="1"/>
  <c r="S1491" i="1" s="1"/>
  <c r="R989" i="1"/>
  <c r="S989" i="1" s="1"/>
  <c r="P1159" i="1"/>
  <c r="Q1159" i="1" s="1"/>
  <c r="R1159" i="1" s="1"/>
  <c r="S1159" i="1" s="1"/>
  <c r="R1197" i="1"/>
  <c r="S1197" i="1" s="1"/>
  <c r="P1239" i="1"/>
  <c r="Q1239" i="1" s="1"/>
  <c r="R1239" i="1" s="1"/>
  <c r="S1239" i="1" s="1"/>
  <c r="P1250" i="1"/>
  <c r="Q1250" i="1" s="1"/>
  <c r="R1250" i="1" s="1"/>
  <c r="S1250" i="1" s="1"/>
  <c r="R1261" i="1"/>
  <c r="S1261" i="1" s="1"/>
  <c r="R1266" i="1"/>
  <c r="S1266" i="1" s="1"/>
  <c r="P1304" i="1"/>
  <c r="Q1304" i="1" s="1"/>
  <c r="R1304" i="1" s="1"/>
  <c r="S1304" i="1" s="1"/>
  <c r="P727" i="1"/>
  <c r="Q727" i="1" s="1"/>
  <c r="R727" i="1" s="1"/>
  <c r="S727" i="1" s="1"/>
  <c r="P755" i="1"/>
  <c r="Q755" i="1" s="1"/>
  <c r="R755" i="1" s="1"/>
  <c r="S755" i="1" s="1"/>
  <c r="P1386" i="1"/>
  <c r="Q1386" i="1" s="1"/>
  <c r="R1386" i="1" s="1"/>
  <c r="S1386" i="1" s="1"/>
  <c r="R1444" i="1"/>
  <c r="S1444" i="1" s="1"/>
  <c r="R1450" i="1"/>
  <c r="S1450" i="1" s="1"/>
  <c r="P1473" i="1"/>
  <c r="Q1473" i="1" s="1"/>
  <c r="R1473" i="1" s="1"/>
  <c r="S1473" i="1" s="1"/>
  <c r="P1592" i="1"/>
  <c r="Q1592" i="1" s="1"/>
  <c r="R1592" i="1" s="1"/>
  <c r="S1592" i="1" s="1"/>
  <c r="R1020" i="1"/>
  <c r="S1020" i="1" s="1"/>
  <c r="R1090" i="1"/>
  <c r="S1090" i="1" s="1"/>
  <c r="R1094" i="1"/>
  <c r="S1094" i="1" s="1"/>
  <c r="P1202" i="1"/>
  <c r="Q1202" i="1" s="1"/>
  <c r="R1202" i="1" s="1"/>
  <c r="S1202" i="1" s="1"/>
  <c r="R1207" i="1"/>
  <c r="S1207" i="1" s="1"/>
  <c r="P1212" i="1"/>
  <c r="Q1212" i="1" s="1"/>
  <c r="R1212" i="1" s="1"/>
  <c r="S1212" i="1" s="1"/>
  <c r="P1227" i="1"/>
  <c r="Q1227" i="1" s="1"/>
  <c r="R1227" i="1" s="1"/>
  <c r="S1227" i="1" s="1"/>
  <c r="P1245" i="1"/>
  <c r="Q1245" i="1" s="1"/>
  <c r="R1245" i="1" s="1"/>
  <c r="S1245" i="1" s="1"/>
  <c r="P1318" i="1"/>
  <c r="Q1318" i="1" s="1"/>
  <c r="R1318" i="1" s="1"/>
  <c r="S1318" i="1" s="1"/>
  <c r="P633" i="1"/>
  <c r="Q633" i="1" s="1"/>
  <c r="R633" i="1" s="1"/>
  <c r="S633" i="1" s="1"/>
  <c r="P770" i="1"/>
  <c r="Q770" i="1" s="1"/>
  <c r="R770" i="1" s="1"/>
  <c r="S770" i="1" s="1"/>
  <c r="P1348" i="1"/>
  <c r="Q1348" i="1" s="1"/>
  <c r="R1348" i="1" s="1"/>
  <c r="S1348" i="1" s="1"/>
  <c r="P1387" i="1"/>
  <c r="Q1387" i="1" s="1"/>
  <c r="R1387" i="1" s="1"/>
  <c r="S1387" i="1" s="1"/>
  <c r="P820" i="1"/>
  <c r="Q820" i="1" s="1"/>
  <c r="R820" i="1" s="1"/>
  <c r="S820" i="1" s="1"/>
  <c r="P1451" i="1"/>
  <c r="Q1451" i="1" s="1"/>
  <c r="R1451" i="1" s="1"/>
  <c r="S1451" i="1" s="1"/>
  <c r="P1518" i="1"/>
  <c r="Q1518" i="1" s="1"/>
  <c r="R1518" i="1" s="1"/>
  <c r="S1518" i="1" s="1"/>
  <c r="R805" i="1"/>
  <c r="S805" i="1" s="1"/>
  <c r="P813" i="1"/>
  <c r="Q813" i="1" s="1"/>
  <c r="R813" i="1" s="1"/>
  <c r="S813" i="1" s="1"/>
  <c r="P1373" i="1"/>
  <c r="Q1373" i="1" s="1"/>
  <c r="R1373" i="1" s="1"/>
  <c r="S1373" i="1" s="1"/>
  <c r="P788" i="1"/>
  <c r="Q788" i="1" s="1"/>
  <c r="R788" i="1" s="1"/>
  <c r="S788" i="1" s="1"/>
  <c r="R1148" i="1"/>
  <c r="S1148" i="1" s="1"/>
  <c r="P745" i="1"/>
  <c r="Q745" i="1" s="1"/>
  <c r="R745" i="1" s="1"/>
  <c r="S745" i="1" s="1"/>
  <c r="P751" i="1"/>
  <c r="Q751" i="1" s="1"/>
  <c r="R751" i="1" s="1"/>
  <c r="S751" i="1" s="1"/>
  <c r="P771" i="1"/>
  <c r="Q771" i="1" s="1"/>
  <c r="R771" i="1" s="1"/>
  <c r="S771" i="1" s="1"/>
  <c r="P1391" i="1"/>
  <c r="Q1391" i="1" s="1"/>
  <c r="R1391" i="1" s="1"/>
  <c r="S1391" i="1" s="1"/>
  <c r="P1412" i="1"/>
  <c r="Q1412" i="1" s="1"/>
  <c r="R1412" i="1" s="1"/>
  <c r="S1412" i="1" s="1"/>
  <c r="P1460" i="1"/>
  <c r="Q1460" i="1" s="1"/>
  <c r="R1460" i="1" s="1"/>
  <c r="S1460" i="1" s="1"/>
  <c r="P1497" i="1"/>
  <c r="Q1497" i="1" s="1"/>
  <c r="R1497" i="1" s="1"/>
  <c r="S1497" i="1" s="1"/>
  <c r="P1624" i="1"/>
  <c r="Q1624" i="1" s="1"/>
  <c r="R1624" i="1" s="1"/>
  <c r="S1624" i="1" s="1"/>
  <c r="R1160" i="1"/>
  <c r="S1160" i="1" s="1"/>
  <c r="P1183" i="1"/>
  <c r="Q1183" i="1" s="1"/>
  <c r="R1183" i="1" s="1"/>
  <c r="S1183" i="1" s="1"/>
  <c r="R1206" i="1"/>
  <c r="S1206" i="1" s="1"/>
  <c r="P1236" i="1"/>
  <c r="Q1236" i="1" s="1"/>
  <c r="R1236" i="1" s="1"/>
  <c r="S1236" i="1" s="1"/>
  <c r="R1281" i="1"/>
  <c r="S1281" i="1" s="1"/>
  <c r="R724" i="1"/>
  <c r="S724" i="1" s="1"/>
  <c r="P634" i="1"/>
  <c r="Q634" i="1" s="1"/>
  <c r="R634" i="1" s="1"/>
  <c r="S634" i="1" s="1"/>
  <c r="P728" i="1"/>
  <c r="Q728" i="1" s="1"/>
  <c r="R728" i="1" s="1"/>
  <c r="S728" i="1" s="1"/>
  <c r="P734" i="1"/>
  <c r="Q734" i="1" s="1"/>
  <c r="R734" i="1" s="1"/>
  <c r="S734" i="1" s="1"/>
  <c r="P766" i="1"/>
  <c r="Q766" i="1" s="1"/>
  <c r="R766" i="1" s="1"/>
  <c r="S766" i="1" s="1"/>
  <c r="P1427" i="1"/>
  <c r="Q1427" i="1" s="1"/>
  <c r="R1427" i="1" s="1"/>
  <c r="S1427" i="1" s="1"/>
  <c r="P1471" i="1"/>
  <c r="Q1471" i="1" s="1"/>
  <c r="R1471" i="1" s="1"/>
  <c r="S1471" i="1" s="1"/>
  <c r="P1526" i="1"/>
  <c r="Q1526" i="1" s="1"/>
  <c r="R1526" i="1" s="1"/>
  <c r="S1526" i="1" s="1"/>
  <c r="P1590" i="1"/>
  <c r="Q1590" i="1" s="1"/>
  <c r="R1590" i="1" s="1"/>
  <c r="S1590" i="1" s="1"/>
  <c r="P1326" i="1"/>
  <c r="Q1326" i="1" s="1"/>
  <c r="R1326" i="1" s="1"/>
  <c r="S1326" i="1" s="1"/>
  <c r="R810" i="1"/>
  <c r="S810" i="1" s="1"/>
  <c r="R1425" i="1"/>
  <c r="S1425" i="1" s="1"/>
  <c r="P1438" i="1"/>
  <c r="Q1438" i="1" s="1"/>
  <c r="R1438" i="1" s="1"/>
  <c r="S1438" i="1" s="1"/>
  <c r="P1457" i="1"/>
  <c r="Q1457" i="1" s="1"/>
  <c r="R1457" i="1" s="1"/>
  <c r="S1457" i="1" s="1"/>
  <c r="P1485" i="1"/>
  <c r="Q1485" i="1" s="1"/>
  <c r="R1485" i="1" s="1"/>
  <c r="S1485" i="1" s="1"/>
  <c r="P1502" i="1"/>
  <c r="Q1502" i="1" s="1"/>
  <c r="R1502" i="1" s="1"/>
  <c r="S1502" i="1" s="1"/>
  <c r="P1527" i="1"/>
  <c r="Q1527" i="1" s="1"/>
  <c r="R1527" i="1" s="1"/>
  <c r="S1527" i="1" s="1"/>
  <c r="P1582" i="1"/>
  <c r="Q1582" i="1" s="1"/>
  <c r="R1582" i="1" s="1"/>
  <c r="S1582" i="1" s="1"/>
  <c r="P768" i="1"/>
  <c r="Q768" i="1" s="1"/>
  <c r="R768" i="1" s="1"/>
  <c r="S768" i="1" s="1"/>
  <c r="P1359" i="1"/>
  <c r="Q1359" i="1" s="1"/>
  <c r="R1359" i="1" s="1"/>
  <c r="S1359" i="1" s="1"/>
  <c r="P1396" i="1"/>
  <c r="Q1396" i="1" s="1"/>
  <c r="R1396" i="1" s="1"/>
  <c r="S1396" i="1" s="1"/>
  <c r="P1479" i="1"/>
  <c r="Q1479" i="1" s="1"/>
  <c r="R1479" i="1" s="1"/>
  <c r="S1479" i="1" s="1"/>
  <c r="P1599" i="1"/>
  <c r="Q1599" i="1" s="1"/>
  <c r="R1599" i="1" s="1"/>
  <c r="S1599" i="1" s="1"/>
  <c r="P1621" i="1"/>
  <c r="Q1621" i="1" s="1"/>
  <c r="R1621" i="1" s="1"/>
  <c r="S1621" i="1" s="1"/>
  <c r="P469" i="1"/>
  <c r="Q469" i="1" s="1"/>
  <c r="R469" i="1" s="1"/>
  <c r="S469" i="1" s="1"/>
  <c r="P1340" i="1"/>
  <c r="Q1340" i="1" s="1"/>
  <c r="R1340" i="1" s="1"/>
  <c r="S1340" i="1" s="1"/>
  <c r="P1563" i="1"/>
  <c r="Q1563" i="1" s="1"/>
  <c r="R1563" i="1" s="1"/>
  <c r="S1563" i="1" s="1"/>
  <c r="R1188" i="1"/>
  <c r="S1188" i="1" s="1"/>
  <c r="P1233" i="1"/>
  <c r="Q1233" i="1" s="1"/>
  <c r="R1233" i="1" s="1"/>
  <c r="S1233" i="1" s="1"/>
  <c r="P1247" i="1"/>
  <c r="Q1247" i="1" s="1"/>
  <c r="R1247" i="1" s="1"/>
  <c r="S1247" i="1" s="1"/>
  <c r="P1311" i="1"/>
  <c r="Q1311" i="1" s="1"/>
  <c r="R1311" i="1" s="1"/>
  <c r="S1311" i="1" s="1"/>
  <c r="P1316" i="1"/>
  <c r="Q1316" i="1" s="1"/>
  <c r="R1316" i="1" s="1"/>
  <c r="S1316" i="1" s="1"/>
  <c r="P1328" i="1"/>
  <c r="Q1328" i="1" s="1"/>
  <c r="R1328" i="1" s="1"/>
  <c r="S1328" i="1" s="1"/>
  <c r="P705" i="1"/>
  <c r="Q705" i="1" s="1"/>
  <c r="R705" i="1" s="1"/>
  <c r="S705" i="1" s="1"/>
  <c r="P769" i="1"/>
  <c r="Q769" i="1" s="1"/>
  <c r="R769" i="1" s="1"/>
  <c r="S769" i="1" s="1"/>
  <c r="P1360" i="1"/>
  <c r="Q1360" i="1" s="1"/>
  <c r="R1360" i="1" s="1"/>
  <c r="S1360" i="1" s="1"/>
  <c r="P1463" i="1"/>
  <c r="Q1463" i="1" s="1"/>
  <c r="R1463" i="1" s="1"/>
  <c r="S1463" i="1" s="1"/>
  <c r="P1480" i="1"/>
  <c r="Q1480" i="1" s="1"/>
  <c r="R1480" i="1" s="1"/>
  <c r="S1480" i="1" s="1"/>
  <c r="R1571" i="1"/>
  <c r="S1571" i="1" s="1"/>
  <c r="R1577" i="1"/>
  <c r="S1577" i="1" s="1"/>
  <c r="P627" i="1"/>
  <c r="Q627" i="1" s="1"/>
  <c r="R627" i="1" s="1"/>
  <c r="S627" i="1" s="1"/>
  <c r="P701" i="1"/>
  <c r="Q701" i="1" s="1"/>
  <c r="R701" i="1" s="1"/>
  <c r="S701" i="1" s="1"/>
  <c r="R1364" i="1"/>
  <c r="S1364" i="1" s="1"/>
  <c r="P1435" i="1"/>
  <c r="Q1435" i="1" s="1"/>
  <c r="R1435" i="1" s="1"/>
  <c r="S1435" i="1" s="1"/>
  <c r="P628" i="1"/>
  <c r="Q628" i="1" s="1"/>
  <c r="R628" i="1" s="1"/>
  <c r="S628" i="1" s="1"/>
  <c r="P737" i="1"/>
  <c r="Q737" i="1" s="1"/>
  <c r="R737" i="1" s="1"/>
  <c r="S737" i="1" s="1"/>
  <c r="R1352" i="1"/>
  <c r="S1352" i="1" s="1"/>
  <c r="P1356" i="1"/>
  <c r="Q1356" i="1" s="1"/>
  <c r="R1356" i="1" s="1"/>
  <c r="S1356" i="1" s="1"/>
  <c r="P1375" i="1"/>
  <c r="Q1375" i="1" s="1"/>
  <c r="R1375" i="1" s="1"/>
  <c r="S1375" i="1" s="1"/>
  <c r="P1424" i="1"/>
  <c r="Q1424" i="1" s="1"/>
  <c r="R1424" i="1" s="1"/>
  <c r="S1424" i="1" s="1"/>
  <c r="P782" i="1"/>
  <c r="Q782" i="1" s="1"/>
  <c r="R782" i="1" s="1"/>
  <c r="S782" i="1" s="1"/>
  <c r="P794" i="1"/>
  <c r="Q794" i="1" s="1"/>
  <c r="R794" i="1" s="1"/>
  <c r="S794" i="1" s="1"/>
  <c r="R1410" i="1"/>
  <c r="S1410" i="1" s="1"/>
  <c r="P1428" i="1"/>
  <c r="Q1428" i="1" s="1"/>
  <c r="R1428" i="1" s="1"/>
  <c r="S1428" i="1" s="1"/>
  <c r="R1449" i="1"/>
  <c r="S1449" i="1" s="1"/>
  <c r="R1533" i="1"/>
  <c r="S1533" i="1" s="1"/>
  <c r="P1562" i="1"/>
  <c r="Q1562" i="1" s="1"/>
  <c r="R1562" i="1" s="1"/>
  <c r="S1562" i="1" s="1"/>
  <c r="R1334" i="1"/>
  <c r="S1334" i="1" s="1"/>
  <c r="P1342" i="1"/>
  <c r="Q1342" i="1" s="1"/>
  <c r="R1342" i="1" s="1"/>
  <c r="S1342" i="1" s="1"/>
  <c r="P743" i="1"/>
  <c r="Q743" i="1" s="1"/>
  <c r="R743" i="1" s="1"/>
  <c r="S743" i="1" s="1"/>
  <c r="P1371" i="1"/>
  <c r="Q1371" i="1" s="1"/>
  <c r="R1371" i="1" s="1"/>
  <c r="S1371" i="1" s="1"/>
  <c r="P1499" i="1"/>
  <c r="Q1499" i="1" s="1"/>
  <c r="R1499" i="1" s="1"/>
  <c r="S1499" i="1" s="1"/>
  <c r="P1542" i="1"/>
  <c r="Q1542" i="1" s="1"/>
  <c r="R1542" i="1" s="1"/>
  <c r="S1542" i="1" s="1"/>
  <c r="P1343" i="1"/>
  <c r="Q1343" i="1" s="1"/>
  <c r="R1343" i="1" s="1"/>
  <c r="S1343" i="1" s="1"/>
  <c r="P1400" i="1"/>
  <c r="Q1400" i="1" s="1"/>
  <c r="R1400" i="1" s="1"/>
  <c r="S1400" i="1" s="1"/>
  <c r="P1528" i="1"/>
  <c r="Q1528" i="1" s="1"/>
  <c r="R1528" i="1" s="1"/>
  <c r="S1528" i="1" s="1"/>
  <c r="P1638" i="1"/>
  <c r="Q1638" i="1" s="1"/>
  <c r="R1638" i="1" s="1"/>
  <c r="S1638" i="1" s="1"/>
  <c r="P1265" i="1"/>
  <c r="Q1265" i="1" s="1"/>
  <c r="R1265" i="1" s="1"/>
  <c r="S1265" i="1" s="1"/>
  <c r="R1268" i="1"/>
  <c r="S1268" i="1" s="1"/>
  <c r="P1321" i="1"/>
  <c r="Q1321" i="1" s="1"/>
  <c r="R1321" i="1" s="1"/>
  <c r="S1321" i="1" s="1"/>
  <c r="P1325" i="1"/>
  <c r="Q1325" i="1" s="1"/>
  <c r="R1325" i="1" s="1"/>
  <c r="S1325" i="1" s="1"/>
  <c r="P1333" i="1"/>
  <c r="Q1333" i="1" s="1"/>
  <c r="R1333" i="1" s="1"/>
  <c r="S1333" i="1" s="1"/>
  <c r="P630" i="1"/>
  <c r="Q630" i="1" s="1"/>
  <c r="R630" i="1" s="1"/>
  <c r="S630" i="1" s="1"/>
  <c r="P735" i="1"/>
  <c r="Q735" i="1" s="1"/>
  <c r="R735" i="1" s="1"/>
  <c r="S735" i="1" s="1"/>
  <c r="P748" i="1"/>
  <c r="Q748" i="1" s="1"/>
  <c r="R748" i="1" s="1"/>
  <c r="S748" i="1" s="1"/>
  <c r="R1354" i="1"/>
  <c r="S1354" i="1" s="1"/>
  <c r="P806" i="1"/>
  <c r="Q806" i="1" s="1"/>
  <c r="R806" i="1" s="1"/>
  <c r="S806" i="1" s="1"/>
  <c r="P816" i="1"/>
  <c r="Q816" i="1" s="1"/>
  <c r="R816" i="1" s="1"/>
  <c r="S816" i="1" s="1"/>
  <c r="P1372" i="1"/>
  <c r="Q1372" i="1" s="1"/>
  <c r="R1372" i="1" s="1"/>
  <c r="S1372" i="1" s="1"/>
  <c r="P819" i="1"/>
  <c r="Q819" i="1" s="1"/>
  <c r="R819" i="1" s="1"/>
  <c r="S819" i="1" s="1"/>
  <c r="R1406" i="1"/>
  <c r="S1406" i="1" s="1"/>
  <c r="P1573" i="1"/>
  <c r="Q1573" i="1" s="1"/>
  <c r="R1573" i="1" s="1"/>
  <c r="S1573" i="1" s="1"/>
  <c r="P1623" i="1"/>
  <c r="Q1623" i="1" s="1"/>
  <c r="R1623" i="1" s="1"/>
  <c r="S1623" i="1" s="1"/>
  <c r="P1367" i="1"/>
  <c r="Q1367" i="1" s="1"/>
  <c r="R1367" i="1" s="1"/>
  <c r="S1367" i="1" s="1"/>
  <c r="P1407" i="1"/>
  <c r="Q1407" i="1" s="1"/>
  <c r="R1407" i="1" s="1"/>
  <c r="S1407" i="1" s="1"/>
  <c r="P1440" i="1"/>
  <c r="Q1440" i="1" s="1"/>
  <c r="R1440" i="1" s="1"/>
  <c r="S1440" i="1" s="1"/>
  <c r="P1472" i="1"/>
  <c r="Q1472" i="1" s="1"/>
  <c r="R1472" i="1" s="1"/>
  <c r="S1472" i="1" s="1"/>
  <c r="P1487" i="1"/>
  <c r="Q1487" i="1" s="1"/>
  <c r="R1487" i="1" s="1"/>
  <c r="S1487" i="1" s="1"/>
  <c r="P1558" i="1"/>
  <c r="Q1558" i="1" s="1"/>
  <c r="R1558" i="1" s="1"/>
  <c r="S1558" i="1" s="1"/>
  <c r="P1476" i="1"/>
  <c r="Q1476" i="1" s="1"/>
  <c r="R1476" i="1" s="1"/>
  <c r="S1476" i="1" s="1"/>
  <c r="R631" i="1"/>
  <c r="S631" i="1" s="1"/>
  <c r="P731" i="1"/>
  <c r="Q731" i="1" s="1"/>
  <c r="R731" i="1" s="1"/>
  <c r="S731" i="1" s="1"/>
  <c r="P740" i="1"/>
  <c r="Q740" i="1" s="1"/>
  <c r="R740" i="1" s="1"/>
  <c r="S740" i="1" s="1"/>
  <c r="P749" i="1"/>
  <c r="Q749" i="1" s="1"/>
  <c r="R749" i="1" s="1"/>
  <c r="S749" i="1" s="1"/>
  <c r="R1390" i="1"/>
  <c r="S1390" i="1" s="1"/>
  <c r="P1441" i="1"/>
  <c r="Q1441" i="1" s="1"/>
  <c r="R1441" i="1" s="1"/>
  <c r="S1441" i="1" s="1"/>
  <c r="P1462" i="1"/>
  <c r="Q1462" i="1" s="1"/>
  <c r="R1462" i="1" s="1"/>
  <c r="S1462" i="1" s="1"/>
  <c r="P1508" i="1"/>
  <c r="Q1508" i="1" s="1"/>
  <c r="R1508" i="1" s="1"/>
  <c r="S1508" i="1" s="1"/>
  <c r="P1559" i="1"/>
  <c r="Q1559" i="1" s="1"/>
  <c r="R1559" i="1" s="1"/>
  <c r="S1559" i="1" s="1"/>
  <c r="P1618" i="1"/>
  <c r="Q1618" i="1" s="1"/>
  <c r="R1618" i="1" s="1"/>
  <c r="S1618" i="1" s="1"/>
  <c r="P1322" i="1"/>
  <c r="Q1322" i="1" s="1"/>
  <c r="R1322" i="1" s="1"/>
  <c r="S1322" i="1" s="1"/>
  <c r="R726" i="1"/>
  <c r="S726" i="1" s="1"/>
  <c r="R754" i="1"/>
  <c r="S754" i="1" s="1"/>
  <c r="R776" i="1"/>
  <c r="S776" i="1" s="1"/>
  <c r="P1362" i="1"/>
  <c r="Q1362" i="1" s="1"/>
  <c r="R1362" i="1" s="1"/>
  <c r="S1362" i="1" s="1"/>
  <c r="R1368" i="1"/>
  <c r="S1368" i="1" s="1"/>
  <c r="P1379" i="1"/>
  <c r="Q1379" i="1" s="1"/>
  <c r="R1379" i="1" s="1"/>
  <c r="S1379" i="1" s="1"/>
  <c r="P787" i="1"/>
  <c r="Q787" i="1" s="1"/>
  <c r="R787" i="1" s="1"/>
  <c r="S787" i="1" s="1"/>
  <c r="P1402" i="1"/>
  <c r="Q1402" i="1" s="1"/>
  <c r="R1402" i="1" s="1"/>
  <c r="S1402" i="1" s="1"/>
  <c r="P1514" i="1"/>
  <c r="Q1514" i="1" s="1"/>
  <c r="R1514" i="1" s="1"/>
  <c r="S1514" i="1" s="1"/>
  <c r="P1551" i="1"/>
  <c r="Q1551" i="1" s="1"/>
  <c r="R1551" i="1" s="1"/>
  <c r="S1551" i="1" s="1"/>
  <c r="R472" i="1"/>
  <c r="S472" i="1" s="1"/>
  <c r="R1336" i="1"/>
  <c r="S1336" i="1" s="1"/>
  <c r="P700" i="1"/>
  <c r="Q700" i="1" s="1"/>
  <c r="R700" i="1" s="1"/>
  <c r="S700" i="1" s="1"/>
  <c r="P1351" i="1"/>
  <c r="Q1351" i="1" s="1"/>
  <c r="R1351" i="1" s="1"/>
  <c r="S1351" i="1" s="1"/>
  <c r="P812" i="1"/>
  <c r="Q812" i="1" s="1"/>
  <c r="R812" i="1" s="1"/>
  <c r="S812" i="1" s="1"/>
  <c r="P1363" i="1"/>
  <c r="Q1363" i="1" s="1"/>
  <c r="R1363" i="1" s="1"/>
  <c r="S1363" i="1" s="1"/>
  <c r="P1423" i="1"/>
  <c r="Q1423" i="1" s="1"/>
  <c r="R1423" i="1" s="1"/>
  <c r="S1423" i="1" s="1"/>
  <c r="R1434" i="1"/>
  <c r="S1434" i="1" s="1"/>
  <c r="P1467" i="1"/>
  <c r="Q1467" i="1" s="1"/>
  <c r="R1467" i="1" s="1"/>
  <c r="S1467" i="1" s="1"/>
  <c r="P1585" i="1"/>
  <c r="Q1585" i="1" s="1"/>
  <c r="R1585" i="1" s="1"/>
  <c r="S1585" i="1" s="1"/>
  <c r="P1415" i="1"/>
  <c r="Q1415" i="1" s="1"/>
  <c r="R1415" i="1" s="1"/>
  <c r="S1415" i="1" s="1"/>
  <c r="P1567" i="1"/>
  <c r="Q1567" i="1" s="1"/>
  <c r="R1567" i="1" s="1"/>
  <c r="S1567" i="1" s="1"/>
  <c r="P1617" i="1"/>
  <c r="Q1617" i="1" s="1"/>
  <c r="R1617" i="1" s="1"/>
  <c r="S1617" i="1" s="1"/>
  <c r="P639" i="1"/>
  <c r="Q639" i="1" s="1"/>
  <c r="R639" i="1" s="1"/>
  <c r="S639" i="1" s="1"/>
  <c r="P809" i="1"/>
  <c r="Q809" i="1" s="1"/>
  <c r="R809" i="1" s="1"/>
  <c r="S809" i="1" s="1"/>
  <c r="P1388" i="1"/>
  <c r="Q1388" i="1" s="1"/>
  <c r="R1388" i="1" s="1"/>
  <c r="S1388" i="1" s="1"/>
  <c r="P785" i="1"/>
  <c r="Q785" i="1" s="1"/>
  <c r="R785" i="1" s="1"/>
  <c r="S785" i="1" s="1"/>
  <c r="P1446" i="1"/>
  <c r="Q1446" i="1" s="1"/>
  <c r="R1446" i="1" s="1"/>
  <c r="S1446" i="1" s="1"/>
  <c r="R1474" i="1"/>
  <c r="S1474" i="1" s="1"/>
  <c r="P1504" i="1"/>
  <c r="Q1504" i="1" s="1"/>
  <c r="R1504" i="1" s="1"/>
  <c r="S1504" i="1" s="1"/>
  <c r="P1529" i="1"/>
  <c r="Q1529" i="1" s="1"/>
  <c r="R1529" i="1" s="1"/>
  <c r="S1529" i="1" s="1"/>
  <c r="P1546" i="1"/>
  <c r="Q1546" i="1" s="1"/>
  <c r="R1546" i="1" s="1"/>
  <c r="S1546" i="1" s="1"/>
  <c r="P1586" i="1"/>
  <c r="Q1586" i="1" s="1"/>
  <c r="R1586" i="1" s="1"/>
  <c r="S1586" i="1" s="1"/>
  <c r="P1605" i="1"/>
  <c r="Q1605" i="1" s="1"/>
  <c r="R1605" i="1" s="1"/>
  <c r="S1605" i="1" s="1"/>
  <c r="P1634" i="1"/>
  <c r="Q1634" i="1" s="1"/>
  <c r="R1634" i="1" s="1"/>
  <c r="S1634" i="1" s="1"/>
  <c r="R636" i="1"/>
  <c r="S636" i="1" s="1"/>
  <c r="R746" i="1"/>
  <c r="S746" i="1" s="1"/>
  <c r="R778" i="1"/>
  <c r="S778" i="1" s="1"/>
  <c r="R1345" i="1"/>
  <c r="S1345" i="1" s="1"/>
  <c r="R781" i="1"/>
  <c r="S781" i="1" s="1"/>
  <c r="P791" i="1"/>
  <c r="Q791" i="1" s="1"/>
  <c r="R791" i="1" s="1"/>
  <c r="S791" i="1" s="1"/>
  <c r="P1392" i="1"/>
  <c r="Q1392" i="1" s="1"/>
  <c r="R1392" i="1" s="1"/>
  <c r="S1392" i="1" s="1"/>
  <c r="R1453" i="1"/>
  <c r="S1453" i="1" s="1"/>
  <c r="R1515" i="1"/>
  <c r="S1515" i="1" s="1"/>
  <c r="P1553" i="1"/>
  <c r="Q1553" i="1" s="1"/>
  <c r="R1553" i="1" s="1"/>
  <c r="S1553" i="1" s="1"/>
  <c r="R1568" i="1"/>
  <c r="S1568" i="1" s="1"/>
  <c r="P1594" i="1"/>
  <c r="Q1594" i="1" s="1"/>
  <c r="R1594" i="1" s="1"/>
  <c r="S1594" i="1" s="1"/>
  <c r="P1611" i="1"/>
  <c r="Q1611" i="1" s="1"/>
  <c r="R1611" i="1" s="1"/>
  <c r="S1611" i="1" s="1"/>
  <c r="P1619" i="1"/>
  <c r="Q1619" i="1" s="1"/>
  <c r="R1619" i="1" s="1"/>
  <c r="S1619" i="1" s="1"/>
  <c r="P775" i="1"/>
  <c r="Q775" i="1" s="1"/>
  <c r="R775" i="1" s="1"/>
  <c r="S775" i="1" s="1"/>
  <c r="R1355" i="1"/>
  <c r="S1355" i="1" s="1"/>
  <c r="R786" i="1"/>
  <c r="S786" i="1" s="1"/>
  <c r="P1469" i="1"/>
  <c r="Q1469" i="1" s="1"/>
  <c r="R1469" i="1" s="1"/>
  <c r="S1469" i="1" s="1"/>
  <c r="P1510" i="1"/>
  <c r="Q1510" i="1" s="1"/>
  <c r="R1510" i="1" s="1"/>
  <c r="S1510" i="1" s="1"/>
  <c r="R1547" i="1"/>
  <c r="S1547" i="1" s="1"/>
  <c r="R756" i="1"/>
  <c r="S756" i="1" s="1"/>
  <c r="P759" i="1"/>
  <c r="Q759" i="1" s="1"/>
  <c r="R759" i="1" s="1"/>
  <c r="S759" i="1" s="1"/>
  <c r="R772" i="1"/>
  <c r="S772" i="1" s="1"/>
  <c r="R1380" i="1"/>
  <c r="S1380" i="1" s="1"/>
  <c r="R1398" i="1"/>
  <c r="S1398" i="1" s="1"/>
  <c r="R1408" i="1"/>
  <c r="S1408" i="1" s="1"/>
  <c r="R1430" i="1"/>
  <c r="S1430" i="1" s="1"/>
  <c r="P1454" i="1"/>
  <c r="Q1454" i="1" s="1"/>
  <c r="R1454" i="1" s="1"/>
  <c r="S1454" i="1" s="1"/>
  <c r="P1482" i="1"/>
  <c r="Q1482" i="1" s="1"/>
  <c r="R1482" i="1" s="1"/>
  <c r="S1482" i="1" s="1"/>
  <c r="R1494" i="1"/>
  <c r="S1494" i="1" s="1"/>
  <c r="R1505" i="1"/>
  <c r="S1505" i="1" s="1"/>
  <c r="P1561" i="1"/>
  <c r="Q1561" i="1" s="1"/>
  <c r="R1561" i="1" s="1"/>
  <c r="S1561" i="1" s="1"/>
  <c r="P1475" i="1"/>
  <c r="Q1475" i="1" s="1"/>
  <c r="R1475" i="1" s="1"/>
  <c r="S1475" i="1" s="1"/>
  <c r="P1629" i="1"/>
  <c r="Q1629" i="1" s="1"/>
  <c r="R1629" i="1" s="1"/>
  <c r="S1629" i="1" s="1"/>
  <c r="P1651" i="1"/>
  <c r="Q1651" i="1" s="1"/>
  <c r="R1651" i="1" s="1"/>
  <c r="S1651" i="1" s="1"/>
  <c r="R1389" i="1"/>
  <c r="S1389" i="1" s="1"/>
  <c r="P1409" i="1"/>
  <c r="Q1409" i="1" s="1"/>
  <c r="R1409" i="1" s="1"/>
  <c r="S1409" i="1" s="1"/>
  <c r="P1589" i="1"/>
  <c r="Q1589" i="1" s="1"/>
  <c r="R1589" i="1" s="1"/>
  <c r="S1589" i="1" s="1"/>
  <c r="R1426" i="1"/>
  <c r="S1426" i="1" s="1"/>
  <c r="P1399" i="1"/>
  <c r="Q1399" i="1" s="1"/>
  <c r="R1399" i="1" s="1"/>
  <c r="S1399" i="1" s="1"/>
  <c r="P1421" i="1"/>
  <c r="Q1421" i="1" s="1"/>
  <c r="R1421" i="1" s="1"/>
  <c r="S1421" i="1" s="1"/>
  <c r="R1431" i="1"/>
  <c r="S1431" i="1" s="1"/>
  <c r="P1443" i="1"/>
  <c r="Q1443" i="1" s="1"/>
  <c r="R1443" i="1" s="1"/>
  <c r="S1443" i="1" s="1"/>
  <c r="P1468" i="1"/>
  <c r="Q1468" i="1" s="1"/>
  <c r="R1468" i="1" s="1"/>
  <c r="S1468" i="1" s="1"/>
  <c r="P1489" i="1"/>
  <c r="Q1489" i="1" s="1"/>
  <c r="R1489" i="1" s="1"/>
  <c r="S1489" i="1" s="1"/>
  <c r="R1495" i="1"/>
  <c r="S1495" i="1" s="1"/>
  <c r="P1531" i="1"/>
  <c r="Q1531" i="1" s="1"/>
  <c r="R1531" i="1" s="1"/>
  <c r="S1531" i="1" s="1"/>
  <c r="R1555" i="1"/>
  <c r="S1555" i="1" s="1"/>
  <c r="P1596" i="1"/>
  <c r="Q1596" i="1" s="1"/>
  <c r="R1596" i="1" s="1"/>
  <c r="S1596" i="1" s="1"/>
  <c r="R1376" i="1"/>
  <c r="S1376" i="1" s="1"/>
  <c r="R1404" i="1"/>
  <c r="S1404" i="1" s="1"/>
  <c r="R1481" i="1"/>
  <c r="S1481" i="1" s="1"/>
  <c r="P1532" i="1"/>
  <c r="Q1532" i="1" s="1"/>
  <c r="R1532" i="1" s="1"/>
  <c r="S1532" i="1" s="1"/>
  <c r="P1554" i="1"/>
  <c r="Q1554" i="1" s="1"/>
  <c r="R1554" i="1" s="1"/>
  <c r="S1554" i="1" s="1"/>
  <c r="P1579" i="1"/>
  <c r="Q1579" i="1" s="1"/>
  <c r="R1579" i="1" s="1"/>
  <c r="S1579" i="1" s="1"/>
  <c r="P1620" i="1"/>
  <c r="Q1620" i="1" s="1"/>
  <c r="R1620" i="1" s="1"/>
  <c r="S1620" i="1" s="1"/>
  <c r="P1564" i="1"/>
  <c r="Q1564" i="1" s="1"/>
  <c r="R1564" i="1" s="1"/>
  <c r="S1564" i="1" s="1"/>
  <c r="R1614" i="1"/>
  <c r="S1614" i="1" s="1"/>
  <c r="P1626" i="1"/>
  <c r="Q1626" i="1" s="1"/>
  <c r="R1626" i="1" s="1"/>
  <c r="S1626" i="1" s="1"/>
  <c r="P1384" i="1"/>
  <c r="Q1384" i="1" s="1"/>
  <c r="R1384" i="1" s="1"/>
  <c r="S1384" i="1" s="1"/>
  <c r="R1419" i="1"/>
  <c r="S1419" i="1" s="1"/>
  <c r="P1433" i="1"/>
  <c r="Q1433" i="1" s="1"/>
  <c r="R1433" i="1" s="1"/>
  <c r="S1433" i="1" s="1"/>
  <c r="P1456" i="1"/>
  <c r="Q1456" i="1" s="1"/>
  <c r="R1456" i="1" s="1"/>
  <c r="S1456" i="1" s="1"/>
  <c r="R1477" i="1"/>
  <c r="S1477" i="1" s="1"/>
  <c r="P1511" i="1"/>
  <c r="Q1511" i="1" s="1"/>
  <c r="R1511" i="1" s="1"/>
  <c r="S1511" i="1" s="1"/>
  <c r="R1534" i="1"/>
  <c r="S1534" i="1" s="1"/>
  <c r="R1357" i="1"/>
  <c r="S1357" i="1" s="1"/>
  <c r="P1370" i="1"/>
  <c r="Q1370" i="1" s="1"/>
  <c r="R1370" i="1" s="1"/>
  <c r="S1370" i="1" s="1"/>
  <c r="R792" i="1"/>
  <c r="S792" i="1" s="1"/>
  <c r="R1417" i="1"/>
  <c r="S1417" i="1" s="1"/>
  <c r="P1447" i="1"/>
  <c r="Q1447" i="1" s="1"/>
  <c r="R1447" i="1" s="1"/>
  <c r="S1447" i="1" s="1"/>
  <c r="R1414" i="1"/>
  <c r="S1414" i="1" s="1"/>
  <c r="R1461" i="1"/>
  <c r="S1461" i="1" s="1"/>
  <c r="P1488" i="1"/>
  <c r="Q1488" i="1" s="1"/>
  <c r="R1488" i="1" s="1"/>
  <c r="S1488" i="1" s="1"/>
  <c r="R1498" i="1"/>
  <c r="S1498" i="1" s="1"/>
  <c r="P1507" i="1"/>
  <c r="Q1507" i="1" s="1"/>
  <c r="R1507" i="1" s="1"/>
  <c r="S1507" i="1" s="1"/>
  <c r="P1550" i="1"/>
  <c r="Q1550" i="1" s="1"/>
  <c r="R1550" i="1" s="1"/>
  <c r="S1550" i="1" s="1"/>
  <c r="R1565" i="1"/>
  <c r="S1565" i="1" s="1"/>
  <c r="R1581" i="1"/>
  <c r="S1581" i="1" s="1"/>
  <c r="P1587" i="1"/>
  <c r="Q1587" i="1" s="1"/>
  <c r="R1587" i="1" s="1"/>
  <c r="S1587" i="1" s="1"/>
  <c r="R1603" i="1"/>
  <c r="S1603" i="1" s="1"/>
  <c r="R1615" i="1"/>
  <c r="S1615" i="1" s="1"/>
  <c r="P1622" i="1"/>
  <c r="Q1622" i="1" s="1"/>
  <c r="R1622" i="1" s="1"/>
  <c r="S1622" i="1" s="1"/>
  <c r="R1437" i="1"/>
  <c r="S1437" i="1" s="1"/>
  <c r="R1501" i="1"/>
  <c r="S1501" i="1" s="1"/>
  <c r="R1552" i="1"/>
  <c r="S1552" i="1" s="1"/>
  <c r="R1583" i="1"/>
  <c r="S1583" i="1" s="1"/>
  <c r="P1650" i="1"/>
  <c r="Q1650" i="1" s="1"/>
  <c r="R1650" i="1" s="1"/>
  <c r="S1650" i="1" s="1"/>
  <c r="P1630" i="1"/>
  <c r="Q1630" i="1" s="1"/>
  <c r="R1630" i="1" s="1"/>
  <c r="S1630" i="1" s="1"/>
  <c r="P1636" i="1"/>
  <c r="Q1636" i="1" s="1"/>
  <c r="R1636" i="1" s="1"/>
  <c r="S1636" i="1" s="1"/>
  <c r="T1661" i="1" l="1"/>
  <c r="P2" i="1"/>
  <c r="P1654" i="1"/>
  <c r="Q2" i="1"/>
  <c r="Q1654" i="1" l="1"/>
  <c r="R2" i="1"/>
  <c r="R1654" i="1" l="1"/>
  <c r="S2" i="1"/>
  <c r="S1654" i="1" s="1"/>
  <c r="U820" i="1"/>
  <c r="U820" i="1" a="1"/>
  <c r="U165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<sst xmlns="http://schemas.openxmlformats.org/spreadsheetml/2006/main" count="14737" uniqueCount="5085">
  <si>
    <t>Customer Number</t>
  </si>
  <si>
    <t>Name</t>
  </si>
  <si>
    <t>Street</t>
  </si>
  <si>
    <t xml:space="preserve">City </t>
  </si>
  <si>
    <t>State</t>
  </si>
  <si>
    <t>ZIP</t>
  </si>
  <si>
    <t>Service Territory</t>
  </si>
  <si>
    <t>Service Route</t>
  </si>
  <si>
    <t>Maintenance Plan Day of Week</t>
  </si>
  <si>
    <t>Fuel Surcharge ?</t>
  </si>
  <si>
    <t>Pymt Type</t>
  </si>
  <si>
    <t>Annual Conditioner Fee</t>
  </si>
  <si>
    <t>Base Monthly Charge</t>
  </si>
  <si>
    <t>Annual Fuel Surcharge</t>
  </si>
  <si>
    <t>Total Yearly Price  (before ACH Discount)</t>
  </si>
  <si>
    <t>ACH Discount (Per Year)</t>
  </si>
  <si>
    <t>ACH Discount</t>
  </si>
  <si>
    <t>ALL IN FINAL YEARLY PRICE</t>
  </si>
  <si>
    <t>ALL IN MONTHLY PRICE</t>
  </si>
  <si>
    <t>A-012700</t>
  </si>
  <si>
    <t>Norton-Scott, Sue</t>
  </si>
  <si>
    <t>5661 W Megan St</t>
  </si>
  <si>
    <t>Chandler</t>
  </si>
  <si>
    <t>AZ</t>
  </si>
  <si>
    <t>PHX - E3</t>
  </si>
  <si>
    <t>PHX - East - Route 4 - Qualen Cunningham</t>
  </si>
  <si>
    <t>Monday</t>
  </si>
  <si>
    <t>Charge Card</t>
  </si>
  <si>
    <t>A-011761</t>
  </si>
  <si>
    <t>Kocmond, Warren</t>
  </si>
  <si>
    <t>6924 E Whispering Mesquite Dr</t>
  </si>
  <si>
    <t>Scottsdale</t>
  </si>
  <si>
    <t>PHX - SC1</t>
  </si>
  <si>
    <t>PHX - SC - Route 3 - Tony Pangburn</t>
  </si>
  <si>
    <t>A-025053</t>
  </si>
  <si>
    <t>Aldaco Residence</t>
  </si>
  <si>
    <t>11205 W Elm Ln</t>
  </si>
  <si>
    <t>Avondale</t>
  </si>
  <si>
    <t>PHX - W2</t>
  </si>
  <si>
    <t>PHX - West - Route 4 - Kenje Dalmacio</t>
  </si>
  <si>
    <t>Thursday</t>
  </si>
  <si>
    <t>A-022493</t>
  </si>
  <si>
    <t>Ryan, Ann</t>
  </si>
  <si>
    <t>4333 E Anderson Dr</t>
  </si>
  <si>
    <t>Phoenix</t>
  </si>
  <si>
    <t>PHX - SC2</t>
  </si>
  <si>
    <t>A-005161</t>
  </si>
  <si>
    <t>Conly, Diana</t>
  </si>
  <si>
    <t>6900 N 77th St</t>
  </si>
  <si>
    <t>PHX - SC3</t>
  </si>
  <si>
    <t>PHX - SC - Route 6 - William Odell</t>
  </si>
  <si>
    <t>A-031208</t>
  </si>
  <si>
    <t>Acacia Properties - La Cadena</t>
  </si>
  <si>
    <t>4030 East La Cadena</t>
  </si>
  <si>
    <t>Tucson</t>
  </si>
  <si>
    <t>TC 1 - Resi/Comm</t>
  </si>
  <si>
    <t>TUC - Route 1 -  Mike Wall</t>
  </si>
  <si>
    <t>Tuesday</t>
  </si>
  <si>
    <t>A-031209</t>
  </si>
  <si>
    <t>Acacia Properties Mabel</t>
  </si>
  <si>
    <t>7931 East Mabel Drive</t>
  </si>
  <si>
    <t>Friday</t>
  </si>
  <si>
    <t>A-024101</t>
  </si>
  <si>
    <t>Tanner Team, Brett</t>
  </si>
  <si>
    <t>4633 E Grove Circle</t>
  </si>
  <si>
    <t>Mesa</t>
  </si>
  <si>
    <t>PHX - E1</t>
  </si>
  <si>
    <t>PHX - East - Route 1 - Mike Montgomery</t>
  </si>
  <si>
    <t>A-054294</t>
  </si>
  <si>
    <t>Seals, Alexis</t>
  </si>
  <si>
    <t>8845 West Carol Avenue</t>
  </si>
  <si>
    <t>Peoria</t>
  </si>
  <si>
    <t>PHX - W4</t>
  </si>
  <si>
    <t>PHX - West - Route 2 - Ray "Pancho" Vega</t>
  </si>
  <si>
    <t>A-024975</t>
  </si>
  <si>
    <t>Browne, Jeremy</t>
  </si>
  <si>
    <t>6135 W Oraibi Dr</t>
  </si>
  <si>
    <t>Glendale</t>
  </si>
  <si>
    <t>PHX - W1</t>
  </si>
  <si>
    <t>PHX - SC - Route 2 - Nicolas Cavazos</t>
  </si>
  <si>
    <t>A-031214</t>
  </si>
  <si>
    <t>Acacia Properties E. 5th St</t>
  </si>
  <si>
    <t>5955 East 5th Street</t>
  </si>
  <si>
    <t>A-055423</t>
  </si>
  <si>
    <t>Rihm, Christopher</t>
  </si>
  <si>
    <t>10096 West Fernando Drive</t>
  </si>
  <si>
    <t>Arizona City</t>
  </si>
  <si>
    <t>PC 1 - Resi/Comm</t>
  </si>
  <si>
    <t>CG - Route 2 - Kenneth Felix</t>
  </si>
  <si>
    <t>Check</t>
  </si>
  <si>
    <t>A-011999</t>
  </si>
  <si>
    <t>Rollins, Dave &amp; Joyce</t>
  </si>
  <si>
    <t>3732 W Monte Cristo Ave</t>
  </si>
  <si>
    <t>PHX - West - Route 7 - Reyandres Vega Mendoza</t>
  </si>
  <si>
    <t>ACH</t>
  </si>
  <si>
    <t>A-028693</t>
  </si>
  <si>
    <t>Farrow, Erica</t>
  </si>
  <si>
    <t>3712 South Peart Rd</t>
  </si>
  <si>
    <t>Casa Grande</t>
  </si>
  <si>
    <t>CG - Route 1 - Corey Cox</t>
  </si>
  <si>
    <t>A-027435</t>
  </si>
  <si>
    <t>Wendt, Kurt</t>
  </si>
  <si>
    <t>1366 E Cactus Bloom Way</t>
  </si>
  <si>
    <t>A-035703</t>
  </si>
  <si>
    <t>Dahn, Kent and Patrick</t>
  </si>
  <si>
    <t>8037 East Tuckey Lane</t>
  </si>
  <si>
    <t>A-013363</t>
  </si>
  <si>
    <t>Jiles, Gary &amp; Peggy</t>
  </si>
  <si>
    <t>589 W Rattlesnake Pl</t>
  </si>
  <si>
    <t>CG - Route 3 - Ivan Martinez</t>
  </si>
  <si>
    <t>Wednesday</t>
  </si>
  <si>
    <t>A-013800</t>
  </si>
  <si>
    <t>Beyer, Catherine</t>
  </si>
  <si>
    <t>39147 S. Quick Trot Drive</t>
  </si>
  <si>
    <t>A-013745</t>
  </si>
  <si>
    <t>Langley, Karen</t>
  </si>
  <si>
    <t>22020 N. Reis Dr</t>
  </si>
  <si>
    <t>Maricopa</t>
  </si>
  <si>
    <t>A-028475</t>
  </si>
  <si>
    <t>O'Connell, Cori</t>
  </si>
  <si>
    <t>45242 Miraflores Street</t>
  </si>
  <si>
    <t>Saturday</t>
  </si>
  <si>
    <t>A-024397</t>
  </si>
  <si>
    <t>GMW-AZ, LLC</t>
  </si>
  <si>
    <t>1990 W Peninsula Circle</t>
  </si>
  <si>
    <t>PHX - E2</t>
  </si>
  <si>
    <t>PHX - East - Route 3 - Gerrytt Nikolaus</t>
  </si>
  <si>
    <t>A-048062</t>
  </si>
  <si>
    <t>Juliar, Cortney</t>
  </si>
  <si>
    <t>3170 East Pinto Valley Road</t>
  </si>
  <si>
    <t>San Tan Valley</t>
  </si>
  <si>
    <t>A-028718</t>
  </si>
  <si>
    <t>Lewis, Justin</t>
  </si>
  <si>
    <t>43214 W Magnolia Rd</t>
  </si>
  <si>
    <t>A-013819</t>
  </si>
  <si>
    <t>Manasan, MaryAnne</t>
  </si>
  <si>
    <t>20665 N Santa Cruz Dr</t>
  </si>
  <si>
    <t>A-028310</t>
  </si>
  <si>
    <t>Veal, Gino</t>
  </si>
  <si>
    <t>18232 N 54th Ln</t>
  </si>
  <si>
    <t>A-028353</t>
  </si>
  <si>
    <t>Wallace, Mary</t>
  </si>
  <si>
    <t>612 S 35th Place</t>
  </si>
  <si>
    <t>A-035649</t>
  </si>
  <si>
    <t>Werner, Sally</t>
  </si>
  <si>
    <t>7302 East Rose Lane</t>
  </si>
  <si>
    <t>A-028670</t>
  </si>
  <si>
    <t>Adam, Huebert</t>
  </si>
  <si>
    <t>3890 W Oasis Dr</t>
  </si>
  <si>
    <t>A-012389</t>
  </si>
  <si>
    <t>Whipple, Mark</t>
  </si>
  <si>
    <t>263 West Flagstone Place</t>
  </si>
  <si>
    <t>A-008305</t>
  </si>
  <si>
    <t>Danford, Rick</t>
  </si>
  <si>
    <t>1519 W Seldon Way</t>
  </si>
  <si>
    <t>A-028448</t>
  </si>
  <si>
    <t>Slaughter, Ray</t>
  </si>
  <si>
    <t>43956 W. Adobe Cir</t>
  </si>
  <si>
    <t>A-034039</t>
  </si>
  <si>
    <t>Esquivel, Serena</t>
  </si>
  <si>
    <t>3001 West Redwood Lane</t>
  </si>
  <si>
    <t>PHX - East - Route 6 - Kent Armer</t>
  </si>
  <si>
    <t>A-030682</t>
  </si>
  <si>
    <t>Long, Kathey</t>
  </si>
  <si>
    <t>494 W Princeton Ave</t>
  </si>
  <si>
    <t>Gilbert</t>
  </si>
  <si>
    <t>A-028303</t>
  </si>
  <si>
    <t>Marifke, Denise &amp; Jerry</t>
  </si>
  <si>
    <t>13625 E Charter Oak Dr</t>
  </si>
  <si>
    <t>PHX - SC - Route 4 - Johan Chavez</t>
  </si>
  <si>
    <t>A-028271</t>
  </si>
  <si>
    <t>Motley-Lee, Susan</t>
  </si>
  <si>
    <t>1511 E Pinchot Ave</t>
  </si>
  <si>
    <t>PHX - SC4</t>
  </si>
  <si>
    <t>A-030715</t>
  </si>
  <si>
    <t>Perez, Rosa</t>
  </si>
  <si>
    <t>721 E Los Arboles Ct</t>
  </si>
  <si>
    <t>A-049691</t>
  </si>
  <si>
    <t>Riva, Liza &amp; Ray</t>
  </si>
  <si>
    <t>11421 East Peterson Avenue</t>
  </si>
  <si>
    <t>PHX - East - Route 7 - Joseph Strong</t>
  </si>
  <si>
    <t>A-024235</t>
  </si>
  <si>
    <t>Wooten, Sylvia</t>
  </si>
  <si>
    <t>3105 S Greenwood Cir</t>
  </si>
  <si>
    <t>A-022236</t>
  </si>
  <si>
    <t>Arbor Realty</t>
  </si>
  <si>
    <t>304 S York Circle</t>
  </si>
  <si>
    <t>A-033162</t>
  </si>
  <si>
    <t>Capstone Realty</t>
  </si>
  <si>
    <t>4133 East Westchester Drive</t>
  </si>
  <si>
    <t>A-000084</t>
  </si>
  <si>
    <t>Steely, Lyle</t>
  </si>
  <si>
    <t>402 E Deepdale Rd</t>
  </si>
  <si>
    <t>A-051167</t>
  </si>
  <si>
    <t>Crenshaw, Jeff</t>
  </si>
  <si>
    <t>7222 East Camino Salida del Sol</t>
  </si>
  <si>
    <t>A-014161</t>
  </si>
  <si>
    <t>Hoffman, Edward</t>
  </si>
  <si>
    <t>2012 N Horseshoe Trail</t>
  </si>
  <si>
    <t>A-006558</t>
  </si>
  <si>
    <t>Riddle, Charissa &amp; Dan</t>
  </si>
  <si>
    <t>2320 E Indianola Ave</t>
  </si>
  <si>
    <t>PHX - SC - Route 7 - Angel Ortiz</t>
  </si>
  <si>
    <t>A-002428</t>
  </si>
  <si>
    <t>Rohr, Stacy &amp; Robert</t>
  </si>
  <si>
    <t>1771 E. Barnacle Ave.</t>
  </si>
  <si>
    <t>Apache Junction</t>
  </si>
  <si>
    <t>A-024136</t>
  </si>
  <si>
    <t>Stetsko, Glen (Living Trust)</t>
  </si>
  <si>
    <t>7346 E Red Hawk St</t>
  </si>
  <si>
    <t>A-057824</t>
  </si>
  <si>
    <t>Lebron James</t>
  </si>
  <si>
    <t>2939 West Culver Street</t>
  </si>
  <si>
    <t>PHX - W3</t>
  </si>
  <si>
    <t>107 AFP Route Vacant</t>
  </si>
  <si>
    <t>A-023313</t>
  </si>
  <si>
    <t>RightKey Property Management</t>
  </si>
  <si>
    <t>44445 McClelland Drive</t>
  </si>
  <si>
    <t>A-005878</t>
  </si>
  <si>
    <t>Bambenek, Michelle</t>
  </si>
  <si>
    <t>3341 E Hampton Lane</t>
  </si>
  <si>
    <t>A-011796</t>
  </si>
  <si>
    <t>Spinelle, John</t>
  </si>
  <si>
    <t>8929 E Diamond Dr</t>
  </si>
  <si>
    <t>Sun Lakes</t>
  </si>
  <si>
    <t>PHX - East - Route 2 - Anthony Garcia</t>
  </si>
  <si>
    <t>A-023961</t>
  </si>
  <si>
    <t>Robbins, Greg and Teri</t>
  </si>
  <si>
    <t>30 E Paint Your Wagon Trl</t>
  </si>
  <si>
    <t>A-051025</t>
  </si>
  <si>
    <t>Linke, Scott</t>
  </si>
  <si>
    <t>346 West Atlantic Drive</t>
  </si>
  <si>
    <t>A-013707</t>
  </si>
  <si>
    <t>Fregoso, Frank</t>
  </si>
  <si>
    <t>46047 W Keller Dr</t>
  </si>
  <si>
    <t>A-023060</t>
  </si>
  <si>
    <t>Rodriguez, Michelle</t>
  </si>
  <si>
    <t>285 North Kimberly Drive</t>
  </si>
  <si>
    <t>A-011673</t>
  </si>
  <si>
    <t>Archuleta, Cynthia</t>
  </si>
  <si>
    <t>5519 E Dusty Wren Dr</t>
  </si>
  <si>
    <t>Cave Creek</t>
  </si>
  <si>
    <t>A-009738</t>
  </si>
  <si>
    <t>Beardslee, Susan and John</t>
  </si>
  <si>
    <t>2311 W Maplewood St</t>
  </si>
  <si>
    <t>A-028095</t>
  </si>
  <si>
    <t>Carlo, Terrin</t>
  </si>
  <si>
    <t>4409 W Carson Rd</t>
  </si>
  <si>
    <t>Laveen</t>
  </si>
  <si>
    <t>A-028246</t>
  </si>
  <si>
    <t>Cook, John R.</t>
  </si>
  <si>
    <t>8025 E Del Rubi Dr</t>
  </si>
  <si>
    <t>A-025211</t>
  </si>
  <si>
    <t>Duval, Earl</t>
  </si>
  <si>
    <t>6808 W Burgess Lane</t>
  </si>
  <si>
    <t>A-028238</t>
  </si>
  <si>
    <t>Firestone, Cinda</t>
  </si>
  <si>
    <t>7404 E Dreyfus Ave</t>
  </si>
  <si>
    <t>A-024422</t>
  </si>
  <si>
    <t>Fox, Wendy</t>
  </si>
  <si>
    <t>1545 E Coconino Dr</t>
  </si>
  <si>
    <t>A-024124</t>
  </si>
  <si>
    <t>Ortiz, Danielle</t>
  </si>
  <si>
    <t>10326 E Cicero Cir</t>
  </si>
  <si>
    <t>A-025355</t>
  </si>
  <si>
    <t>Polley, Sara</t>
  </si>
  <si>
    <t>14518 N 150th Lane</t>
  </si>
  <si>
    <t>Surprise</t>
  </si>
  <si>
    <t>PHX - West - Route 3 - Miranda Loveland</t>
  </si>
  <si>
    <t>A-024189</t>
  </si>
  <si>
    <t>Rhoades, Gus</t>
  </si>
  <si>
    <t>7009 E milagro circle</t>
  </si>
  <si>
    <t>A-025326</t>
  </si>
  <si>
    <t>Tomco, Phil</t>
  </si>
  <si>
    <t>15643 W Cameron Dr</t>
  </si>
  <si>
    <t>A-012031</t>
  </si>
  <si>
    <t>Wise Choice Properties</t>
  </si>
  <si>
    <t>211 W. Piedmont Rd.</t>
  </si>
  <si>
    <t>A-000895</t>
  </si>
  <si>
    <t>Allen, Doug</t>
  </si>
  <si>
    <t>24314 N 89th Ave</t>
  </si>
  <si>
    <t>PHX - West - Route 1 - Mason Constable</t>
  </si>
  <si>
    <t>A-023535</t>
  </si>
  <si>
    <t>Farguson, Chuck &amp; Judy</t>
  </si>
  <si>
    <t>4718 E Arcadia Lane</t>
  </si>
  <si>
    <t>A-011748</t>
  </si>
  <si>
    <t>Farguson, Chuck And Judy</t>
  </si>
  <si>
    <t>2910 E Minnezona Ave</t>
  </si>
  <si>
    <t>A-003086</t>
  </si>
  <si>
    <t>Hinton, Bruce</t>
  </si>
  <si>
    <t>13209 N. 104th Pl.</t>
  </si>
  <si>
    <t>PHX - SC - Route 5 - Christian Carlson</t>
  </si>
  <si>
    <t>A-005189</t>
  </si>
  <si>
    <t>Hunter, Kenn</t>
  </si>
  <si>
    <t>8449 E Edgemont Ave</t>
  </si>
  <si>
    <t>A-024219</t>
  </si>
  <si>
    <t>Maldonado, Angie and Frank</t>
  </si>
  <si>
    <t>9801 E Posada Ave</t>
  </si>
  <si>
    <t>A-003876</t>
  </si>
  <si>
    <t>Mulgrew, Shawn</t>
  </si>
  <si>
    <t>7044 E Sheena Dr</t>
  </si>
  <si>
    <t>A-008401</t>
  </si>
  <si>
    <t>Munson, Tom</t>
  </si>
  <si>
    <t>7601 N 13th Ave.</t>
  </si>
  <si>
    <t>A-002073</t>
  </si>
  <si>
    <t>Schnoll, Elizabeth &amp; Jonathan</t>
  </si>
  <si>
    <t>1952 W Bartlett Court</t>
  </si>
  <si>
    <t>A-007264</t>
  </si>
  <si>
    <t>Van Hofwegen, David</t>
  </si>
  <si>
    <t>8459 W Broadway</t>
  </si>
  <si>
    <t>Tolleson</t>
  </si>
  <si>
    <t>A-008297</t>
  </si>
  <si>
    <t>Vischer, Tom</t>
  </si>
  <si>
    <t>8224 E Quarterhorse Trl</t>
  </si>
  <si>
    <t>A-004218</t>
  </si>
  <si>
    <t>Wallace, Cathy</t>
  </si>
  <si>
    <t>6040 E. Campobello Drive</t>
  </si>
  <si>
    <t>A-001737</t>
  </si>
  <si>
    <t>Watts, Dana</t>
  </si>
  <si>
    <t>3581 S. Nebraska St</t>
  </si>
  <si>
    <t>A-005888</t>
  </si>
  <si>
    <t>Weinberg Residence</t>
  </si>
  <si>
    <t>1120 E. Flynn Ln.</t>
  </si>
  <si>
    <t>A-008409</t>
  </si>
  <si>
    <t>Weinert, Inez &amp; Gabriel</t>
  </si>
  <si>
    <t>110 E Greenway Rd</t>
  </si>
  <si>
    <t>A-009318</t>
  </si>
  <si>
    <t>Weinkamer, Lance</t>
  </si>
  <si>
    <t>5453 E Danbury Rd</t>
  </si>
  <si>
    <t>A-011397</t>
  </si>
  <si>
    <t>Weiss, William &amp; Susan</t>
  </si>
  <si>
    <t>5204 West Desert Drive</t>
  </si>
  <si>
    <t>Laveen Village</t>
  </si>
  <si>
    <t>A-006620</t>
  </si>
  <si>
    <t>Wells, Jackie</t>
  </si>
  <si>
    <t>2620 E Augusta Ave</t>
  </si>
  <si>
    <t>A-004845</t>
  </si>
  <si>
    <t>Wells, Sheila</t>
  </si>
  <si>
    <t>8715 W C P Hayes Dr</t>
  </si>
  <si>
    <t>A-000413</t>
  </si>
  <si>
    <t>Wendt, Albert</t>
  </si>
  <si>
    <t>5002 E Mulberry Dr</t>
  </si>
  <si>
    <t>A-010780</t>
  </si>
  <si>
    <t>Wertz, Joanna &amp; Ron</t>
  </si>
  <si>
    <t>4548 E Monte Cristo Ave</t>
  </si>
  <si>
    <t>A-003161</t>
  </si>
  <si>
    <t>Westley, Mark</t>
  </si>
  <si>
    <t>9737 W. Crown King Rd</t>
  </si>
  <si>
    <t>A-006261</t>
  </si>
  <si>
    <t>Wilson, Paula</t>
  </si>
  <si>
    <t>8231 E. Bonnie Rose Ave</t>
  </si>
  <si>
    <t>A-004255</t>
  </si>
  <si>
    <t>Wochos, Karen &amp; Matt</t>
  </si>
  <si>
    <t>5724 E Tierra Buena Lane</t>
  </si>
  <si>
    <t>A-006935</t>
  </si>
  <si>
    <t>Wohr, Mark</t>
  </si>
  <si>
    <t>2412 E Sapium Way</t>
  </si>
  <si>
    <t>A-000444</t>
  </si>
  <si>
    <t>Wood, Gary and Linda</t>
  </si>
  <si>
    <t>6903 W. El Cortez Pl</t>
  </si>
  <si>
    <t>A-004602</t>
  </si>
  <si>
    <t>Woodring, Sharro</t>
  </si>
  <si>
    <t>534 W La Jolla Dr</t>
  </si>
  <si>
    <t>Tempe</t>
  </si>
  <si>
    <t>PHX - E4</t>
  </si>
  <si>
    <t>PHX - East - Route 5 - David Bontrager</t>
  </si>
  <si>
    <t>A-004247</t>
  </si>
  <si>
    <t>Zaragoza, David &amp; Mary</t>
  </si>
  <si>
    <t>4413 W Vista Ave</t>
  </si>
  <si>
    <t>A-031207</t>
  </si>
  <si>
    <t>Acacia Properties Snyder Rd</t>
  </si>
  <si>
    <t>7062 East Snyder Road</t>
  </si>
  <si>
    <t>A-024890</t>
  </si>
  <si>
    <t>Pineda, Heriberto</t>
  </si>
  <si>
    <t>7769 W. Lamar Rd</t>
  </si>
  <si>
    <t>A-053957</t>
  </si>
  <si>
    <t>Newman, Richard</t>
  </si>
  <si>
    <t>12513 West Buchanan Street</t>
  </si>
  <si>
    <t>PHX - West - Route 5 - Michael Vendetti</t>
  </si>
  <si>
    <t>A-062475</t>
  </si>
  <si>
    <t>Singh, Savdeep</t>
  </si>
  <si>
    <t>11401 North 43rd Street</t>
  </si>
  <si>
    <t>A-008376</t>
  </si>
  <si>
    <t>Earl Sr, Toney</t>
  </si>
  <si>
    <t>6637 S 57th Ave</t>
  </si>
  <si>
    <t>A-008980</t>
  </si>
  <si>
    <t>Kunce, Michael &amp; Karen</t>
  </si>
  <si>
    <t>3166 E Dry Creek Rd.</t>
  </si>
  <si>
    <t>A-024336</t>
  </si>
  <si>
    <t>Schettino, Anna and Paul</t>
  </si>
  <si>
    <t>640 N Lisbon Ct</t>
  </si>
  <si>
    <t>A-008009</t>
  </si>
  <si>
    <t>Turner, Wayne</t>
  </si>
  <si>
    <t>326 W Portland St.</t>
  </si>
  <si>
    <t>A-023016</t>
  </si>
  <si>
    <t>Vasquez, Ralph</t>
  </si>
  <si>
    <t>2618 E. Carson Rd.</t>
  </si>
  <si>
    <t>A-004610</t>
  </si>
  <si>
    <t>Walker, Barbara</t>
  </si>
  <si>
    <t>503 S Catalina St.</t>
  </si>
  <si>
    <t>A-012058</t>
  </si>
  <si>
    <t>Wickizer, Gary</t>
  </si>
  <si>
    <t>2202 E Beverly Lane</t>
  </si>
  <si>
    <t>A-024714</t>
  </si>
  <si>
    <t>Beason, Fritz</t>
  </si>
  <si>
    <t>1715 E  La Vieve Ln</t>
  </si>
  <si>
    <t>A-006690</t>
  </si>
  <si>
    <t>Molony, Chris</t>
  </si>
  <si>
    <t>2461 W Winchcomb Dr</t>
  </si>
  <si>
    <t>A-011971</t>
  </si>
  <si>
    <t>Burklow, Susanne</t>
  </si>
  <si>
    <t>1080 W Vera Lane</t>
  </si>
  <si>
    <t>A-007692</t>
  </si>
  <si>
    <t>Engle, Darryl</t>
  </si>
  <si>
    <t>615 W Summit Pl.</t>
  </si>
  <si>
    <t>A-022227</t>
  </si>
  <si>
    <t>Quintana, Patsy</t>
  </si>
  <si>
    <t>101 E. Milada Dr.</t>
  </si>
  <si>
    <t>A-006712</t>
  </si>
  <si>
    <t>Vaez, Hossein</t>
  </si>
  <si>
    <t>2958 S Ironwood St</t>
  </si>
  <si>
    <t>A-024764</t>
  </si>
  <si>
    <t>Valero, Christine</t>
  </si>
  <si>
    <t>1905 S Pheasant Dr</t>
  </si>
  <si>
    <t>A-024619</t>
  </si>
  <si>
    <t>Vo, Kimberly</t>
  </si>
  <si>
    <t>9072 E Davenport st</t>
  </si>
  <si>
    <t>A-007027</t>
  </si>
  <si>
    <t>Votichenko, T.A.</t>
  </si>
  <si>
    <t>6034 N. Kachina Lane</t>
  </si>
  <si>
    <t>Paradise Valley</t>
  </si>
  <si>
    <t>A-024919</t>
  </si>
  <si>
    <t>Walker, Valeria</t>
  </si>
  <si>
    <t>10626 North 65th Avenue</t>
  </si>
  <si>
    <t>A-024903</t>
  </si>
  <si>
    <t>Warda, Imad</t>
  </si>
  <si>
    <t>12009 N 49th Dr</t>
  </si>
  <si>
    <t>A-024191</t>
  </si>
  <si>
    <t>3120 N 50th St</t>
  </si>
  <si>
    <t>A-027958</t>
  </si>
  <si>
    <t>Wiborg, Michael</t>
  </si>
  <si>
    <t>8921 W Sheridan Street</t>
  </si>
  <si>
    <t>A-024096</t>
  </si>
  <si>
    <t>Williams, Candon</t>
  </si>
  <si>
    <t>5216 E Hanibal St</t>
  </si>
  <si>
    <t>A-002028</t>
  </si>
  <si>
    <t>Yeskey, David</t>
  </si>
  <si>
    <t>1001 W Grand Caymen Drive</t>
  </si>
  <si>
    <t>A-001656</t>
  </si>
  <si>
    <t>Yetnikoff, Isidore</t>
  </si>
  <si>
    <t>6833 E Acoma Dr.</t>
  </si>
  <si>
    <t>A-025148</t>
  </si>
  <si>
    <t>Young, Kristina</t>
  </si>
  <si>
    <t>2441 S 159th Ln</t>
  </si>
  <si>
    <t>Goodyear</t>
  </si>
  <si>
    <t>A-024387</t>
  </si>
  <si>
    <t>Yungfleisch, Emily</t>
  </si>
  <si>
    <t>551 E San Angelo Avenue</t>
  </si>
  <si>
    <t>A-024246</t>
  </si>
  <si>
    <t>Zaharis, Jim</t>
  </si>
  <si>
    <t>2444 E Minton St</t>
  </si>
  <si>
    <t>A-033873</t>
  </si>
  <si>
    <t>Besso, Sandy</t>
  </si>
  <si>
    <t>227 North Date Palm Drive</t>
  </si>
  <si>
    <t>A-022718</t>
  </si>
  <si>
    <t>Gutierrez, Bobby</t>
  </si>
  <si>
    <t>2109 E Friess</t>
  </si>
  <si>
    <t>A-033479</t>
  </si>
  <si>
    <t>Gutierrez, Tom</t>
  </si>
  <si>
    <t>7733 West Talavera Way</t>
  </si>
  <si>
    <t>A-008710</t>
  </si>
  <si>
    <t>Lima, Pete and Elizabeth</t>
  </si>
  <si>
    <t>2438 E Sahuaro Dr.</t>
  </si>
  <si>
    <t>A-000978</t>
  </si>
  <si>
    <t>Shurly, Burt</t>
  </si>
  <si>
    <t>3202 N. 151st Dr.</t>
  </si>
  <si>
    <t>A-007344</t>
  </si>
  <si>
    <t>Bigg, Stephen J.</t>
  </si>
  <si>
    <t>7324 E. Griswold</t>
  </si>
  <si>
    <t>A-063035</t>
  </si>
  <si>
    <t>Curry, Janie</t>
  </si>
  <si>
    <t>3720 N 295th Ave  Buckeye ,AZ</t>
  </si>
  <si>
    <t>Buckeye</t>
  </si>
  <si>
    <t>A-004246</t>
  </si>
  <si>
    <t>O'Brien, Seth</t>
  </si>
  <si>
    <t>3437 E Camino Circle</t>
  </si>
  <si>
    <t>A-006350</t>
  </si>
  <si>
    <t>Ormes, Edward</t>
  </si>
  <si>
    <t>2940 W. Wander Lane</t>
  </si>
  <si>
    <t>New River</t>
  </si>
  <si>
    <t>A-062290</t>
  </si>
  <si>
    <t>Rasmussen, Bradley</t>
  </si>
  <si>
    <t>11374 East Dale Lane</t>
  </si>
  <si>
    <t>A-000017</t>
  </si>
  <si>
    <t>Allbritton, Glenn</t>
  </si>
  <si>
    <t>9505 E Gary Rd.</t>
  </si>
  <si>
    <t>A-008632</t>
  </si>
  <si>
    <t>Allison, Rebecca</t>
  </si>
  <si>
    <t>10636 N 11th St</t>
  </si>
  <si>
    <t>A-007624</t>
  </si>
  <si>
    <t>Appel, Jan</t>
  </si>
  <si>
    <t>1422 E Desert Trumpet Rd</t>
  </si>
  <si>
    <t>A-009648</t>
  </si>
  <si>
    <t>Arens, Hank</t>
  </si>
  <si>
    <t>4448 E Camelback Rd Unit 14</t>
  </si>
  <si>
    <t>A-002130</t>
  </si>
  <si>
    <t>Avila, Pilar &amp; Vanessa</t>
  </si>
  <si>
    <t>12226 W Harrison St.</t>
  </si>
  <si>
    <t>A-022780</t>
  </si>
  <si>
    <t>Baker, Ken &amp; Kris</t>
  </si>
  <si>
    <t>11159 W Rio Vista Ln</t>
  </si>
  <si>
    <t>A-002088</t>
  </si>
  <si>
    <t>Barganski, Jeryl</t>
  </si>
  <si>
    <t>1707 W. Desert Ln.</t>
  </si>
  <si>
    <t>A-006929</t>
  </si>
  <si>
    <t>Bargnesi, John</t>
  </si>
  <si>
    <t>221 E. 15th St.</t>
  </si>
  <si>
    <t>A-000565</t>
  </si>
  <si>
    <t>Barnes, Dorothy</t>
  </si>
  <si>
    <t>23206 N 41st St</t>
  </si>
  <si>
    <t>A-009035</t>
  </si>
  <si>
    <t>Bartoletti, Anthoney</t>
  </si>
  <si>
    <t>5515 E Janice Way</t>
  </si>
  <si>
    <t>A-010794</t>
  </si>
  <si>
    <t>Biglari, David</t>
  </si>
  <si>
    <t>25355 N 90th Way</t>
  </si>
  <si>
    <t>A-005274</t>
  </si>
  <si>
    <t>Bollmeier, Don</t>
  </si>
  <si>
    <t>12610 W. Flower St.</t>
  </si>
  <si>
    <t>A-008414</t>
  </si>
  <si>
    <t>Bonanno, Deborah</t>
  </si>
  <si>
    <t>1738 E Jeanine Dr</t>
  </si>
  <si>
    <t>A-005633</t>
  </si>
  <si>
    <t>Bortko, Trina</t>
  </si>
  <si>
    <t>13310 W. Blue Bonnet Dr.</t>
  </si>
  <si>
    <t>Sun City West</t>
  </si>
  <si>
    <t>A-024697</t>
  </si>
  <si>
    <t>Brand, Cyndi</t>
  </si>
  <si>
    <t>1905 E Vaughn St</t>
  </si>
  <si>
    <t>A-024500</t>
  </si>
  <si>
    <t>Bregman, Paul</t>
  </si>
  <si>
    <t>6841 E Gelding Drive</t>
  </si>
  <si>
    <t>A-011017</t>
  </si>
  <si>
    <t>Browning, Kristy</t>
  </si>
  <si>
    <t>2734 W Charleston Ave</t>
  </si>
  <si>
    <t>A-006217</t>
  </si>
  <si>
    <t>Buenaventura, Eden</t>
  </si>
  <si>
    <t>11597 E Desert Willow Dr</t>
  </si>
  <si>
    <t>A-010970</t>
  </si>
  <si>
    <t>Caffery, Kaitlyn</t>
  </si>
  <si>
    <t>11562 E Diamond Cholla Dr</t>
  </si>
  <si>
    <t>A-013068</t>
  </si>
  <si>
    <t>Calabrese, Peter</t>
  </si>
  <si>
    <t>14206 S. 35th Pl.</t>
  </si>
  <si>
    <t>A-025529</t>
  </si>
  <si>
    <t>Calhoun, Bruce and Debbie</t>
  </si>
  <si>
    <t>13179 W Coronado Rd</t>
  </si>
  <si>
    <t>A-006337</t>
  </si>
  <si>
    <t>Cantor, Michael</t>
  </si>
  <si>
    <t>9687 East Cochise Drive</t>
  </si>
  <si>
    <t>A-005866</t>
  </si>
  <si>
    <t>Caputo, Paula &amp; Sal</t>
  </si>
  <si>
    <t>4239 E La Puente Ave</t>
  </si>
  <si>
    <t>A-003078</t>
  </si>
  <si>
    <t>Chua, Victor</t>
  </si>
  <si>
    <t>13597 E. Desert Trail</t>
  </si>
  <si>
    <t>A-000570</t>
  </si>
  <si>
    <t>Clark, Guadalupe</t>
  </si>
  <si>
    <t>8708 W. Palmaire Ave.</t>
  </si>
  <si>
    <t>A-022674</t>
  </si>
  <si>
    <t>Clark, Trish</t>
  </si>
  <si>
    <t>4752 W Fallen Leaf Lane</t>
  </si>
  <si>
    <t>A-008351</t>
  </si>
  <si>
    <t>Cline, Kevin</t>
  </si>
  <si>
    <t>758 W Juanita Ave</t>
  </si>
  <si>
    <t>A-028245</t>
  </si>
  <si>
    <t>Coffey, Michael</t>
  </si>
  <si>
    <t>2172 E Vista Bonita Dr</t>
  </si>
  <si>
    <t>A-028691</t>
  </si>
  <si>
    <t>Collins, Billy</t>
  </si>
  <si>
    <t>2036 N Montclair Ln</t>
  </si>
  <si>
    <t>A-003167</t>
  </si>
  <si>
    <t>Colpitts, Rosie and Bernie</t>
  </si>
  <si>
    <t>16016 N 111th Pl.</t>
  </si>
  <si>
    <t>A-014055</t>
  </si>
  <si>
    <t>Craig, Tami</t>
  </si>
  <si>
    <t>3986 N Spirit Place</t>
  </si>
  <si>
    <t>A-023915</t>
  </si>
  <si>
    <t>Davila, Patricia</t>
  </si>
  <si>
    <t>7127 N 28th Dr</t>
  </si>
  <si>
    <t>A-011784</t>
  </si>
  <si>
    <t>Dickason, Rich and Cindy</t>
  </si>
  <si>
    <t>23727 S Angora Dr</t>
  </si>
  <si>
    <t>A-001719</t>
  </si>
  <si>
    <t>Dirkse, John &amp; Kathryn</t>
  </si>
  <si>
    <t>1255 E Le Marche Ave</t>
  </si>
  <si>
    <t>A-002100</t>
  </si>
  <si>
    <t>Drost, Barry</t>
  </si>
  <si>
    <t>2419 W Mission Dr</t>
  </si>
  <si>
    <t>A-002112</t>
  </si>
  <si>
    <t>Drost, Matt</t>
  </si>
  <si>
    <t>717 E. Diamond Dr.</t>
  </si>
  <si>
    <t>A-004847</t>
  </si>
  <si>
    <t>Eckard, Susie</t>
  </si>
  <si>
    <t>3636 E. Coconino Court</t>
  </si>
  <si>
    <t>A-002729</t>
  </si>
  <si>
    <t>Edrington, Shane</t>
  </si>
  <si>
    <t>9519 E Windrose Dr</t>
  </si>
  <si>
    <t>A-022432</t>
  </si>
  <si>
    <t>Elliot, Patricia</t>
  </si>
  <si>
    <t>810 E Goldenrod St</t>
  </si>
  <si>
    <t>A-008365</t>
  </si>
  <si>
    <t>Fein, Ray</t>
  </si>
  <si>
    <t>15544 E Sundown Dr</t>
  </si>
  <si>
    <t>Fountain Hills</t>
  </si>
  <si>
    <t>A-000113</t>
  </si>
  <si>
    <t>Ferrante, Cindy</t>
  </si>
  <si>
    <t>11215 North 27th Place</t>
  </si>
  <si>
    <t>A-003499</t>
  </si>
  <si>
    <t>Fettig, Laura</t>
  </si>
  <si>
    <t>9848 E Cinnabar Ave</t>
  </si>
  <si>
    <t>A-000866</t>
  </si>
  <si>
    <t>Fife, Stephen and Alyssa</t>
  </si>
  <si>
    <t>4601 W Mariposa Grande</t>
  </si>
  <si>
    <t>A-008001</t>
  </si>
  <si>
    <t>Fitch, Beth</t>
  </si>
  <si>
    <t>12014 S Tonalea Dr</t>
  </si>
  <si>
    <t>A-024580</t>
  </si>
  <si>
    <t>Fried, James</t>
  </si>
  <si>
    <t>11486 N 131st Way</t>
  </si>
  <si>
    <t>A-007768</t>
  </si>
  <si>
    <t>Galusha, Melanie</t>
  </si>
  <si>
    <t>2428 W. Keating Ave</t>
  </si>
  <si>
    <t>A-008332</t>
  </si>
  <si>
    <t>Gehrig, Eric</t>
  </si>
  <si>
    <t>4768 W Tyson Street</t>
  </si>
  <si>
    <t>A-004192</t>
  </si>
  <si>
    <t>Gellman, Allen &amp; Traci</t>
  </si>
  <si>
    <t>5321 E. Shaw Butte Dr.</t>
  </si>
  <si>
    <t>A-005228</t>
  </si>
  <si>
    <t>Gibbs-Dajani, Brenda</t>
  </si>
  <si>
    <t>840 W Caribbean Ln</t>
  </si>
  <si>
    <t>A-004928</t>
  </si>
  <si>
    <t>Goldring, Tami &amp; Adam</t>
  </si>
  <si>
    <t>700 N Dobson Rd #36</t>
  </si>
  <si>
    <t>A-006699</t>
  </si>
  <si>
    <t>Gomm, Stuart</t>
  </si>
  <si>
    <t>12072 E Mescal Street</t>
  </si>
  <si>
    <t>A-002831</t>
  </si>
  <si>
    <t>Gonzalez, Ralph &amp; Lorrie</t>
  </si>
  <si>
    <t>930 East Knight Lane</t>
  </si>
  <si>
    <t>A-008979</t>
  </si>
  <si>
    <t>Gowans, Janine</t>
  </si>
  <si>
    <t>4642 W Saddlehorn Rd</t>
  </si>
  <si>
    <t>A-009097</t>
  </si>
  <si>
    <t>Graham, Bruce</t>
  </si>
  <si>
    <t>4656 E. La Mirada Way</t>
  </si>
  <si>
    <t>A-022439</t>
  </si>
  <si>
    <t>Gutierrez, Mike</t>
  </si>
  <si>
    <t>220 W. Monte Way</t>
  </si>
  <si>
    <t>A-008013</t>
  </si>
  <si>
    <t>Gutmann, Bernard</t>
  </si>
  <si>
    <t>11248 E Paradise Ln</t>
  </si>
  <si>
    <t>A-009708</t>
  </si>
  <si>
    <t>Haggerty, Paul</t>
  </si>
  <si>
    <t>310 W. Portland St.</t>
  </si>
  <si>
    <t>A-024114</t>
  </si>
  <si>
    <t>Hamilton, Sandra</t>
  </si>
  <si>
    <t>9011 E Hobart Street</t>
  </si>
  <si>
    <t>A-001264</t>
  </si>
  <si>
    <t>Hammes, Myron</t>
  </si>
  <si>
    <t>6526 N 46th St</t>
  </si>
  <si>
    <t>A-025201</t>
  </si>
  <si>
    <t>Hansen, Robert and Kelly</t>
  </si>
  <si>
    <t>3122 W Melody Dr</t>
  </si>
  <si>
    <t>A-008743</t>
  </si>
  <si>
    <t>Harris, Benjamin &amp; Janis</t>
  </si>
  <si>
    <t>516 E Stella Ln</t>
  </si>
  <si>
    <t>A-022612</t>
  </si>
  <si>
    <t>Haugen, Larmon</t>
  </si>
  <si>
    <t>417 E. Brook Hollow Dr.</t>
  </si>
  <si>
    <t>A-004482</t>
  </si>
  <si>
    <t>Hausmann, Charles</t>
  </si>
  <si>
    <t>8138 E. Wingshadow Rd.</t>
  </si>
  <si>
    <t>A-001746</t>
  </si>
  <si>
    <t>Hayden, Tracy</t>
  </si>
  <si>
    <t>9078 E. Foothills Dr</t>
  </si>
  <si>
    <t>A-006222</t>
  </si>
  <si>
    <t>Hedine, Jim</t>
  </si>
  <si>
    <t>5410 East Sierra Sunset Trail</t>
  </si>
  <si>
    <t>A-010393</t>
  </si>
  <si>
    <t>Heiligers, Marc &amp; Tina</t>
  </si>
  <si>
    <t>2225 E Vaughn Ave</t>
  </si>
  <si>
    <t>A-023953</t>
  </si>
  <si>
    <t>Hendley, Nancy</t>
  </si>
  <si>
    <t>2109 W Buckhorn Trl</t>
  </si>
  <si>
    <t>A-003452</t>
  </si>
  <si>
    <t>Hennen, Kristopher</t>
  </si>
  <si>
    <t>2816 E. Constance Way</t>
  </si>
  <si>
    <t>A-005534</t>
  </si>
  <si>
    <t>Hennings, Greg and Pamela</t>
  </si>
  <si>
    <t>20810 N 39th Drive</t>
  </si>
  <si>
    <t>A-022615</t>
  </si>
  <si>
    <t>Hernandez, Lynn</t>
  </si>
  <si>
    <t>4614 W Encanto</t>
  </si>
  <si>
    <t>A-013006</t>
  </si>
  <si>
    <t>Hester, Linda</t>
  </si>
  <si>
    <t>1631 N. Sinova</t>
  </si>
  <si>
    <t>A-005620</t>
  </si>
  <si>
    <t>Hiler, Monika</t>
  </si>
  <si>
    <t>3035 N. 144th Drive</t>
  </si>
  <si>
    <t>A-006355</t>
  </si>
  <si>
    <t>Hinds, David</t>
  </si>
  <si>
    <t>4621 W Donner Drive</t>
  </si>
  <si>
    <t>A-005623</t>
  </si>
  <si>
    <t>Hodge, Larry</t>
  </si>
  <si>
    <t>3026 N 50th St</t>
  </si>
  <si>
    <t>A-009661</t>
  </si>
  <si>
    <t>Hoffman, Evan</t>
  </si>
  <si>
    <t>7139 S Parkside Dr</t>
  </si>
  <si>
    <t>A-004182</t>
  </si>
  <si>
    <t>Hofmann, Ivan</t>
  </si>
  <si>
    <t>11819 E Mission Ln</t>
  </si>
  <si>
    <t>A-004906</t>
  </si>
  <si>
    <t>14504 E. Charter Oak Dr.</t>
  </si>
  <si>
    <t>A-003886</t>
  </si>
  <si>
    <t>Holden, Laura &amp; Gregory</t>
  </si>
  <si>
    <t>4752 E Olney Dr</t>
  </si>
  <si>
    <t>A-010461</t>
  </si>
  <si>
    <t>Hundt, Tim and Judy</t>
  </si>
  <si>
    <t>4146 E Mercer Ln</t>
  </si>
  <si>
    <t>A-006256</t>
  </si>
  <si>
    <t>Iselin, John &amp; Nancy</t>
  </si>
  <si>
    <t>9926 East Chiricahua Pass</t>
  </si>
  <si>
    <t>A-022548</t>
  </si>
  <si>
    <t>James, John</t>
  </si>
  <si>
    <t>4552 E Mescal St</t>
  </si>
  <si>
    <t>A-008048</t>
  </si>
  <si>
    <t>Jasna, Wallie</t>
  </si>
  <si>
    <t>17220 N 31st Ave</t>
  </si>
  <si>
    <t>A-006255</t>
  </si>
  <si>
    <t>Jinks, Jeffrey</t>
  </si>
  <si>
    <t>3525 E. Equestrian Trail</t>
  </si>
  <si>
    <t>A-024432</t>
  </si>
  <si>
    <t>Johnson, Boyd &amp; Brianna</t>
  </si>
  <si>
    <t>2160 E Prescott Pl</t>
  </si>
  <si>
    <t>A-022569</t>
  </si>
  <si>
    <t>Johnson, Kevin</t>
  </si>
  <si>
    <t>3104 East Regina Street</t>
  </si>
  <si>
    <t>A-009646</t>
  </si>
  <si>
    <t>Johnson, Marlys and David</t>
  </si>
  <si>
    <t>10129 E Happy Hollow Dr</t>
  </si>
  <si>
    <t>A-011982</t>
  </si>
  <si>
    <t>Jones, Jim &amp; Patti</t>
  </si>
  <si>
    <t>1644 E Menlo St</t>
  </si>
  <si>
    <t>A-003547</t>
  </si>
  <si>
    <t>Jones, Ryan</t>
  </si>
  <si>
    <t>6330 E Bent Tree</t>
  </si>
  <si>
    <t>A-003138</t>
  </si>
  <si>
    <t>Joslin, Chris</t>
  </si>
  <si>
    <t>3139 E Calaveros Drive</t>
  </si>
  <si>
    <t>A-023885</t>
  </si>
  <si>
    <t>Keene, Thomas</t>
  </si>
  <si>
    <t>3620 E Saltsage Dr</t>
  </si>
  <si>
    <t>A-002082</t>
  </si>
  <si>
    <t>Kelly, David and Katia</t>
  </si>
  <si>
    <t>5335 E Calle De Baca</t>
  </si>
  <si>
    <t>A-007975</t>
  </si>
  <si>
    <t>Kennedy, Mary</t>
  </si>
  <si>
    <t>2101 W Silvergate Dr</t>
  </si>
  <si>
    <t>A-006628</t>
  </si>
  <si>
    <t>Knaeble, Michelle</t>
  </si>
  <si>
    <t>2967 E Bloomfield Rd</t>
  </si>
  <si>
    <t>A-001578</t>
  </si>
  <si>
    <t>Knutson, Kathy</t>
  </si>
  <si>
    <t>10938 E. Bella Via Ave</t>
  </si>
  <si>
    <t>A-004206</t>
  </si>
  <si>
    <t>Koger, Carol and Jerry</t>
  </si>
  <si>
    <t>2805 E. Gary Way</t>
  </si>
  <si>
    <t>A-002819</t>
  </si>
  <si>
    <t>Kosiorek, Robert</t>
  </si>
  <si>
    <t>3849 E Enrose St</t>
  </si>
  <si>
    <t>A-005977</t>
  </si>
  <si>
    <t>Kranz, Mike &amp; Jane</t>
  </si>
  <si>
    <t>607 E Runaway Bay Pl</t>
  </si>
  <si>
    <t>A-024543</t>
  </si>
  <si>
    <t>Krutzik, Ramona</t>
  </si>
  <si>
    <t>22042 North 79th Place</t>
  </si>
  <si>
    <t>A-005272</t>
  </si>
  <si>
    <t>Kulma, Kenneth &amp; Norma</t>
  </si>
  <si>
    <t>7419 E. Pontebella Dr.</t>
  </si>
  <si>
    <t>A-007663</t>
  </si>
  <si>
    <t>Laufman, JD</t>
  </si>
  <si>
    <t>3816 N 51st St</t>
  </si>
  <si>
    <t>A-004494</t>
  </si>
  <si>
    <t>Lauro, Donna and Dan</t>
  </si>
  <si>
    <t>6734 E Cheney Dr</t>
  </si>
  <si>
    <t>A-009736</t>
  </si>
  <si>
    <t>Lawrence, Darlene</t>
  </si>
  <si>
    <t>977 E Volk Ln</t>
  </si>
  <si>
    <t>A-003751</t>
  </si>
  <si>
    <t>Lohn, Duane</t>
  </si>
  <si>
    <t>12565 N 88th Way</t>
  </si>
  <si>
    <t>A-000027</t>
  </si>
  <si>
    <t>Machen, Brooke and Craig</t>
  </si>
  <si>
    <t>354 E. Orange Dr.</t>
  </si>
  <si>
    <t>A-002385</t>
  </si>
  <si>
    <t>Madison, Mary Jane</t>
  </si>
  <si>
    <t>609 E. Goldenrod St</t>
  </si>
  <si>
    <t>A-003760</t>
  </si>
  <si>
    <t>Magee, Larry &amp; Janet</t>
  </si>
  <si>
    <t>9451 E Calle De Las  Brisas</t>
  </si>
  <si>
    <t>A-006947</t>
  </si>
  <si>
    <t>Malouf, Rick</t>
  </si>
  <si>
    <t>5467 E Oakhurst Way</t>
  </si>
  <si>
    <t>A-001978</t>
  </si>
  <si>
    <t>Marmolejo, Jennifer &amp; Manny</t>
  </si>
  <si>
    <t>14765 W Reade Ave</t>
  </si>
  <si>
    <t>Litchfield Park</t>
  </si>
  <si>
    <t>A-005650</t>
  </si>
  <si>
    <t>McDaniel, Susan</t>
  </si>
  <si>
    <t>2215 W Earll Dr</t>
  </si>
  <si>
    <t>A-003796</t>
  </si>
  <si>
    <t>McFadden, Sherry</t>
  </si>
  <si>
    <t>15223 S 14th Place</t>
  </si>
  <si>
    <t>A-024611</t>
  </si>
  <si>
    <t>McGlynn, Claudia And Paraic</t>
  </si>
  <si>
    <t>13362 N 102nd Place</t>
  </si>
  <si>
    <t>A-006956</t>
  </si>
  <si>
    <t>McKinstry, Melissa</t>
  </si>
  <si>
    <t>3631 W Hartford Ave</t>
  </si>
  <si>
    <t>A-008426</t>
  </si>
  <si>
    <t>McLamb, Matt and Virginia</t>
  </si>
  <si>
    <t>5541 W Saguaro</t>
  </si>
  <si>
    <t>A-008960</t>
  </si>
  <si>
    <t>McReynolds, RC</t>
  </si>
  <si>
    <t>24409 S Boxwood Dr</t>
  </si>
  <si>
    <t>A-008076</t>
  </si>
  <si>
    <t>Mermelstein, Dan</t>
  </si>
  <si>
    <t>534 E. Rawhide</t>
  </si>
  <si>
    <t>A-025103</t>
  </si>
  <si>
    <t>Mihlbauer, Bret &amp; Marjorie -Send Monthly Statement</t>
  </si>
  <si>
    <t>32837 N 54th St</t>
  </si>
  <si>
    <t>A-008982</t>
  </si>
  <si>
    <t>Milder, Ken</t>
  </si>
  <si>
    <t>6121 E Calle Rosa</t>
  </si>
  <si>
    <t>A-022646</t>
  </si>
  <si>
    <t>Miller, Arthur</t>
  </si>
  <si>
    <t>3192 E Marlette Ave.</t>
  </si>
  <si>
    <t>Ray Saltsman</t>
  </si>
  <si>
    <t>A-010706</t>
  </si>
  <si>
    <t>Mojica, Michelle &amp; Juan</t>
  </si>
  <si>
    <t>316 W El Camino Dr</t>
  </si>
  <si>
    <t>A-005904</t>
  </si>
  <si>
    <t>Moltich, Milton</t>
  </si>
  <si>
    <t>677 S Dodge St</t>
  </si>
  <si>
    <t>A-000789</t>
  </si>
  <si>
    <t>Montenyor, Jesus</t>
  </si>
  <si>
    <t>1124 S Oak Ct.</t>
  </si>
  <si>
    <t>A-024310</t>
  </si>
  <si>
    <t>Monti, David</t>
  </si>
  <si>
    <t>1319 E Flint St</t>
  </si>
  <si>
    <t>A-001971</t>
  </si>
  <si>
    <t>Mordhorst, Becky</t>
  </si>
  <si>
    <t>9655 E Glencove Circle</t>
  </si>
  <si>
    <t>A-006901</t>
  </si>
  <si>
    <t>Morrisroe, Frank</t>
  </si>
  <si>
    <t>8536 E Preserve Way</t>
  </si>
  <si>
    <t>A-004838</t>
  </si>
  <si>
    <t>Munson, Nina &amp; Brian</t>
  </si>
  <si>
    <t>9083 N Cerrito Vista Dr</t>
  </si>
  <si>
    <t>A-022714</t>
  </si>
  <si>
    <t>Murphy, Mike</t>
  </si>
  <si>
    <t>11618 N 20th Ave</t>
  </si>
  <si>
    <t>A-003175</t>
  </si>
  <si>
    <t>Neal, James</t>
  </si>
  <si>
    <t>6651 North Cardinal Drive West</t>
  </si>
  <si>
    <t>A-004967</t>
  </si>
  <si>
    <t>Nevarez, Gabriel and Myra</t>
  </si>
  <si>
    <t>16828 W. Saguaro Ln.</t>
  </si>
  <si>
    <t>A-003089</t>
  </si>
  <si>
    <t>Norman, Grant</t>
  </si>
  <si>
    <t>6861 E Monte Ave</t>
  </si>
  <si>
    <t>A-024116</t>
  </si>
  <si>
    <t>Openshaw, Shane and Suzanne</t>
  </si>
  <si>
    <t>7654 E Summit Trail St</t>
  </si>
  <si>
    <t>A-007710</t>
  </si>
  <si>
    <t>Orr, Barbara</t>
  </si>
  <si>
    <t>4650 E. Montecito Ave.</t>
  </si>
  <si>
    <t>A-000842</t>
  </si>
  <si>
    <t>Orvin, Casy</t>
  </si>
  <si>
    <t>21249 S. 201st Way</t>
  </si>
  <si>
    <t>Queen Creek</t>
  </si>
  <si>
    <t>A-008727</t>
  </si>
  <si>
    <t>Overdorff, John</t>
  </si>
  <si>
    <t>5453 E Lafayette Blvd</t>
  </si>
  <si>
    <t>A-008029</t>
  </si>
  <si>
    <t>Overland, Arnold</t>
  </si>
  <si>
    <t>4501 W. Boston St.</t>
  </si>
  <si>
    <t>A-008375</t>
  </si>
  <si>
    <t>Paige, Jeanne</t>
  </si>
  <si>
    <t>10834 E Mission Ln</t>
  </si>
  <si>
    <t>A-006585</t>
  </si>
  <si>
    <t>Pasco, Bill</t>
  </si>
  <si>
    <t>3035 E Menlo St.</t>
  </si>
  <si>
    <t>A-005639</t>
  </si>
  <si>
    <t>Paul, Cheryl</t>
  </si>
  <si>
    <t>7522 E. Odessa Cir.</t>
  </si>
  <si>
    <t>A-022589</t>
  </si>
  <si>
    <t>Payne, Annette</t>
  </si>
  <si>
    <t>3172 W Waltann Ln.</t>
  </si>
  <si>
    <t>A-004489</t>
  </si>
  <si>
    <t>Peterson, Timothy and Nicole</t>
  </si>
  <si>
    <t>121 W Wood Drive</t>
  </si>
  <si>
    <t>A-008311</t>
  </si>
  <si>
    <t>Prepsky, Michael</t>
  </si>
  <si>
    <t>2732 E Branham Lane</t>
  </si>
  <si>
    <t>A-008000</t>
  </si>
  <si>
    <t>Proctor, Stewart</t>
  </si>
  <si>
    <t>17425 W. Cocopah St.</t>
  </si>
  <si>
    <t>A-006641</t>
  </si>
  <si>
    <t>Ray, Tonya</t>
  </si>
  <si>
    <t>1312 N 86th Pl</t>
  </si>
  <si>
    <t>A-005203</t>
  </si>
  <si>
    <t>Reddy, Mallik</t>
  </si>
  <si>
    <t>27510 N 58th Dr.</t>
  </si>
  <si>
    <t>A-022580</t>
  </si>
  <si>
    <t>Reed, Harold &amp; JoAnn</t>
  </si>
  <si>
    <t>301 W Butler Dr</t>
  </si>
  <si>
    <t>A-011070</t>
  </si>
  <si>
    <t>Resler, Matt</t>
  </si>
  <si>
    <t>8948 E Palm Tree Dr</t>
  </si>
  <si>
    <t>A-003518</t>
  </si>
  <si>
    <t>Ronzi, Giancarlo</t>
  </si>
  <si>
    <t>6933 E Bob White Way</t>
  </si>
  <si>
    <t>A-005501</t>
  </si>
  <si>
    <t>Rudge, Howard</t>
  </si>
  <si>
    <t>9301 East Crystal Drive</t>
  </si>
  <si>
    <t>A-012694</t>
  </si>
  <si>
    <t>Ryan, Terry</t>
  </si>
  <si>
    <t>1306 E. Milada Dr.</t>
  </si>
  <si>
    <t>A-004186</t>
  </si>
  <si>
    <t>Samanta, Chinmaya</t>
  </si>
  <si>
    <t>2110 N. Chestnut Circle</t>
  </si>
  <si>
    <t>A-001358</t>
  </si>
  <si>
    <t>Sassi, Lisa and Jeff</t>
  </si>
  <si>
    <t>8989 W. Mary Ann Dr.</t>
  </si>
  <si>
    <t>A-007269</t>
  </si>
  <si>
    <t>Schilberg, Susan</t>
  </si>
  <si>
    <t>2721 S. Copperwood</t>
  </si>
  <si>
    <t>A-010061</t>
  </si>
  <si>
    <t>Schroeder, Julia</t>
  </si>
  <si>
    <t>9059 E Hobart St</t>
  </si>
  <si>
    <t>A-002050</t>
  </si>
  <si>
    <t>Seaton, Chris</t>
  </si>
  <si>
    <t>1200 W. Monterey St.</t>
  </si>
  <si>
    <t>A-005220</t>
  </si>
  <si>
    <t>Sellheim, Eckart &amp; Dian</t>
  </si>
  <si>
    <t>3222 S. River Dr.</t>
  </si>
  <si>
    <t>A-007623</t>
  </si>
  <si>
    <t>Sidhwa, Shyamuk</t>
  </si>
  <si>
    <t>332 W Louis Way</t>
  </si>
  <si>
    <t>A-001214</t>
  </si>
  <si>
    <t>Siewert, Stacy</t>
  </si>
  <si>
    <t>412 W Carob Dr</t>
  </si>
  <si>
    <t>A-013064</t>
  </si>
  <si>
    <t>Simon, Phillip</t>
  </si>
  <si>
    <t>15218 S 36th Pl</t>
  </si>
  <si>
    <t>A-028081</t>
  </si>
  <si>
    <t>Smith, Johnny &amp; Nicole</t>
  </si>
  <si>
    <t>11220 W Olive Dr</t>
  </si>
  <si>
    <t>A-004545</t>
  </si>
  <si>
    <t>Smith, Pamela Innes</t>
  </si>
  <si>
    <t>6345 E. Palm St.</t>
  </si>
  <si>
    <t>A-009429</t>
  </si>
  <si>
    <t>Smith, Rodney</t>
  </si>
  <si>
    <t>9107 S Kachina Dr.</t>
  </si>
  <si>
    <t>A-022680</t>
  </si>
  <si>
    <t>Smith, Ron</t>
  </si>
  <si>
    <t>7231 S 71st Ln</t>
  </si>
  <si>
    <t>A-022542</t>
  </si>
  <si>
    <t>Smith, Tim and Margaret</t>
  </si>
  <si>
    <t>26264 N 46th Pl</t>
  </si>
  <si>
    <t>A-003154</t>
  </si>
  <si>
    <t>Standage, Amy</t>
  </si>
  <si>
    <t>9750 E Lobo Ave</t>
  </si>
  <si>
    <t>A-009002</t>
  </si>
  <si>
    <t>Steffen, Christina</t>
  </si>
  <si>
    <t>5108 E. Bloomfield Rd.</t>
  </si>
  <si>
    <t>A-005211</t>
  </si>
  <si>
    <t>Sutton, Thomas</t>
  </si>
  <si>
    <t>12638 W Aster Dr</t>
  </si>
  <si>
    <t>El Mirage</t>
  </si>
  <si>
    <t>A-006614</t>
  </si>
  <si>
    <t>Temple, Michael</t>
  </si>
  <si>
    <t>1825 E Nicolet Ave</t>
  </si>
  <si>
    <t>A-006616</t>
  </si>
  <si>
    <t>Tooke, Michael and Candice</t>
  </si>
  <si>
    <t>10675 E Arabian Park Dr</t>
  </si>
  <si>
    <t>A-004572</t>
  </si>
  <si>
    <t>Tran, Michael</t>
  </si>
  <si>
    <t>7256 W Kaler Ave</t>
  </si>
  <si>
    <t>A-002122</t>
  </si>
  <si>
    <t>Trevillyan, Tracey &amp; Rob</t>
  </si>
  <si>
    <t>760 W. Posada Ave</t>
  </si>
  <si>
    <t>A-007283</t>
  </si>
  <si>
    <t>Trogdon, Connie</t>
  </si>
  <si>
    <t>4701 S. Bandit Rd</t>
  </si>
  <si>
    <t>A-004510</t>
  </si>
  <si>
    <t>Uczekaj, Tom and Sherrie</t>
  </si>
  <si>
    <t>10903 E. Winchcomb Dr.</t>
  </si>
  <si>
    <t>A-050021</t>
  </si>
  <si>
    <t>OGara, Tom</t>
  </si>
  <si>
    <t>8119 West Voltaire Avenue</t>
  </si>
  <si>
    <t>A-008086</t>
  </si>
  <si>
    <t>Diedrich, Elizabeth</t>
  </si>
  <si>
    <t>7874 W Calavar Rd.</t>
  </si>
  <si>
    <t>A-003569</t>
  </si>
  <si>
    <t>Hamway, Sherrie And Joseph</t>
  </si>
  <si>
    <t>7245 W. Monte Cristo Ave.</t>
  </si>
  <si>
    <t>A-033520</t>
  </si>
  <si>
    <t>Mailhiot, Tom -REMAX</t>
  </si>
  <si>
    <t>10120 East Larkspur Drive</t>
  </si>
  <si>
    <t>A-007701</t>
  </si>
  <si>
    <t>Mason, Kris</t>
  </si>
  <si>
    <t>7343 E. Sierra Morena Cir.</t>
  </si>
  <si>
    <t>A-047211</t>
  </si>
  <si>
    <t>McDonald-Ramsey , Candace</t>
  </si>
  <si>
    <t>2012 West Harwell Road</t>
  </si>
  <si>
    <t>A-003168</t>
  </si>
  <si>
    <t>Miles, Miles</t>
  </si>
  <si>
    <t>682 E. Capricorn Way</t>
  </si>
  <si>
    <t>A-064879</t>
  </si>
  <si>
    <t>Smith, Donna</t>
  </si>
  <si>
    <t>5268 East Patrick Lane</t>
  </si>
  <si>
    <t>A-022317</t>
  </si>
  <si>
    <t>Smith, Robert</t>
  </si>
  <si>
    <t>2307 W Earll Dr</t>
  </si>
  <si>
    <t>A-008280</t>
  </si>
  <si>
    <t>Yelland, Robert</t>
  </si>
  <si>
    <t>4508 W Boston St.</t>
  </si>
  <si>
    <t>A-013787</t>
  </si>
  <si>
    <t>Cavanaugh, Brain</t>
  </si>
  <si>
    <t>1225 E Avenida Isabella Dr</t>
  </si>
  <si>
    <t>A-028112</t>
  </si>
  <si>
    <t>Coleman, Bryce</t>
  </si>
  <si>
    <t>2501 E Shannon St</t>
  </si>
  <si>
    <t>Christian Nolan</t>
  </si>
  <si>
    <t>A-001723</t>
  </si>
  <si>
    <t>Duran, Juan and Regina</t>
  </si>
  <si>
    <t>824 E Royal Palm Road</t>
  </si>
  <si>
    <t>A-003147</t>
  </si>
  <si>
    <t>Fellows, Tom</t>
  </si>
  <si>
    <t>8716 E. Vernon Ave</t>
  </si>
  <si>
    <t>A-005213</t>
  </si>
  <si>
    <t>Griffin, Stephanie</t>
  </si>
  <si>
    <t>4610 W Beautiful Ln</t>
  </si>
  <si>
    <t>A-024787</t>
  </si>
  <si>
    <t>Gunning, Gordon</t>
  </si>
  <si>
    <t>2319 E Victor Rd</t>
  </si>
  <si>
    <t>A-023899</t>
  </si>
  <si>
    <t>Johnson, Jeremy</t>
  </si>
  <si>
    <t>3314 E Daley Ln</t>
  </si>
  <si>
    <t>A-007726</t>
  </si>
  <si>
    <t>Morales, Mike &amp; Leticia</t>
  </si>
  <si>
    <t>8950 W Citrus Way</t>
  </si>
  <si>
    <t>A-010441</t>
  </si>
  <si>
    <t>Olguin, Virginia</t>
  </si>
  <si>
    <t>3139 N 40th Ave</t>
  </si>
  <si>
    <t>A-052138</t>
  </si>
  <si>
    <t>Price, Sharon</t>
  </si>
  <si>
    <t>4336 East Shangri La Road</t>
  </si>
  <si>
    <t>A-005223</t>
  </si>
  <si>
    <t>Rollins, Carole</t>
  </si>
  <si>
    <t>6613 W Branham Lane</t>
  </si>
  <si>
    <t>A-025005</t>
  </si>
  <si>
    <t>Thompson, Thomas &amp; Laurie</t>
  </si>
  <si>
    <t>5738 W Greenbriar Dr</t>
  </si>
  <si>
    <t>A-050928</t>
  </si>
  <si>
    <t>Parker, Steven</t>
  </si>
  <si>
    <t>43802 N 44th lane</t>
  </si>
  <si>
    <t>A-009058</t>
  </si>
  <si>
    <t>Vollrath, Nick</t>
  </si>
  <si>
    <t>1452 W Hopi Dr</t>
  </si>
  <si>
    <t>A-004107</t>
  </si>
  <si>
    <t>Wallace, Tyrone</t>
  </si>
  <si>
    <t>3790 N 296th Dr</t>
  </si>
  <si>
    <t>A-008748</t>
  </si>
  <si>
    <t>Wells, Janice</t>
  </si>
  <si>
    <t>6832 W Windsor Ave</t>
  </si>
  <si>
    <t>A-007962</t>
  </si>
  <si>
    <t>Woodstead, Heidi</t>
  </si>
  <si>
    <t>2202 W Western Dr.</t>
  </si>
  <si>
    <t>A-022457</t>
  </si>
  <si>
    <t>Anderson, Evert</t>
  </si>
  <si>
    <t>14231 N 33rd Dr</t>
  </si>
  <si>
    <t>A-005550</t>
  </si>
  <si>
    <t>Urlocker, Tim</t>
  </si>
  <si>
    <t>5658 E Sandra Terrace</t>
  </si>
  <si>
    <t>A-033970</t>
  </si>
  <si>
    <t>Vadasz-Chates, Sam</t>
  </si>
  <si>
    <t>4617 East Acoma Drive</t>
  </si>
  <si>
    <t>A-047755</t>
  </si>
  <si>
    <t>Vannasdale, Stacey</t>
  </si>
  <si>
    <t>16608 South 9th Street</t>
  </si>
  <si>
    <t>A-024554</t>
  </si>
  <si>
    <t>Walden, Allison</t>
  </si>
  <si>
    <t>7056 E Moreland St.</t>
  </si>
  <si>
    <t>A-047461</t>
  </si>
  <si>
    <t>Wartner, Brenton</t>
  </si>
  <si>
    <t>7813 South 47th Lane</t>
  </si>
  <si>
    <t>A-022553</t>
  </si>
  <si>
    <t>Watson, Anthony</t>
  </si>
  <si>
    <t>3624 W. Crocus Drive</t>
  </si>
  <si>
    <t>A-039042</t>
  </si>
  <si>
    <t>Weiss, Jean</t>
  </si>
  <si>
    <t>36711 North 16th Street</t>
  </si>
  <si>
    <t>A-000885</t>
  </si>
  <si>
    <t>Wheeler, Paul</t>
  </si>
  <si>
    <t>2290 E Indian Wells Dr</t>
  </si>
  <si>
    <t>A-032354</t>
  </si>
  <si>
    <t>Wilson, Isaac</t>
  </si>
  <si>
    <t>8556 West Purdue Avenue</t>
  </si>
  <si>
    <t>A-046716</t>
  </si>
  <si>
    <t>Woellner, John</t>
  </si>
  <si>
    <t>6237 East Earll Drive</t>
  </si>
  <si>
    <t>A-031448</t>
  </si>
  <si>
    <t>Yachymczyk, Brian</t>
  </si>
  <si>
    <t>232 West Smoke Tree Road</t>
  </si>
  <si>
    <t>A-004503</t>
  </si>
  <si>
    <t>Yelton, Paul</t>
  </si>
  <si>
    <t>7443 W Williams Drive</t>
  </si>
  <si>
    <t>A-032713</t>
  </si>
  <si>
    <t>Zink, Alice</t>
  </si>
  <si>
    <t>2023 South Starling Drive</t>
  </si>
  <si>
    <t>A-062256</t>
  </si>
  <si>
    <t>Bryce, Lisa</t>
  </si>
  <si>
    <t>1033 North Norwalk Circle</t>
  </si>
  <si>
    <t>A-062279</t>
  </si>
  <si>
    <t>Cesiel, Toni</t>
  </si>
  <si>
    <t>1822 East Calle De Caballos</t>
  </si>
  <si>
    <t>A-022308</t>
  </si>
  <si>
    <t>Davis, Jack and Sara</t>
  </si>
  <si>
    <t>4147 E Mercer Ln</t>
  </si>
  <si>
    <t>A-056372</t>
  </si>
  <si>
    <t>Domotor, Steve</t>
  </si>
  <si>
    <t>8530 North 48th Lane</t>
  </si>
  <si>
    <t>A-062965</t>
  </si>
  <si>
    <t>Laird, Robert (BOB)</t>
  </si>
  <si>
    <t>3239 East Osborn Road</t>
  </si>
  <si>
    <t>A-062412</t>
  </si>
  <si>
    <t>Scherer, Scott</t>
  </si>
  <si>
    <t>20981 West Hubbell Street</t>
  </si>
  <si>
    <t>A-057047</t>
  </si>
  <si>
    <t>Shum, Patrick &amp; Donna</t>
  </si>
  <si>
    <t>8286 East Nightingale Star Drive</t>
  </si>
  <si>
    <t>A-028286</t>
  </si>
  <si>
    <t>Vazquez, Michael</t>
  </si>
  <si>
    <t>4106 W Vineyard Rd</t>
  </si>
  <si>
    <t>A-057408</t>
  </si>
  <si>
    <t>Walton,Heidi</t>
  </si>
  <si>
    <t>7438 East Nance Street</t>
  </si>
  <si>
    <t>A-056546</t>
  </si>
  <si>
    <t>Williams, Jon</t>
  </si>
  <si>
    <t>6732 South 36th Lane</t>
  </si>
  <si>
    <t>A-011681</t>
  </si>
  <si>
    <t>Abdelkarim, Moawia</t>
  </si>
  <si>
    <t>661 N Cordoba Ave</t>
  </si>
  <si>
    <t>A-012642</t>
  </si>
  <si>
    <t>Ackerman, Andrew</t>
  </si>
  <si>
    <t>990 S Pueblo St</t>
  </si>
  <si>
    <t>A-023883</t>
  </si>
  <si>
    <t>Ahumada, Bill</t>
  </si>
  <si>
    <t>4202 E Silverwood Dr</t>
  </si>
  <si>
    <t>A-025228</t>
  </si>
  <si>
    <t>Alexandrovich, Michael</t>
  </si>
  <si>
    <t>13655 W Montebello</t>
  </si>
  <si>
    <t>A-002085</t>
  </si>
  <si>
    <t>Arbogast, Todd</t>
  </si>
  <si>
    <t>441 N. Chase Ct</t>
  </si>
  <si>
    <t>A-023755</t>
  </si>
  <si>
    <t>Arvallo, Frances</t>
  </si>
  <si>
    <t>5635 S 5th Street</t>
  </si>
  <si>
    <t>A-024735</t>
  </si>
  <si>
    <t>Aulerich. Kyle</t>
  </si>
  <si>
    <t>2855 E Carob Dr</t>
  </si>
  <si>
    <t>A-011453</t>
  </si>
  <si>
    <t>Azulay, Judd</t>
  </si>
  <si>
    <t>9832 N 77th St</t>
  </si>
  <si>
    <t>A-011747</t>
  </si>
  <si>
    <t>Barber, Richard</t>
  </si>
  <si>
    <t>5108 N 33Rd St</t>
  </si>
  <si>
    <t>A-025000</t>
  </si>
  <si>
    <t>Barssoom, Mousa</t>
  </si>
  <si>
    <t>19718 N 66th Drive</t>
  </si>
  <si>
    <t>A-024638</t>
  </si>
  <si>
    <t>Berkland, Cindy</t>
  </si>
  <si>
    <t>9782 E Troon North Drive</t>
  </si>
  <si>
    <t>A-005264</t>
  </si>
  <si>
    <t>Bernstein, Laurie</t>
  </si>
  <si>
    <t>15235 S 17th Ave</t>
  </si>
  <si>
    <t>A-001254</t>
  </si>
  <si>
    <t>Betancourt, John and Patricia</t>
  </si>
  <si>
    <t>2171 E Fremont Dr</t>
  </si>
  <si>
    <t>A-024005</t>
  </si>
  <si>
    <t>Birrenkott, Tom</t>
  </si>
  <si>
    <t>47882 N. Navidad Crt.</t>
  </si>
  <si>
    <t>Gold Canyon</t>
  </si>
  <si>
    <t>A-006951</t>
  </si>
  <si>
    <t>Bonney, Juliana</t>
  </si>
  <si>
    <t>13236 W Annika Dr</t>
  </si>
  <si>
    <t>A-025475</t>
  </si>
  <si>
    <t>Bradley, Tracey</t>
  </si>
  <si>
    <t>16389 W Cameron Drive</t>
  </si>
  <si>
    <t>A-004151</t>
  </si>
  <si>
    <t>Braun, Don</t>
  </si>
  <si>
    <t>2615 N 149th Ave</t>
  </si>
  <si>
    <t>A-023765</t>
  </si>
  <si>
    <t>Brown Residence</t>
  </si>
  <si>
    <t>7424 S 26th Dr</t>
  </si>
  <si>
    <t>A-023727</t>
  </si>
  <si>
    <t>Canchola, Jose And Celia</t>
  </si>
  <si>
    <t>1615 N 57th Dr</t>
  </si>
  <si>
    <t>A-028446</t>
  </si>
  <si>
    <t>Carryer, Kendall &amp; Pamela</t>
  </si>
  <si>
    <t>808 West Wilson Avenue</t>
  </si>
  <si>
    <t>Coolidge</t>
  </si>
  <si>
    <t>A-025089</t>
  </si>
  <si>
    <t>Chapman, Drew</t>
  </si>
  <si>
    <t>5713 E Parnell Dr</t>
  </si>
  <si>
    <t>A-012431</t>
  </si>
  <si>
    <t>Cohen, Wendy And Lenard</t>
  </si>
  <si>
    <t>9678 E Hidden Green Dr</t>
  </si>
  <si>
    <t>A-022304</t>
  </si>
  <si>
    <t>Collins, Rebecca and Jeff</t>
  </si>
  <si>
    <t>5715 E Calle Tuberia</t>
  </si>
  <si>
    <t>A-023936</t>
  </si>
  <si>
    <t>Cunningham, Kris</t>
  </si>
  <si>
    <t>4001 W Monte Cristo</t>
  </si>
  <si>
    <t>A-024243</t>
  </si>
  <si>
    <t>Dash, Christie</t>
  </si>
  <si>
    <t>3006 E Norwood St</t>
  </si>
  <si>
    <t>A-024574</t>
  </si>
  <si>
    <t>Devlin, Jenna</t>
  </si>
  <si>
    <t>7812 E Via Del futuro</t>
  </si>
  <si>
    <t>A-023789</t>
  </si>
  <si>
    <t>Donahoe, Ron</t>
  </si>
  <si>
    <t>6728 S 36th Lane</t>
  </si>
  <si>
    <t>A-005933</t>
  </si>
  <si>
    <t>Drozdz, Scott</t>
  </si>
  <si>
    <t>958 E Dava Dr</t>
  </si>
  <si>
    <t>A-024766</t>
  </si>
  <si>
    <t>Ehrhardt, Jamie</t>
  </si>
  <si>
    <t>2661 S Palm St</t>
  </si>
  <si>
    <t>A-024020</t>
  </si>
  <si>
    <t>Elg, Stephanie</t>
  </si>
  <si>
    <t>19835 E Silver Creek Lane</t>
  </si>
  <si>
    <t>A-022969</t>
  </si>
  <si>
    <t>Evans, Saxon And Jenny</t>
  </si>
  <si>
    <t>4054 E Fox St</t>
  </si>
  <si>
    <t>A-025210</t>
  </si>
  <si>
    <t>Farmer, Heather</t>
  </si>
  <si>
    <t>6812 W Burgess Lane</t>
  </si>
  <si>
    <t>A-002799</t>
  </si>
  <si>
    <t>Farmer, Mark</t>
  </si>
  <si>
    <t>502 S. Oak St.</t>
  </si>
  <si>
    <t>A-002801</t>
  </si>
  <si>
    <t>Finke, Beverly</t>
  </si>
  <si>
    <t>1420 E. Hilton Ave.</t>
  </si>
  <si>
    <t>A-011652</t>
  </si>
  <si>
    <t>Finley, Jennifer</t>
  </si>
  <si>
    <t>5303 S Siesta Lane</t>
  </si>
  <si>
    <t>A-009687</t>
  </si>
  <si>
    <t>Fotedar, Shivani</t>
  </si>
  <si>
    <t>21411 North 37th Run</t>
  </si>
  <si>
    <t>A-024016</t>
  </si>
  <si>
    <t>Galvan-Kuka, Nicole</t>
  </si>
  <si>
    <t>1135 W Fir Tree Rd</t>
  </si>
  <si>
    <t>A-022900</t>
  </si>
  <si>
    <t>Garcia, Lety</t>
  </si>
  <si>
    <t>1913 W Georgia Ave</t>
  </si>
  <si>
    <t>PHX - West - Route 6 - Open</t>
  </si>
  <si>
    <t>A-024753</t>
  </si>
  <si>
    <t>Garriss, Kria</t>
  </si>
  <si>
    <t>142 W Macaw Dr</t>
  </si>
  <si>
    <t>A-023983</t>
  </si>
  <si>
    <t>Geneau, Mark &amp; Fran</t>
  </si>
  <si>
    <t>605 W Irvine Rd</t>
  </si>
  <si>
    <t>A-023454</t>
  </si>
  <si>
    <t>Gilkes, Beaulah</t>
  </si>
  <si>
    <t>2302 N Dayton Street</t>
  </si>
  <si>
    <t>A-024512</t>
  </si>
  <si>
    <t>Gillies, Margaret</t>
  </si>
  <si>
    <t>12202 North 63rd Street</t>
  </si>
  <si>
    <t>A-025245</t>
  </si>
  <si>
    <t>Graham, Joe</t>
  </si>
  <si>
    <t>7110 W Cherry Hills Dr</t>
  </si>
  <si>
    <t>A-025010</t>
  </si>
  <si>
    <t>Guernsey, Mike</t>
  </si>
  <si>
    <t>6059 W Irma Ln</t>
  </si>
  <si>
    <t>A-024649</t>
  </si>
  <si>
    <t>Haines, George</t>
  </si>
  <si>
    <t>29144 N 69th Place</t>
  </si>
  <si>
    <t>A-024808</t>
  </si>
  <si>
    <t>Hanks, Larry &amp; Chris</t>
  </si>
  <si>
    <t>1000 S Roles Dr</t>
  </si>
  <si>
    <t>A-028066</t>
  </si>
  <si>
    <t>Hansen, Thomas &amp; Leeann</t>
  </si>
  <si>
    <t>2121 E Decatur St</t>
  </si>
  <si>
    <t>A-002809</t>
  </si>
  <si>
    <t>Hanson, Steve &amp; Susan</t>
  </si>
  <si>
    <t>37017 N 27th Way</t>
  </si>
  <si>
    <t>A-024736</t>
  </si>
  <si>
    <t>Harris, Melissa</t>
  </si>
  <si>
    <t>2064 W Weatherby W</t>
  </si>
  <si>
    <t>A-023809</t>
  </si>
  <si>
    <t>Hoffman, Diana and Al</t>
  </si>
  <si>
    <t>8019 S 29th Way</t>
  </si>
  <si>
    <t>A-025177</t>
  </si>
  <si>
    <t>Holsome, Justin</t>
  </si>
  <si>
    <t>3515 W Thurman</t>
  </si>
  <si>
    <t>A-011766</t>
  </si>
  <si>
    <t>Hospelhorn, Paul</t>
  </si>
  <si>
    <t>29064 N 69Th Pl</t>
  </si>
  <si>
    <t>A-024755</t>
  </si>
  <si>
    <t>Hunt, Chad</t>
  </si>
  <si>
    <t>1310 W Canary Way</t>
  </si>
  <si>
    <t>A-008317</t>
  </si>
  <si>
    <t>Huvaere, Greg</t>
  </si>
  <si>
    <t>15649 N 60th Pl</t>
  </si>
  <si>
    <t>A-023521</t>
  </si>
  <si>
    <t>Jordan, Mike &amp; Laura</t>
  </si>
  <si>
    <t>2017 E Marshall Ave</t>
  </si>
  <si>
    <t>A-023806</t>
  </si>
  <si>
    <t>Jordan, Nancey</t>
  </si>
  <si>
    <t>520 E. Greenway Rd</t>
  </si>
  <si>
    <t>A-023884</t>
  </si>
  <si>
    <t>Kimball, Perry</t>
  </si>
  <si>
    <t>16650 S 28th Pl</t>
  </si>
  <si>
    <t>A-024295</t>
  </si>
  <si>
    <t>Kolacinski, Phillip</t>
  </si>
  <si>
    <t>1953 N Lexington Dr</t>
  </si>
  <si>
    <t>A-011780</t>
  </si>
  <si>
    <t>Korf, Nole</t>
  </si>
  <si>
    <t>8879 E Camino Del Santo</t>
  </si>
  <si>
    <t>A-012955</t>
  </si>
  <si>
    <t>Kraut, Steve</t>
  </si>
  <si>
    <t>4505 E Blanche Drive</t>
  </si>
  <si>
    <t>A-023758</t>
  </si>
  <si>
    <t>Kusilek, Colton</t>
  </si>
  <si>
    <t>9006 S. 10th Dr</t>
  </si>
  <si>
    <t>A-024501</t>
  </si>
  <si>
    <t>Lacy, Eddie</t>
  </si>
  <si>
    <t>5317 E Kathleen Rd</t>
  </si>
  <si>
    <t>A-011731</t>
  </si>
  <si>
    <t>Langham, David</t>
  </si>
  <si>
    <t>2330 W Calle Iglesia Ave</t>
  </si>
  <si>
    <t>A-024852</t>
  </si>
  <si>
    <t>Lee, Loretta</t>
  </si>
  <si>
    <t>4137 E Ravenswood</t>
  </si>
  <si>
    <t>A-025141</t>
  </si>
  <si>
    <t>Livingston, Richard</t>
  </si>
  <si>
    <t>13322 S 186th Avenue</t>
  </si>
  <si>
    <t>A-024531</t>
  </si>
  <si>
    <t>Long, Catherine</t>
  </si>
  <si>
    <t>24200 N Alma School Rd Lot 51</t>
  </si>
  <si>
    <t>A-011790</t>
  </si>
  <si>
    <t>Makas, Rita MAIL INVOICES</t>
  </si>
  <si>
    <t>23817 S Glenburn Dr</t>
  </si>
  <si>
    <t>A-023606</t>
  </si>
  <si>
    <t>McCaig, Carol</t>
  </si>
  <si>
    <t>801 E Grandview Rd</t>
  </si>
  <si>
    <t>A-024031</t>
  </si>
  <si>
    <t>McFarland, Sean</t>
  </si>
  <si>
    <t>17706 E Happy rd</t>
  </si>
  <si>
    <t>A-008100</t>
  </si>
  <si>
    <t>Meador, Tina &amp; Jason</t>
  </si>
  <si>
    <t>3832 W Flynn Ln</t>
  </si>
  <si>
    <t>A-024245</t>
  </si>
  <si>
    <t>Merill. Jennifer</t>
  </si>
  <si>
    <t>3347 N Loma Vista</t>
  </si>
  <si>
    <t>A-002415</t>
  </si>
  <si>
    <t>Mestaz Daniel</t>
  </si>
  <si>
    <t>1446 N La Rosa Dr</t>
  </si>
  <si>
    <t>A-011741</t>
  </si>
  <si>
    <t>Miles, Ann</t>
  </si>
  <si>
    <t>4102 W Port Au Prince Lane</t>
  </si>
  <si>
    <t>A-024781</t>
  </si>
  <si>
    <t>Murphy, David</t>
  </si>
  <si>
    <t>697 E Boston St</t>
  </si>
  <si>
    <t>A-024750</t>
  </si>
  <si>
    <t>Muthart, John</t>
  </si>
  <si>
    <t>1301 S Crossbow Pl</t>
  </si>
  <si>
    <t>A-000065</t>
  </si>
  <si>
    <t>Narwani, Guarav</t>
  </si>
  <si>
    <t>12239 E Cortez Dr</t>
  </si>
  <si>
    <t>A-024047</t>
  </si>
  <si>
    <t>Newson, Valerie</t>
  </si>
  <si>
    <t>18108 E Bellerive Dr</t>
  </si>
  <si>
    <t>A-024985</t>
  </si>
  <si>
    <t>Ngn, Helen</t>
  </si>
  <si>
    <t>4010 W Muriel Drive</t>
  </si>
  <si>
    <t>A-023557</t>
  </si>
  <si>
    <t>Norris, Edward</t>
  </si>
  <si>
    <t>3653 E Colter St</t>
  </si>
  <si>
    <t>A-024863</t>
  </si>
  <si>
    <t>Olson, Andy</t>
  </si>
  <si>
    <t>4502 W Myrtle Ave</t>
  </si>
  <si>
    <t>A-022896</t>
  </si>
  <si>
    <t>Patino, Cynthia</t>
  </si>
  <si>
    <t>2405 N Travis</t>
  </si>
  <si>
    <t>A-025252</t>
  </si>
  <si>
    <t>Patton, Bruce</t>
  </si>
  <si>
    <t>7611 West Cinnabar Avenue</t>
  </si>
  <si>
    <t>A-024924</t>
  </si>
  <si>
    <t>Pedersen, Sean</t>
  </si>
  <si>
    <t>6133 W Altadena Ave</t>
  </si>
  <si>
    <t>A-024098</t>
  </si>
  <si>
    <t>Petty, Alene</t>
  </si>
  <si>
    <t>3641 E Enrose Street</t>
  </si>
  <si>
    <t>A-007722</t>
  </si>
  <si>
    <t>Pickney, Olene and Don</t>
  </si>
  <si>
    <t>29731 N. 67th Way</t>
  </si>
  <si>
    <t>Sunday</t>
  </si>
  <si>
    <t>A-011781</t>
  </si>
  <si>
    <t>Plati, Mike</t>
  </si>
  <si>
    <t>8914 E Sutton Dr</t>
  </si>
  <si>
    <t>A-010096</t>
  </si>
  <si>
    <t>Pollak, Michael</t>
  </si>
  <si>
    <t>14202 N 45th St</t>
  </si>
  <si>
    <t>A-024769</t>
  </si>
  <si>
    <t>Poulin, Becky</t>
  </si>
  <si>
    <t>14421 E Pecos Rd</t>
  </si>
  <si>
    <t>A-025209</t>
  </si>
  <si>
    <t>Ramirez, Ray</t>
  </si>
  <si>
    <t>5212 W Desert Dr.</t>
  </si>
  <si>
    <t>A-008758</t>
  </si>
  <si>
    <t>Reabold, Jack</t>
  </si>
  <si>
    <t>12307 E Teakwood Drive</t>
  </si>
  <si>
    <t>A-025037</t>
  </si>
  <si>
    <t>Reynolds, Shane</t>
  </si>
  <si>
    <t>7432 W Villa Chula</t>
  </si>
  <si>
    <t>A-012619</t>
  </si>
  <si>
    <t>Robinson, Dawn and Sam</t>
  </si>
  <si>
    <t>13608 W Roanoke Ave</t>
  </si>
  <si>
    <t>A-025455</t>
  </si>
  <si>
    <t>Robison, Denise</t>
  </si>
  <si>
    <t>24172 N 168th Ln</t>
  </si>
  <si>
    <t>A-024694</t>
  </si>
  <si>
    <t>Rowan, Jim</t>
  </si>
  <si>
    <t>1837 E Pebble Beach Drive</t>
  </si>
  <si>
    <t>A-023972</t>
  </si>
  <si>
    <t>Ryan, Victoria</t>
  </si>
  <si>
    <t>1610 W Blaylock Drive</t>
  </si>
  <si>
    <t>A-023858</t>
  </si>
  <si>
    <t>Schider, Caitlin</t>
  </si>
  <si>
    <t>13439 S 47th Way</t>
  </si>
  <si>
    <t>A-008345</t>
  </si>
  <si>
    <t>Schneider, Phillip</t>
  </si>
  <si>
    <t>8904 N 15th lane</t>
  </si>
  <si>
    <t>A-024774</t>
  </si>
  <si>
    <t>Schoonover, Laurie</t>
  </si>
  <si>
    <t>2751 E Bridgeport Pkwy</t>
  </si>
  <si>
    <t>A-024400</t>
  </si>
  <si>
    <t>Seifert, Alexander</t>
  </si>
  <si>
    <t>1221 W Bartlett Way</t>
  </si>
  <si>
    <t>A-024609</t>
  </si>
  <si>
    <t>Shewmaker, Doug</t>
  </si>
  <si>
    <t>11085 East Bella Vista Drive</t>
  </si>
  <si>
    <t>A-023468</t>
  </si>
  <si>
    <t>Smith, Stephanie</t>
  </si>
  <si>
    <t>5221 E Windsor Ave</t>
  </si>
  <si>
    <t>A-023564</t>
  </si>
  <si>
    <t>Sonoskey, Nathan</t>
  </si>
  <si>
    <t>3425 E Turney Avenue</t>
  </si>
  <si>
    <t>A-009432</t>
  </si>
  <si>
    <t>Sowers, Nancy &amp; Gerald</t>
  </si>
  <si>
    <t>2101 E Gelding Dr.</t>
  </si>
  <si>
    <t>A-008287</t>
  </si>
  <si>
    <t>Spaw, Steve</t>
  </si>
  <si>
    <t>6102 W Caribbean Ln.</t>
  </si>
  <si>
    <t>A-024845</t>
  </si>
  <si>
    <t>Spears, Michelle</t>
  </si>
  <si>
    <t>3077 E La Costa Dr</t>
  </si>
  <si>
    <t>A-000863</t>
  </si>
  <si>
    <t>Standerfer, Robert</t>
  </si>
  <si>
    <t>501 W Wilshire Dr</t>
  </si>
  <si>
    <t>A-025397</t>
  </si>
  <si>
    <t>Sykora, Cheryl</t>
  </si>
  <si>
    <t>8040 W Tonopah Dr</t>
  </si>
  <si>
    <t>A-025446</t>
  </si>
  <si>
    <t>Teters, Shawn</t>
  </si>
  <si>
    <t>21918 N 90th Avenue</t>
  </si>
  <si>
    <t>A-011339</t>
  </si>
  <si>
    <t>Tomy, Ashley</t>
  </si>
  <si>
    <t>1907 E Magdalena Dr</t>
  </si>
  <si>
    <t>A-006591</t>
  </si>
  <si>
    <t>Torres, George</t>
  </si>
  <si>
    <t>3041 W Summit Walk Ct</t>
  </si>
  <si>
    <t>Anthem</t>
  </si>
  <si>
    <t>A-024241</t>
  </si>
  <si>
    <t>Torrez, Tom &amp; Suzan</t>
  </si>
  <si>
    <t>2919 E Dartmouth Street</t>
  </si>
  <si>
    <t>A-023483</t>
  </si>
  <si>
    <t>Trujillo, Dino</t>
  </si>
  <si>
    <t>3426 N 8th Ave</t>
  </si>
  <si>
    <t>A-010067</t>
  </si>
  <si>
    <t>Western Vistas</t>
  </si>
  <si>
    <t>4055 N 79th Ave</t>
  </si>
  <si>
    <t>A-006003</t>
  </si>
  <si>
    <t>Crosley, Jessica and Clint</t>
  </si>
  <si>
    <t>1732 W. Hopi Drive</t>
  </si>
  <si>
    <t>A-004807</t>
  </si>
  <si>
    <t>Koenig, Kathryn</t>
  </si>
  <si>
    <t>16216 E Saguaro Blvd</t>
  </si>
  <si>
    <t>A-050308</t>
  </si>
  <si>
    <t>Koser, Christine</t>
  </si>
  <si>
    <t>3835 West Sunnyside Drive</t>
  </si>
  <si>
    <t>A-003191</t>
  </si>
  <si>
    <t>Mehta, Jamsheed</t>
  </si>
  <si>
    <t>2715 E. Gary Way</t>
  </si>
  <si>
    <t>A-007029</t>
  </si>
  <si>
    <t>Nelson, Mark</t>
  </si>
  <si>
    <t>7964 S. Dromedary</t>
  </si>
  <si>
    <t>A-062092</t>
  </si>
  <si>
    <t>Patten, Barry Van</t>
  </si>
  <si>
    <t>6321 East Marilyn Road</t>
  </si>
  <si>
    <t>A-023331</t>
  </si>
  <si>
    <t>Pignotti, Chris &amp; Joanne</t>
  </si>
  <si>
    <t>15645 N. 20th Ave.</t>
  </si>
  <si>
    <t>A-008958</t>
  </si>
  <si>
    <t>Schoeb, Jean</t>
  </si>
  <si>
    <t>5128 W Aster Dr</t>
  </si>
  <si>
    <t>A-056439</t>
  </si>
  <si>
    <t>Stamper, Tatum</t>
  </si>
  <si>
    <t>8854 East Calle Buena Vista</t>
  </si>
  <si>
    <t>A-049841</t>
  </si>
  <si>
    <t>Thies, Tim</t>
  </si>
  <si>
    <t>136 East Myrna Lane</t>
  </si>
  <si>
    <t>A-002466</t>
  </si>
  <si>
    <t>Boos, Amanda</t>
  </si>
  <si>
    <t>3028 E Erie St</t>
  </si>
  <si>
    <t>A-006968</t>
  </si>
  <si>
    <t>Di Santo, Santino</t>
  </si>
  <si>
    <t>19840 N. 14th St.</t>
  </si>
  <si>
    <t>A-005185</t>
  </si>
  <si>
    <t>Seiger, Barbara</t>
  </si>
  <si>
    <t>1071 S. Longmore St.</t>
  </si>
  <si>
    <t>A-006630</t>
  </si>
  <si>
    <t>Hollis, Branda</t>
  </si>
  <si>
    <t>10859 W. Utopia Rd.</t>
  </si>
  <si>
    <t>Sun City</t>
  </si>
  <si>
    <t>A-003811</t>
  </si>
  <si>
    <t>Douglas, Carolyn</t>
  </si>
  <si>
    <t>238 E Smoke Tree Rd</t>
  </si>
  <si>
    <t>A-003428</t>
  </si>
  <si>
    <t>Gellenbeck, Brian</t>
  </si>
  <si>
    <t>3343 E Renee Dr</t>
  </si>
  <si>
    <t>A-023881</t>
  </si>
  <si>
    <t>Gratton, Taylor</t>
  </si>
  <si>
    <t>1417 E Glenhaven Dr</t>
  </si>
  <si>
    <t>A-008070</t>
  </si>
  <si>
    <t>Graves, Will</t>
  </si>
  <si>
    <t>523 S. Albert Ave.</t>
  </si>
  <si>
    <t>A-007669</t>
  </si>
  <si>
    <t>Nary, David</t>
  </si>
  <si>
    <t>2049 E. Alameda Dr.</t>
  </si>
  <si>
    <t>A-056811</t>
  </si>
  <si>
    <t>Pasternak, Regis</t>
  </si>
  <si>
    <t>6795 West Skylark Drive</t>
  </si>
  <si>
    <t>A-009760</t>
  </si>
  <si>
    <t>Soltero, Nick</t>
  </si>
  <si>
    <t>25219 North 42nd Drive</t>
  </si>
  <si>
    <t>A-006235</t>
  </si>
  <si>
    <t>Singer, Garrison</t>
  </si>
  <si>
    <t>8131 N 18th Way</t>
  </si>
  <si>
    <t>A-051484</t>
  </si>
  <si>
    <t>Zeciri, Rose</t>
  </si>
  <si>
    <t>4154 East Silverbell Road</t>
  </si>
  <si>
    <t>A-032715</t>
  </si>
  <si>
    <t>Witt, Jesse &amp; Jennifer</t>
  </si>
  <si>
    <t>3107 East Maryland Avenue</t>
  </si>
  <si>
    <t>A-033235</t>
  </si>
  <si>
    <t>Elliot, April</t>
  </si>
  <si>
    <t>6429 East Raftriver Street</t>
  </si>
  <si>
    <t>A-055607</t>
  </si>
  <si>
    <t>Hamm, Joan</t>
  </si>
  <si>
    <t>1191 East Avenida Grande</t>
  </si>
  <si>
    <t>A-052586</t>
  </si>
  <si>
    <t>Holzner, Brian</t>
  </si>
  <si>
    <t>8784 West Tierra Buena Lane</t>
  </si>
  <si>
    <t>A-052204</t>
  </si>
  <si>
    <t>Jacobson, Tyler</t>
  </si>
  <si>
    <t>1624 East Beverly Road</t>
  </si>
  <si>
    <t>A-051017</t>
  </si>
  <si>
    <t>Verstegen, Dominic</t>
  </si>
  <si>
    <t>5001 East Calle Redonda</t>
  </si>
  <si>
    <t>A-053014</t>
  </si>
  <si>
    <t>Wrobel, Michelle</t>
  </si>
  <si>
    <t>2237 West Peak View Road</t>
  </si>
  <si>
    <t>A-031179</t>
  </si>
  <si>
    <t>Nations, Jack</t>
  </si>
  <si>
    <t>5410 North Canyon Rise Place</t>
  </si>
  <si>
    <t>A-047000</t>
  </si>
  <si>
    <t>Van Raalte, Holly</t>
  </si>
  <si>
    <t>6316 West Vineyard Road</t>
  </si>
  <si>
    <t>A-028434</t>
  </si>
  <si>
    <t>Wallace, Donna</t>
  </si>
  <si>
    <t>7597 N Evans Rd</t>
  </si>
  <si>
    <t>A-003492</t>
  </si>
  <si>
    <t>West, Michael</t>
  </si>
  <si>
    <t>15187 E Verbena Dr</t>
  </si>
  <si>
    <t>A-024709</t>
  </si>
  <si>
    <t>Whitbread, Melissa</t>
  </si>
  <si>
    <t>5826 S Kenwood Lane</t>
  </si>
  <si>
    <t>A-034013</t>
  </si>
  <si>
    <t>Willey, Rod</t>
  </si>
  <si>
    <t>49587 West Mayer Boulevard</t>
  </si>
  <si>
    <t>A-014141</t>
  </si>
  <si>
    <t>Williams, Delrick</t>
  </si>
  <si>
    <t>44404 West Windrose Drive</t>
  </si>
  <si>
    <t>A-034815</t>
  </si>
  <si>
    <t>Wilson, Carroll &amp; Angela</t>
  </si>
  <si>
    <t>8539 West Midway Avenue</t>
  </si>
  <si>
    <t>A-028754</t>
  </si>
  <si>
    <t>Wood, Kristi</t>
  </si>
  <si>
    <t>4215 North Montezuma Dr</t>
  </si>
  <si>
    <t>Eloy</t>
  </si>
  <si>
    <t>A-014075</t>
  </si>
  <si>
    <t>Woodard, Jon</t>
  </si>
  <si>
    <t>406 East Saguaro Street</t>
  </si>
  <si>
    <t>A-005625</t>
  </si>
  <si>
    <t>Zraket, Alexis</t>
  </si>
  <si>
    <t>326 E. Hope St.</t>
  </si>
  <si>
    <t>A-047058</t>
  </si>
  <si>
    <t>Andersen, Chris</t>
  </si>
  <si>
    <t>2130 Kenton Way</t>
  </si>
  <si>
    <t>A-053183</t>
  </si>
  <si>
    <t>Coles, Dianna</t>
  </si>
  <si>
    <t>910 Prior Avenue</t>
  </si>
  <si>
    <t>A-050533</t>
  </si>
  <si>
    <t>Corcoran, Brian</t>
  </si>
  <si>
    <t>6248 West Copper Leaf Drive</t>
  </si>
  <si>
    <t>A-062248</t>
  </si>
  <si>
    <t>Garippa, Ken</t>
  </si>
  <si>
    <t>704 West Hess Avenue</t>
  </si>
  <si>
    <t>A-050513</t>
  </si>
  <si>
    <t>Hege, Laura</t>
  </si>
  <si>
    <t>11550 West Kalamansi Drive</t>
  </si>
  <si>
    <t>Marana</t>
  </si>
  <si>
    <t>A-046394</t>
  </si>
  <si>
    <t>Keator, Lance</t>
  </si>
  <si>
    <t>9868 Cotton Road</t>
  </si>
  <si>
    <t>Florence</t>
  </si>
  <si>
    <t>A-056726</t>
  </si>
  <si>
    <t>McCullough, Lamont</t>
  </si>
  <si>
    <t>3785 Long Drive</t>
  </si>
  <si>
    <t>A-013427</t>
  </si>
  <si>
    <t>Armel, Carol</t>
  </si>
  <si>
    <t>7067 W Mance Ave</t>
  </si>
  <si>
    <t>A-034927</t>
  </si>
  <si>
    <t>Crocker, Curt</t>
  </si>
  <si>
    <t>14181 South Berwick Road</t>
  </si>
  <si>
    <t>A-046403</t>
  </si>
  <si>
    <t>Garcia, Chantel</t>
  </si>
  <si>
    <t>12444 West Paseo Del Sol</t>
  </si>
  <si>
    <t>A-046784</t>
  </si>
  <si>
    <t>Hanson, Rick</t>
  </si>
  <si>
    <t>544 West Bismark Street</t>
  </si>
  <si>
    <t>A-028686</t>
  </si>
  <si>
    <t>Harry, Keith</t>
  </si>
  <si>
    <t>7005 N Northlight Dr</t>
  </si>
  <si>
    <t>A-035641</t>
  </si>
  <si>
    <t>Hartsell, Jennifer</t>
  </si>
  <si>
    <t>782 East Brenda Drive</t>
  </si>
  <si>
    <t>A-014079</t>
  </si>
  <si>
    <t>Johnson, Boyd</t>
  </si>
  <si>
    <t>1205 North Palo Verde Lane</t>
  </si>
  <si>
    <t>A-028683</t>
  </si>
  <si>
    <t>Mann, Brenda</t>
  </si>
  <si>
    <t>10329 w Mustang Dr</t>
  </si>
  <si>
    <t>A-035952</t>
  </si>
  <si>
    <t>Mccarley, Cami</t>
  </si>
  <si>
    <t>696 East Black Diamond Drive</t>
  </si>
  <si>
    <t>A-049514</t>
  </si>
  <si>
    <t>Meisenheimer, Robert</t>
  </si>
  <si>
    <t>12396 North Mount Bigelow Road</t>
  </si>
  <si>
    <t>Oro Valley</t>
  </si>
  <si>
    <t>A-035181</t>
  </si>
  <si>
    <t>Morris Residence</t>
  </si>
  <si>
    <t>3027 North Spring Lane</t>
  </si>
  <si>
    <t>A-034909</t>
  </si>
  <si>
    <t>Myers, Charlie</t>
  </si>
  <si>
    <t>2436 North Sandstone Place</t>
  </si>
  <si>
    <t>A-035149</t>
  </si>
  <si>
    <t>Nielsen, Leanna</t>
  </si>
  <si>
    <t>658 West Silver Reef Court</t>
  </si>
  <si>
    <t>A-049154</t>
  </si>
  <si>
    <t>Pelletier, Brenda</t>
  </si>
  <si>
    <t>490 East Cactus Wren Drive</t>
  </si>
  <si>
    <t>A-014089</t>
  </si>
  <si>
    <t>Rogers, Mimi</t>
  </si>
  <si>
    <t>108 West Flagstone Place</t>
  </si>
  <si>
    <t>A-031525</t>
  </si>
  <si>
    <t>Troncoso, Joseph</t>
  </si>
  <si>
    <t>3042 Excursion Lane</t>
  </si>
  <si>
    <t>A-013806</t>
  </si>
  <si>
    <t>Uihlein, Charli</t>
  </si>
  <si>
    <t>7506 N Shirley Lane</t>
  </si>
  <si>
    <t>A-048968</t>
  </si>
  <si>
    <t>Eden, Daniel</t>
  </si>
  <si>
    <t>6806 North 7th Street</t>
  </si>
  <si>
    <t>A-013414</t>
  </si>
  <si>
    <t>Von Ronne, Toni</t>
  </si>
  <si>
    <t>9935 W Altadena Dr</t>
  </si>
  <si>
    <t>A-028473</t>
  </si>
  <si>
    <t>Wermers, Heather &amp; Mark</t>
  </si>
  <si>
    <t>190 S La Amador Trail</t>
  </si>
  <si>
    <t>A-013760</t>
  </si>
  <si>
    <t>Yost Fuentes, Melissa</t>
  </si>
  <si>
    <t>1402 N Koenig Drive</t>
  </si>
  <si>
    <t>A-023546</t>
  </si>
  <si>
    <t>Swanson, Grace</t>
  </si>
  <si>
    <t>5126 E Mulberry Dr</t>
  </si>
  <si>
    <t>A-053693</t>
  </si>
  <si>
    <t>Allen, Ryan</t>
  </si>
  <si>
    <t>701 East Brentrup Drive</t>
  </si>
  <si>
    <t>A-008664</t>
  </si>
  <si>
    <t>Anglin, Robert</t>
  </si>
  <si>
    <t>8507 E San Marcos Dr</t>
  </si>
  <si>
    <t>A-051072</t>
  </si>
  <si>
    <t>Dryden, Theodore</t>
  </si>
  <si>
    <t>120 East Marlette Avenue</t>
  </si>
  <si>
    <t>A-003573</t>
  </si>
  <si>
    <t>Freer, Harold &amp; Kris</t>
  </si>
  <si>
    <t>2032 W. Alvarado Rd.</t>
  </si>
  <si>
    <t>A-009343</t>
  </si>
  <si>
    <t>Garcia, Mike</t>
  </si>
  <si>
    <t>11394 W. Lincoln St.</t>
  </si>
  <si>
    <t>A-057302</t>
  </si>
  <si>
    <t>Gobel, Cindy</t>
  </si>
  <si>
    <t>11349 South Santa Fe Lane</t>
  </si>
  <si>
    <t>A-000008</t>
  </si>
  <si>
    <t>Gross, Judy &amp; Robert</t>
  </si>
  <si>
    <t>20276 E Cloud Rd</t>
  </si>
  <si>
    <t>A-051806</t>
  </si>
  <si>
    <t>Hernandez, Vicente</t>
  </si>
  <si>
    <t>1053 North Dresden</t>
  </si>
  <si>
    <t>A-052397</t>
  </si>
  <si>
    <t>Herzog, Steven</t>
  </si>
  <si>
    <t>4618 East Glenrosa Avenue</t>
  </si>
  <si>
    <t>A-050523</t>
  </si>
  <si>
    <t>Koufidakis, Angela</t>
  </si>
  <si>
    <t>7544 East Laurel Street</t>
  </si>
  <si>
    <t>A-051333</t>
  </si>
  <si>
    <t>Kuppannagari, Sasi</t>
  </si>
  <si>
    <t>8440 East Thoroughbred Trail</t>
  </si>
  <si>
    <t>A-006012</t>
  </si>
  <si>
    <t>Lateiner, Roger</t>
  </si>
  <si>
    <t>601 E Tam-O-Shanter Dr.</t>
  </si>
  <si>
    <t>A-022245</t>
  </si>
  <si>
    <t>Lay, Walter</t>
  </si>
  <si>
    <t>4305 W Ivanhoe St</t>
  </si>
  <si>
    <t>A-050541</t>
  </si>
  <si>
    <t>Martinez, Amy</t>
  </si>
  <si>
    <t>17610 North 85th Lane</t>
  </si>
  <si>
    <t>A-049838</t>
  </si>
  <si>
    <t>Mattouk. Pierre</t>
  </si>
  <si>
    <t>5248 South Luke Drive</t>
  </si>
  <si>
    <t>A-003792</t>
  </si>
  <si>
    <t>McVey, Chris</t>
  </si>
  <si>
    <t>4925 W Frier Dr</t>
  </si>
  <si>
    <t>Megan Bradley</t>
  </si>
  <si>
    <t>A-002353</t>
  </si>
  <si>
    <t>Novak, Michelle</t>
  </si>
  <si>
    <t>1570 W Megan St</t>
  </si>
  <si>
    <t>A-003773</t>
  </si>
  <si>
    <t>Olson, Carmen &amp; James</t>
  </si>
  <si>
    <t>4252 W. Kitty Hawk</t>
  </si>
  <si>
    <t>A-028650</t>
  </si>
  <si>
    <t>Patton, David</t>
  </si>
  <si>
    <t>20124 E Melissa Pl</t>
  </si>
  <si>
    <t>A-002068</t>
  </si>
  <si>
    <t>Perez, Diana</t>
  </si>
  <si>
    <t>9009 W Mountain View Rd</t>
  </si>
  <si>
    <t>A-000475</t>
  </si>
  <si>
    <t>Pham, Kevin</t>
  </si>
  <si>
    <t>7209 W Bloomfield Rd</t>
  </si>
  <si>
    <t>A-033018</t>
  </si>
  <si>
    <t>Qadoori, Lufi</t>
  </si>
  <si>
    <t>9060 West Fullam Street</t>
  </si>
  <si>
    <t>A-008761</t>
  </si>
  <si>
    <t>Reihard, Mr. Harold and Judy</t>
  </si>
  <si>
    <t>6619 S. Dorsey Ln.</t>
  </si>
  <si>
    <t>A-051099</t>
  </si>
  <si>
    <t>Scott, Perry</t>
  </si>
  <si>
    <t>3436 South Valerie Drive</t>
  </si>
  <si>
    <t>A-050771</t>
  </si>
  <si>
    <t>Serrano, Ernie</t>
  </si>
  <si>
    <t>4431 South Rio Drive</t>
  </si>
  <si>
    <t>A-007673</t>
  </si>
  <si>
    <t>Teel, Joyce</t>
  </si>
  <si>
    <t>5907 W Monte Cristo Ave</t>
  </si>
  <si>
    <t>A-004161</t>
  </si>
  <si>
    <t>Tobin, Jack and Katie</t>
  </si>
  <si>
    <t>1971 E. El Freda Rd</t>
  </si>
  <si>
    <t>A-006607</t>
  </si>
  <si>
    <t>Tran, Bac</t>
  </si>
  <si>
    <t>2365 S. Paseo Loma Circle</t>
  </si>
  <si>
    <t>A-047670</t>
  </si>
  <si>
    <t>Abdelmonem, Yousef</t>
  </si>
  <si>
    <t>1431 East Century Avenue</t>
  </si>
  <si>
    <t>A-023028</t>
  </si>
  <si>
    <t>Anderson, Jack &amp; Melinda</t>
  </si>
  <si>
    <t>6136 E Joan De Arc Ave</t>
  </si>
  <si>
    <t>A-034122</t>
  </si>
  <si>
    <t>Armenta, Rosie</t>
  </si>
  <si>
    <t>12747 West Edgemont Avenue</t>
  </si>
  <si>
    <t>A-033880</t>
  </si>
  <si>
    <t>Ballard, Kim</t>
  </si>
  <si>
    <t>18605 North 90th Way</t>
  </si>
  <si>
    <t>A-033266</t>
  </si>
  <si>
    <t>Barchas, David</t>
  </si>
  <si>
    <t>12571 East Jenan Drive</t>
  </si>
  <si>
    <t>A-032286</t>
  </si>
  <si>
    <t>Bell, Trevor</t>
  </si>
  <si>
    <t>2147 South 257th Drive</t>
  </si>
  <si>
    <t>A-001350</t>
  </si>
  <si>
    <t>Blach, Gail &amp; Dennis</t>
  </si>
  <si>
    <t>10935 W Golden Lane</t>
  </si>
  <si>
    <t>A-034220</t>
  </si>
  <si>
    <t>Borne, Steven</t>
  </si>
  <si>
    <t>9543 East Plata Circle</t>
  </si>
  <si>
    <t>A-031814</t>
  </si>
  <si>
    <t>Boykin, Bobby</t>
  </si>
  <si>
    <t>6846 North 3rd Avenue</t>
  </si>
  <si>
    <t>A-028244</t>
  </si>
  <si>
    <t>Burbank, Megan and KJ</t>
  </si>
  <si>
    <t>18401 N 71St Dr</t>
  </si>
  <si>
    <t>A-049515</t>
  </si>
  <si>
    <t>Carr, Christopher</t>
  </si>
  <si>
    <t>15224 South 15th Avenue</t>
  </si>
  <si>
    <t>A-004502</t>
  </si>
  <si>
    <t>Carruthers, Connie</t>
  </si>
  <si>
    <t>9440 E. Pampa Ave.</t>
  </si>
  <si>
    <t>A-034110</t>
  </si>
  <si>
    <t>Chapman, Steven</t>
  </si>
  <si>
    <t>1114 West Pasadena Avenue</t>
  </si>
  <si>
    <t>A-047827</t>
  </si>
  <si>
    <t>Coler, e Matthew and Natasha</t>
  </si>
  <si>
    <t>4445 South Leisure Way</t>
  </si>
  <si>
    <t>A-022610</t>
  </si>
  <si>
    <t>Collins, Julie</t>
  </si>
  <si>
    <t>1021 W Georgia Ave</t>
  </si>
  <si>
    <t>A-022409</t>
  </si>
  <si>
    <t>Colombo, Tom and Ana</t>
  </si>
  <si>
    <t>2807 N 70th Drive</t>
  </si>
  <si>
    <t>A-034817</t>
  </si>
  <si>
    <t>Coy, Joshua</t>
  </si>
  <si>
    <t>18515 West Acacia Drive</t>
  </si>
  <si>
    <t>A-004495</t>
  </si>
  <si>
    <t>Deignan, Casey</t>
  </si>
  <si>
    <t>20444 N 37th Dr</t>
  </si>
  <si>
    <t>A-008362</t>
  </si>
  <si>
    <t>Denney, Margaret</t>
  </si>
  <si>
    <t>5837 E Larkspur Dr</t>
  </si>
  <si>
    <t>A-004156</t>
  </si>
  <si>
    <t>Denton, Brad &amp; Sherri</t>
  </si>
  <si>
    <t>3056 E Kingbird Place</t>
  </si>
  <si>
    <t>A-035356</t>
  </si>
  <si>
    <t>Dickson, Stephen</t>
  </si>
  <si>
    <t>21211 South 142nd Street</t>
  </si>
  <si>
    <t>A-047094</t>
  </si>
  <si>
    <t>Dietrich, Mike</t>
  </si>
  <si>
    <t>8244 West Quail Avenue</t>
  </si>
  <si>
    <t>A-047193</t>
  </si>
  <si>
    <t>Duchamp, Jodi</t>
  </si>
  <si>
    <t>2985 East Santa Fe Lane</t>
  </si>
  <si>
    <t>A-031174</t>
  </si>
  <si>
    <t>Dumity, Alexa</t>
  </si>
  <si>
    <t>8021 North 14th Avenue</t>
  </si>
  <si>
    <t>A-049419</t>
  </si>
  <si>
    <t>Dyer, Mary Ann &amp; Thomas</t>
  </si>
  <si>
    <t>10024 East Emerald Drive</t>
  </si>
  <si>
    <t>A-032845</t>
  </si>
  <si>
    <t>Earhar, Ken</t>
  </si>
  <si>
    <t>33668 North 78th Place</t>
  </si>
  <si>
    <t>A-049368</t>
  </si>
  <si>
    <t>Easterling, Hattie &amp; Rory</t>
  </si>
  <si>
    <t>5226 West Milada Drive</t>
  </si>
  <si>
    <t>A-008291</t>
  </si>
  <si>
    <t>Elder, Dan</t>
  </si>
  <si>
    <t>15641 N 60th Way</t>
  </si>
  <si>
    <t>A-003149</t>
  </si>
  <si>
    <t>Fielder, Debbie and Mike</t>
  </si>
  <si>
    <t>19430 N 36th Place</t>
  </si>
  <si>
    <t>A-012962</t>
  </si>
  <si>
    <t>Garland, Gregg</t>
  </si>
  <si>
    <t>9835 E Nopal Ave.</t>
  </si>
  <si>
    <t>A-048445</t>
  </si>
  <si>
    <t>Gorton, Dawn</t>
  </si>
  <si>
    <t>2502 North 120th Drive</t>
  </si>
  <si>
    <t>A-007781</t>
  </si>
  <si>
    <t>Gorzynski, Elizabeth</t>
  </si>
  <si>
    <t>6737 E Coronado Rd</t>
  </si>
  <si>
    <t>A-009773</t>
  </si>
  <si>
    <t>Graham, Arthur &amp; Patricia</t>
  </si>
  <si>
    <t>10179 W Avenida Del Rey</t>
  </si>
  <si>
    <t>A-002747</t>
  </si>
  <si>
    <t>Gustafson. Scott</t>
  </si>
  <si>
    <t>1816 S. 141st Pl.</t>
  </si>
  <si>
    <t>A-036044</t>
  </si>
  <si>
    <t>Hanson, Shelley</t>
  </si>
  <si>
    <t>2115 North Rascon Loop</t>
  </si>
  <si>
    <t>A-000519</t>
  </si>
  <si>
    <t>Haselberger, James and Sandra</t>
  </si>
  <si>
    <t>36402 N Derringer Court</t>
  </si>
  <si>
    <t>Carefree</t>
  </si>
  <si>
    <t>A-031899</t>
  </si>
  <si>
    <t>Hodder, Tim</t>
  </si>
  <si>
    <t>1528 West Marco Polo Road</t>
  </si>
  <si>
    <t>A-049445</t>
  </si>
  <si>
    <t>Hyde, Gary</t>
  </si>
  <si>
    <t>5331 West Morten Avenue</t>
  </si>
  <si>
    <t>A-048753</t>
  </si>
  <si>
    <t>Jacob, Anish</t>
  </si>
  <si>
    <t>9205 West Patrick Lane</t>
  </si>
  <si>
    <t>A-039011</t>
  </si>
  <si>
    <t>Janco, Bob &amp; Mary</t>
  </si>
  <si>
    <t>22015 North 65th Avenue</t>
  </si>
  <si>
    <t>A-007016</t>
  </si>
  <si>
    <t>Jimenez, Martha</t>
  </si>
  <si>
    <t>1872 S Comanche Drive</t>
  </si>
  <si>
    <t>A-034518</t>
  </si>
  <si>
    <t>Johnson, Tommy</t>
  </si>
  <si>
    <t>14381 West Poinsettia Drive</t>
  </si>
  <si>
    <t>A-034472</t>
  </si>
  <si>
    <t>Johnson, Victor</t>
  </si>
  <si>
    <t>7301 North 23rd Drive</t>
  </si>
  <si>
    <t>A-034238</t>
  </si>
  <si>
    <t>Jones, Stephen</t>
  </si>
  <si>
    <t>12842 West Rosewood Drive</t>
  </si>
  <si>
    <t>A-005295</t>
  </si>
  <si>
    <t>Klutz, Teresa and Korey</t>
  </si>
  <si>
    <t>29852 W Whitton Ave</t>
  </si>
  <si>
    <t>A-031443</t>
  </si>
  <si>
    <t>Koza, Dana</t>
  </si>
  <si>
    <t>1517 West Kiowa Avenue</t>
  </si>
  <si>
    <t>A-034642</t>
  </si>
  <si>
    <t>Lametti, Kyle</t>
  </si>
  <si>
    <t>16425 North 64th Place</t>
  </si>
  <si>
    <t>A-035210</t>
  </si>
  <si>
    <t>Lang, Jason</t>
  </si>
  <si>
    <t>629 West Racine Loop</t>
  </si>
  <si>
    <t>A-047642</t>
  </si>
  <si>
    <t>Lehr, Christian</t>
  </si>
  <si>
    <t>101 East Pershing Avenue</t>
  </si>
  <si>
    <t>A-030906</t>
  </si>
  <si>
    <t>Longstaff, David</t>
  </si>
  <si>
    <t>4628 East Cholla Street</t>
  </si>
  <si>
    <t>A-004615</t>
  </si>
  <si>
    <t>Lunsford, Leanne</t>
  </si>
  <si>
    <t>8968 W. Tony Ct.</t>
  </si>
  <si>
    <t>A-002691</t>
  </si>
  <si>
    <t>Mahmud. Arif</t>
  </si>
  <si>
    <t>784 E Gemini Pl</t>
  </si>
  <si>
    <t>A-001182</t>
  </si>
  <si>
    <t>Marshall, Robert</t>
  </si>
  <si>
    <t>1051 E Tyson Crt</t>
  </si>
  <si>
    <t>A-004252</t>
  </si>
  <si>
    <t>Matthews, Nicole</t>
  </si>
  <si>
    <t>1513 E. San Juan Ave.</t>
  </si>
  <si>
    <t>A-024306</t>
  </si>
  <si>
    <t>Mccarthy, Michael &amp; Lorretta</t>
  </si>
  <si>
    <t>252 N Danielson Way</t>
  </si>
  <si>
    <t>A-003500</t>
  </si>
  <si>
    <t>McCormick, Matthew</t>
  </si>
  <si>
    <t>1920 E Loma Vista</t>
  </si>
  <si>
    <t>A-034614</t>
  </si>
  <si>
    <t>Meskill, Jade</t>
  </si>
  <si>
    <t>19024 East Vía De Palmas</t>
  </si>
  <si>
    <t>A-049855</t>
  </si>
  <si>
    <t>Meyer, Marley</t>
  </si>
  <si>
    <t>40920 North Hawk Ridge Trail</t>
  </si>
  <si>
    <t>A-024423</t>
  </si>
  <si>
    <t>Miller, Garrett</t>
  </si>
  <si>
    <t>732 E Beechnut Dr</t>
  </si>
  <si>
    <t>A-009352</t>
  </si>
  <si>
    <t>Moritz, Lynne</t>
  </si>
  <si>
    <t>9018 S 12th St</t>
  </si>
  <si>
    <t>A-004596</t>
  </si>
  <si>
    <t>Mundis, Michael</t>
  </si>
  <si>
    <t>1851 E La Jolla Drive</t>
  </si>
  <si>
    <t>A-031763</t>
  </si>
  <si>
    <t>Myers, Matthew</t>
  </si>
  <si>
    <t>3915 East Yucca Street</t>
  </si>
  <si>
    <t>A-007689</t>
  </si>
  <si>
    <t>Nachman, Dave</t>
  </si>
  <si>
    <t>1933 E La Jolla Dr.</t>
  </si>
  <si>
    <t>A-004831</t>
  </si>
  <si>
    <t>Nickeson, Kathleen</t>
  </si>
  <si>
    <t>6826 North 181st Avenue</t>
  </si>
  <si>
    <t>Waddell</t>
  </si>
  <si>
    <t>A-049432</t>
  </si>
  <si>
    <t>Nieman, Brian &amp; Diane</t>
  </si>
  <si>
    <t>11610 North 39th Lane</t>
  </si>
  <si>
    <t>A-006214</t>
  </si>
  <si>
    <t>O'Dowd, Barry</t>
  </si>
  <si>
    <t>2420 West Hearn Road</t>
  </si>
  <si>
    <t>A-028133</t>
  </si>
  <si>
    <t>Oehring, Ryan</t>
  </si>
  <si>
    <t>6559 E Morning Vista Ln</t>
  </si>
  <si>
    <t>A-024506</t>
  </si>
  <si>
    <t>Olson, Jennifer</t>
  </si>
  <si>
    <t>5731 E Tierra Buena  Ln</t>
  </si>
  <si>
    <t>A-001337</t>
  </si>
  <si>
    <t>Palmer, John</t>
  </si>
  <si>
    <t>914 N. 9th St.</t>
  </si>
  <si>
    <t>A-023588</t>
  </si>
  <si>
    <t>Palmisano, Ted</t>
  </si>
  <si>
    <t>8401 N 16th Ave</t>
  </si>
  <si>
    <t>A-034415</t>
  </si>
  <si>
    <t>Perez, Kaitlin</t>
  </si>
  <si>
    <t>3028 South Santa Barbara Circle</t>
  </si>
  <si>
    <t>A-002478</t>
  </si>
  <si>
    <t>Prezel, Stephanie</t>
  </si>
  <si>
    <t>18646 N 2nd Ave</t>
  </si>
  <si>
    <t>A-035600</t>
  </si>
  <si>
    <t>Prince, Cleveland</t>
  </si>
  <si>
    <t>1834 East Valencia Drive</t>
  </si>
  <si>
    <t>A-035813</t>
  </si>
  <si>
    <t>Quick, Stephen &amp; Annie</t>
  </si>
  <si>
    <t>15312 North 181st Drive</t>
  </si>
  <si>
    <t>A-011718</t>
  </si>
  <si>
    <t>Rasmussen, Geri</t>
  </si>
  <si>
    <t>1051 W Meseto Ave</t>
  </si>
  <si>
    <t>A-006345</t>
  </si>
  <si>
    <t>Rebennack, Sara</t>
  </si>
  <si>
    <t>2340 E. Peach Tree Dr.</t>
  </si>
  <si>
    <t>A-032490</t>
  </si>
  <si>
    <t>Richards, Tamara</t>
  </si>
  <si>
    <t>4710 East Sierra Vista Drive</t>
  </si>
  <si>
    <t>A-000578</t>
  </si>
  <si>
    <t>Roberts, Kelly &amp; Tony</t>
  </si>
  <si>
    <t>14215 N 43rd St</t>
  </si>
  <si>
    <t>A-031500</t>
  </si>
  <si>
    <t>Rodriguez, Alejandro</t>
  </si>
  <si>
    <t>8893 East Topeka Drive</t>
  </si>
  <si>
    <t>A-000980</t>
  </si>
  <si>
    <t>Roncone, Renee</t>
  </si>
  <si>
    <t>4519 E. Marconi Ave.</t>
  </si>
  <si>
    <t>A-034887</t>
  </si>
  <si>
    <t>Roy, Michael</t>
  </si>
  <si>
    <t>34226 North 5th Avenue</t>
  </si>
  <si>
    <t>A-034378</t>
  </si>
  <si>
    <t>Ryan, Deborah</t>
  </si>
  <si>
    <t>2436 East Evergreen Street</t>
  </si>
  <si>
    <t>A-030865</t>
  </si>
  <si>
    <t>Salay, Becca</t>
  </si>
  <si>
    <t>5618 East Everett Drive</t>
  </si>
  <si>
    <t>A-012297</t>
  </si>
  <si>
    <t>Sands Mike</t>
  </si>
  <si>
    <t>26152 N. 67th Dr.</t>
  </si>
  <si>
    <t>A-049668</t>
  </si>
  <si>
    <t>Shaffstall, Jene</t>
  </si>
  <si>
    <t>6901 East Sheena Drive</t>
  </si>
  <si>
    <t>A-023379</t>
  </si>
  <si>
    <t>Sherrard, Rodney</t>
  </si>
  <si>
    <t>6324 E Sandra Terrace</t>
  </si>
  <si>
    <t>A-003833</t>
  </si>
  <si>
    <t>Sima, Gary</t>
  </si>
  <si>
    <t>6838 W Villa Theresa Dr</t>
  </si>
  <si>
    <t>A-034213</t>
  </si>
  <si>
    <t>Smith, Steve</t>
  </si>
  <si>
    <t>872 North Sicily Drive</t>
  </si>
  <si>
    <t>A-034369</t>
  </si>
  <si>
    <t>Sokolowski, Robert</t>
  </si>
  <si>
    <t>3109 East Goldfinch Way</t>
  </si>
  <si>
    <t>A-006233</t>
  </si>
  <si>
    <t>Soricelli, Frank</t>
  </si>
  <si>
    <t>9935 E Western Sky Ln</t>
  </si>
  <si>
    <t>A-034145</t>
  </si>
  <si>
    <t>Sotelo, Giovanni</t>
  </si>
  <si>
    <t>12916 West Campbell Avenue</t>
  </si>
  <si>
    <t>A-033199</t>
  </si>
  <si>
    <t>Stasuik, George</t>
  </si>
  <si>
    <t>1673 South Boulder Street</t>
  </si>
  <si>
    <t>A-033933</t>
  </si>
  <si>
    <t>Sutton, Carrie &amp; Daniel</t>
  </si>
  <si>
    <t>9128 South Willow Drive</t>
  </si>
  <si>
    <t>A-013705</t>
  </si>
  <si>
    <t>Syjud, Harold</t>
  </si>
  <si>
    <t>1088 West Desert Lily Drive</t>
  </si>
  <si>
    <t>A-000063</t>
  </si>
  <si>
    <t>Taylor, Michelle and Ryan</t>
  </si>
  <si>
    <t>5435 W Monte Cristo Ave</t>
  </si>
  <si>
    <t>A-022382</t>
  </si>
  <si>
    <t>Thompson, Erskine &amp; Gloria</t>
  </si>
  <si>
    <t>208 N Cottonwood Dr</t>
  </si>
  <si>
    <t>A-033070</t>
  </si>
  <si>
    <t>Treesh, Teresa</t>
  </si>
  <si>
    <t>3010 West Kristal Way</t>
  </si>
  <si>
    <t>A-008658</t>
  </si>
  <si>
    <t>Trent, Robert H.</t>
  </si>
  <si>
    <t>6202 W Karen Lee Ln</t>
  </si>
  <si>
    <t>A-014081</t>
  </si>
  <si>
    <t>True, Carol</t>
  </si>
  <si>
    <t>953 West Lindbergh Avenue</t>
  </si>
  <si>
    <t>A-030726</t>
  </si>
  <si>
    <t>Tyrrell. Curt</t>
  </si>
  <si>
    <t>4705 E Laredo Ln</t>
  </si>
  <si>
    <t>A-062706</t>
  </si>
  <si>
    <t>Ankrah, Henry</t>
  </si>
  <si>
    <t>783 East Gemini Place</t>
  </si>
  <si>
    <t>A-055934</t>
  </si>
  <si>
    <t>Allison, Anothony</t>
  </si>
  <si>
    <t>4804 West Caron Street</t>
  </si>
  <si>
    <t>A-049012</t>
  </si>
  <si>
    <t>Batman, Ed</t>
  </si>
  <si>
    <t>2022 East Gardenia Avenue</t>
  </si>
  <si>
    <t>A-004117</t>
  </si>
  <si>
    <t>Bowman, Steve</t>
  </si>
  <si>
    <t>1201 E Whitefish Bay Court</t>
  </si>
  <si>
    <t>A-024659</t>
  </si>
  <si>
    <t>Braat, Sheryl</t>
  </si>
  <si>
    <t>15553 E Thistle Dr</t>
  </si>
  <si>
    <t>A-062652</t>
  </si>
  <si>
    <t>Caiazzo, Gretchen</t>
  </si>
  <si>
    <t>3039 East Runaway Bay Place</t>
  </si>
  <si>
    <t>A-054768</t>
  </si>
  <si>
    <t>Coldewe, Robert</t>
  </si>
  <si>
    <t>6915 South 71st Drive</t>
  </si>
  <si>
    <t>A-053998</t>
  </si>
  <si>
    <t>Coltrara, Susan and Mike</t>
  </si>
  <si>
    <t>10596 East Caron Street</t>
  </si>
  <si>
    <t>A-031630</t>
  </si>
  <si>
    <t>Dixit, Atul &amp; Sindhu</t>
  </si>
  <si>
    <t>3217 West Espartero Way</t>
  </si>
  <si>
    <t>A-002408</t>
  </si>
  <si>
    <t>Fink, Jeff and Donna</t>
  </si>
  <si>
    <t>2842 E Lantana Dr</t>
  </si>
  <si>
    <t>A-055213</t>
  </si>
  <si>
    <t>Francis, Heather</t>
  </si>
  <si>
    <t>21121 East Sparrow Drive</t>
  </si>
  <si>
    <t>A-008660</t>
  </si>
  <si>
    <t>Grabowski, Jean</t>
  </si>
  <si>
    <t>1907 W. Surrey Ave.</t>
  </si>
  <si>
    <t>A-052279</t>
  </si>
  <si>
    <t>Guerrero, Phillip</t>
  </si>
  <si>
    <t>13950 West Desert Cove Road</t>
  </si>
  <si>
    <t>A-034408</t>
  </si>
  <si>
    <t>Hannah, DJ</t>
  </si>
  <si>
    <t>2200 North Normal Avenue</t>
  </si>
  <si>
    <t>A-055254</t>
  </si>
  <si>
    <t>Keller Residence</t>
  </si>
  <si>
    <t>1110 W Hillview St</t>
  </si>
  <si>
    <t>A-004525</t>
  </si>
  <si>
    <t>Knight  Residence</t>
  </si>
  <si>
    <t>8201 E Virginia Ave</t>
  </si>
  <si>
    <t>A-039020</t>
  </si>
  <si>
    <t>Kride, Justin</t>
  </si>
  <si>
    <t>8009 North 6th Street</t>
  </si>
  <si>
    <t>A-049859</t>
  </si>
  <si>
    <t>Logan, Josh</t>
  </si>
  <si>
    <t>6025 South 15th Drive</t>
  </si>
  <si>
    <t>A-009378</t>
  </si>
  <si>
    <t>Lutton, John</t>
  </si>
  <si>
    <t>6802 E Presidio Rd</t>
  </si>
  <si>
    <t>A-056307</t>
  </si>
  <si>
    <t>Masden, Ken</t>
  </si>
  <si>
    <t>1144 East Racine Drive</t>
  </si>
  <si>
    <t>A-007055</t>
  </si>
  <si>
    <t>McAnerney, Steve</t>
  </si>
  <si>
    <t>15614 N 56th Dr</t>
  </si>
  <si>
    <t>A-062872</t>
  </si>
  <si>
    <t>Medico, Cheryl</t>
  </si>
  <si>
    <t>10637 West Mimosa Drive</t>
  </si>
  <si>
    <t>A-056875</t>
  </si>
  <si>
    <t>Mendez, Soledad</t>
  </si>
  <si>
    <t>4807 West Flower Street</t>
  </si>
  <si>
    <t>A-062356</t>
  </si>
  <si>
    <t>Nakanishi, Jin</t>
  </si>
  <si>
    <t>4044 West Mercer Lane</t>
  </si>
  <si>
    <t>A-056428</t>
  </si>
  <si>
    <t>Ortinau Residence</t>
  </si>
  <si>
    <t>908 E Heather Dr</t>
  </si>
  <si>
    <t>A-055989</t>
  </si>
  <si>
    <t>Pruess, Susan</t>
  </si>
  <si>
    <t>8201 East Virginia Avenue</t>
  </si>
  <si>
    <t>A-009409</t>
  </si>
  <si>
    <t>Schabacker, Steve</t>
  </si>
  <si>
    <t>3510 E Beryl Ln</t>
  </si>
  <si>
    <t>A-022677</t>
  </si>
  <si>
    <t>Sinkwitz, Nadine and Joseph</t>
  </si>
  <si>
    <t>10603 N Aberdeen Rd.</t>
  </si>
  <si>
    <t>A-057012</t>
  </si>
  <si>
    <t>Sirimarco, Anna</t>
  </si>
  <si>
    <t>2536 North 78th Street</t>
  </si>
  <si>
    <t>A-057722</t>
  </si>
  <si>
    <t>Skinner, Candice</t>
  </si>
  <si>
    <t>884 East Cherry Hills Drive</t>
  </si>
  <si>
    <t>A-052785</t>
  </si>
  <si>
    <t>Spencer, Helen</t>
  </si>
  <si>
    <t>4456 South Springs Drive</t>
  </si>
  <si>
    <t>A-056377</t>
  </si>
  <si>
    <t>Suh, Justin</t>
  </si>
  <si>
    <t>1101 E Rosemonte Dr</t>
  </si>
  <si>
    <t>A-023877</t>
  </si>
  <si>
    <t>Thomas, Ron &amp; Kathy</t>
  </si>
  <si>
    <t>15207 S. 19th. Way</t>
  </si>
  <si>
    <t>A-007733</t>
  </si>
  <si>
    <t>Tulumello, Kathy</t>
  </si>
  <si>
    <t>2027 E Bendix Dr</t>
  </si>
  <si>
    <t>A-022901</t>
  </si>
  <si>
    <t>Ross, Robin</t>
  </si>
  <si>
    <t>16016 S 35Th St</t>
  </si>
  <si>
    <t>A-011753</t>
  </si>
  <si>
    <t>Solley, Edward</t>
  </si>
  <si>
    <t>775 E Verbena Dr</t>
  </si>
  <si>
    <t>A-066635</t>
  </si>
  <si>
    <t>2 Kohl, Jackie</t>
  </si>
  <si>
    <t>10505 East Mary Katherine Drive</t>
  </si>
  <si>
    <t>A-066931</t>
  </si>
  <si>
    <t>Acosta, Gabriela</t>
  </si>
  <si>
    <t>11135 North Divot Drive</t>
  </si>
  <si>
    <t>A-067873</t>
  </si>
  <si>
    <t>Adams, Barbara</t>
  </si>
  <si>
    <t>15881 West Berkeley Road</t>
  </si>
  <si>
    <t>A-008616</t>
  </si>
  <si>
    <t>Adkins, Theresa</t>
  </si>
  <si>
    <t>12502 W Cherry Hills Dr</t>
  </si>
  <si>
    <t>A-008704</t>
  </si>
  <si>
    <t>Aguilera, Janice</t>
  </si>
  <si>
    <t>17407 N 39th Dr</t>
  </si>
  <si>
    <t>A-033765</t>
  </si>
  <si>
    <t>Ahuja, Satuyajeet</t>
  </si>
  <si>
    <t>28511 North 25th Avenue</t>
  </si>
  <si>
    <t>A-068713</t>
  </si>
  <si>
    <t>Alarcon, Jocabed</t>
  </si>
  <si>
    <t>1266 Prickly Pear Street</t>
  </si>
  <si>
    <t>A-048121</t>
  </si>
  <si>
    <t>Aldeguer, Sandra &amp; Herbert</t>
  </si>
  <si>
    <t>2577 North 133rd Avenue</t>
  </si>
  <si>
    <t>A-068295</t>
  </si>
  <si>
    <t>Alger, Richard</t>
  </si>
  <si>
    <t>3358 East Downing Street</t>
  </si>
  <si>
    <t>A-069004</t>
  </si>
  <si>
    <t>Alharthi, Dalal</t>
  </si>
  <si>
    <t>988 South Quinn Court</t>
  </si>
  <si>
    <t>A-053879</t>
  </si>
  <si>
    <t>Anda, Carla</t>
  </si>
  <si>
    <t>3952 Long Drive</t>
  </si>
  <si>
    <t>A-022645</t>
  </si>
  <si>
    <t>Anderson, Steven K</t>
  </si>
  <si>
    <t>235 E. Hermosa Dr.</t>
  </si>
  <si>
    <t>A-005242</t>
  </si>
  <si>
    <t>Applegate, Kay</t>
  </si>
  <si>
    <t>4751 W. Ponderosa Lane</t>
  </si>
  <si>
    <t>A-023503</t>
  </si>
  <si>
    <t>Araya, Efrem</t>
  </si>
  <si>
    <t>2228 W Pinchot Drive</t>
  </si>
  <si>
    <t>A-012731</t>
  </si>
  <si>
    <t>Arballo, Liz</t>
  </si>
  <si>
    <t>2159 E. Fremont Dr.</t>
  </si>
  <si>
    <t>A-007699</t>
  </si>
  <si>
    <t>Asa, Sam</t>
  </si>
  <si>
    <t>307 E. El Camino Dr.</t>
  </si>
  <si>
    <t>A-010107</t>
  </si>
  <si>
    <t>Avery, Ben and Kenna</t>
  </si>
  <si>
    <t>11251 E. Sheridan Ave.</t>
  </si>
  <si>
    <t>A-025045</t>
  </si>
  <si>
    <t>Babee, Robert</t>
  </si>
  <si>
    <t>11722 W. Cocopah St</t>
  </si>
  <si>
    <t>A-009770</t>
  </si>
  <si>
    <t>Baddgor, Rodger &amp; Rita</t>
  </si>
  <si>
    <t>6328 East Marilyn Road</t>
  </si>
  <si>
    <t>A-000807</t>
  </si>
  <si>
    <t>Baker, Harvey &amp; Jessica</t>
  </si>
  <si>
    <t>4712 W Allen St</t>
  </si>
  <si>
    <t>A-003430</t>
  </si>
  <si>
    <t>Balbo, Marisa</t>
  </si>
  <si>
    <t>4440 E. Annette Dr.</t>
  </si>
  <si>
    <t>A-001365</t>
  </si>
  <si>
    <t>Barger, Justin</t>
  </si>
  <si>
    <t>7159 W. Irma Ln.</t>
  </si>
  <si>
    <t>A-004962</t>
  </si>
  <si>
    <t>Barlow, Mike &amp; Iris</t>
  </si>
  <si>
    <t>7618 E. Sweetwater Ave.</t>
  </si>
  <si>
    <t>A-053228</t>
  </si>
  <si>
    <t>Barnes, Kristen</t>
  </si>
  <si>
    <t>2921 North 34th Place</t>
  </si>
  <si>
    <t>A-022514</t>
  </si>
  <si>
    <t>Barnes, Tim</t>
  </si>
  <si>
    <t>144 E Eugie Ave</t>
  </si>
  <si>
    <t>A-003046</t>
  </si>
  <si>
    <t>Bash, Denny &amp; Anne</t>
  </si>
  <si>
    <t>10702 N 146th Ave</t>
  </si>
  <si>
    <t>PHX - West - Route 3 - Jovany Cardenas</t>
  </si>
  <si>
    <t>A-068066</t>
  </si>
  <si>
    <t>Beall, Vicki</t>
  </si>
  <si>
    <t>1802 East Park Avenue</t>
  </si>
  <si>
    <t>A-007694</t>
  </si>
  <si>
    <t>Becvar, Steven</t>
  </si>
  <si>
    <t>205 E Mountain Sky Ave</t>
  </si>
  <si>
    <t>A-001344</t>
  </si>
  <si>
    <t>Begnaud, Mary Ann</t>
  </si>
  <si>
    <t>1042 E Encinas Ave</t>
  </si>
  <si>
    <t>A-009658</t>
  </si>
  <si>
    <t>Bell, Randy</t>
  </si>
  <si>
    <t>13803 E Geronimo Rd</t>
  </si>
  <si>
    <t>A-065386</t>
  </si>
  <si>
    <t>Benter, Tim</t>
  </si>
  <si>
    <t>9290 East Thompson Peak Parkway #403</t>
  </si>
  <si>
    <t>A-012117</t>
  </si>
  <si>
    <t>Berard, Jody And Jeff</t>
  </si>
  <si>
    <t>13432 N 33rd Avenue</t>
  </si>
  <si>
    <t>A-004520</t>
  </si>
  <si>
    <t>Berrier,  Austin</t>
  </si>
  <si>
    <t>13287 S. 183rd Dr.</t>
  </si>
  <si>
    <t>A-007310</t>
  </si>
  <si>
    <t>Bickley, Tim</t>
  </si>
  <si>
    <t>26340 N Wrangler Rd</t>
  </si>
  <si>
    <t>A-010095</t>
  </si>
  <si>
    <t>Bickoff. Jim</t>
  </si>
  <si>
    <t>28660 N 45th Way</t>
  </si>
  <si>
    <t>A-068176</t>
  </si>
  <si>
    <t>Bill, Bruce</t>
  </si>
  <si>
    <t>1002 East Grandview Road</t>
  </si>
  <si>
    <t>A-069138</t>
  </si>
  <si>
    <t>Bird, Wendy</t>
  </si>
  <si>
    <t>9759 East Inglewood Circle</t>
  </si>
  <si>
    <t>A-002406</t>
  </si>
  <si>
    <t>Boddie, Dorian and Bethany</t>
  </si>
  <si>
    <t>5605 W. Buffalo St.</t>
  </si>
  <si>
    <t>A-006682</t>
  </si>
  <si>
    <t>Bolton, Dean</t>
  </si>
  <si>
    <t>21461 N 33rd Dr</t>
  </si>
  <si>
    <t>A-007345</t>
  </si>
  <si>
    <t>Bond, Patricia</t>
  </si>
  <si>
    <t>2214 N. 58th Dr</t>
  </si>
  <si>
    <t>A-003881</t>
  </si>
  <si>
    <t>Bonnie, Denise</t>
  </si>
  <si>
    <t>41429 N Club Pointe Dr</t>
  </si>
  <si>
    <t>A-007981</t>
  </si>
  <si>
    <t>Boos, Al</t>
  </si>
  <si>
    <t>4559 E. Via Estrella</t>
  </si>
  <si>
    <t>A-068661</t>
  </si>
  <si>
    <t>Bornestein, Lena</t>
  </si>
  <si>
    <t>41128 West Robbins Drive</t>
  </si>
  <si>
    <t>A-065098</t>
  </si>
  <si>
    <t>Bos, Cody</t>
  </si>
  <si>
    <t>38538 North Beverley Avenue</t>
  </si>
  <si>
    <t>A-006962</t>
  </si>
  <si>
    <t>Bosworth, Lori</t>
  </si>
  <si>
    <t>4656 E Ironhorse Rd</t>
  </si>
  <si>
    <t>A-007301</t>
  </si>
  <si>
    <t>Boughey, Chris</t>
  </si>
  <si>
    <t>7446 W. Lone Cactus Dr.</t>
  </si>
  <si>
    <t>A-007761</t>
  </si>
  <si>
    <t>Bourne, Christi</t>
  </si>
  <si>
    <t>5501 E Terry Dr</t>
  </si>
  <si>
    <t>A-000555</t>
  </si>
  <si>
    <t>Bowles, Wyatt</t>
  </si>
  <si>
    <t>29843 W Whitton Ave</t>
  </si>
  <si>
    <t>A-067545</t>
  </si>
  <si>
    <t>Bowman, Vahideh</t>
  </si>
  <si>
    <t>121 N. Silver Wood Dr.</t>
  </si>
  <si>
    <t>A-004567</t>
  </si>
  <si>
    <t>Bradbury, Michele &amp; Tom</t>
  </si>
  <si>
    <t>3232 S. Emery Cir.</t>
  </si>
  <si>
    <t>A-068647</t>
  </si>
  <si>
    <t>Bradley, Sean</t>
  </si>
  <si>
    <t>18138 West Robin Lane</t>
  </si>
  <si>
    <t>A-008639</t>
  </si>
  <si>
    <t>Brady, Caitlin &amp; Derek</t>
  </si>
  <si>
    <t>5339 S Mill Ave</t>
  </si>
  <si>
    <t>A-006670</t>
  </si>
  <si>
    <t>Brady, Kim</t>
  </si>
  <si>
    <t>4633 E. Kirkland Road</t>
  </si>
  <si>
    <t>A-000036</t>
  </si>
  <si>
    <t>Brannon, Evelyn &amp; Mitchel</t>
  </si>
  <si>
    <t>3820 West Phelps Road</t>
  </si>
  <si>
    <t>A-005645</t>
  </si>
  <si>
    <t>Breading-Goodrich, Sheldon &amp; Jennifer</t>
  </si>
  <si>
    <t>17429 W Saguaro Lane</t>
  </si>
  <si>
    <t>A-068425</t>
  </si>
  <si>
    <t>Brenfkeck, Sheila</t>
  </si>
  <si>
    <t>436 East Providence Drive</t>
  </si>
  <si>
    <t>A-053309</t>
  </si>
  <si>
    <t>Brenyah, Frank</t>
  </si>
  <si>
    <t>2301 North 51st Drive</t>
  </si>
  <si>
    <t>A-001239</t>
  </si>
  <si>
    <t>Brewer, Katie</t>
  </si>
  <si>
    <t>1745 E Mallory St</t>
  </si>
  <si>
    <t>A-009346</t>
  </si>
  <si>
    <t>Bridges, Stacey</t>
  </si>
  <si>
    <t>3728 W Barnes Ln</t>
  </si>
  <si>
    <t>A-007422</t>
  </si>
  <si>
    <t>Broderick, Dan</t>
  </si>
  <si>
    <t>1226 E. Luke Ave.</t>
  </si>
  <si>
    <t>A-067215</t>
  </si>
  <si>
    <t>Brown, Donna</t>
  </si>
  <si>
    <t>277 West 16th Avenue</t>
  </si>
  <si>
    <t>A-005963</t>
  </si>
  <si>
    <t>Brown, Terri</t>
  </si>
  <si>
    <t>5656 W Pueblo</t>
  </si>
  <si>
    <t>A-024954</t>
  </si>
  <si>
    <t>Brusha, Eriola and Matt</t>
  </si>
  <si>
    <t>5248 West Topeka Drive</t>
  </si>
  <si>
    <t>A-007427</t>
  </si>
  <si>
    <t>Budzyn, Mark</t>
  </si>
  <si>
    <t>15053 N 2nd St.</t>
  </si>
  <si>
    <t>A-068211</t>
  </si>
  <si>
    <t>Burchette, Robert</t>
  </si>
  <si>
    <t>6562 North Pomona Road</t>
  </si>
  <si>
    <t>A-001705</t>
  </si>
  <si>
    <t>Burger, Amy</t>
  </si>
  <si>
    <t>706 W Del Rio St</t>
  </si>
  <si>
    <t>A-047002</t>
  </si>
  <si>
    <t>Burgess, Tyrone &amp; Debra</t>
  </si>
  <si>
    <t>15662 West Sierra Street</t>
  </si>
  <si>
    <t>A-025531</t>
  </si>
  <si>
    <t>Burrell, James and Monique</t>
  </si>
  <si>
    <t>4409 North 179th Drive</t>
  </si>
  <si>
    <t>A-009047</t>
  </si>
  <si>
    <t>Butler, Brendan &amp; Michelle</t>
  </si>
  <si>
    <t>2004 E Fremont Dr</t>
  </si>
  <si>
    <t>A-024626</t>
  </si>
  <si>
    <t>Cababe, Christopher and Stacy</t>
  </si>
  <si>
    <t>29511 N 140th Place</t>
  </si>
  <si>
    <t>A-009762</t>
  </si>
  <si>
    <t>Cabral, Arnaldo</t>
  </si>
  <si>
    <t>18647 E Lark Dr</t>
  </si>
  <si>
    <t>A-067908</t>
  </si>
  <si>
    <t>Cairns, Rich</t>
  </si>
  <si>
    <t>4508 West Rushmore Drive</t>
  </si>
  <si>
    <t>A-004166</t>
  </si>
  <si>
    <t>Campbell, Doug</t>
  </si>
  <si>
    <t>3241 N. 301st Drive</t>
  </si>
  <si>
    <t>A-022499</t>
  </si>
  <si>
    <t>Campbell, John &amp; Ellen</t>
  </si>
  <si>
    <t>7214 N 12th Ave</t>
  </si>
  <si>
    <t>A-069546</t>
  </si>
  <si>
    <t>Candelaria, Rachel</t>
  </si>
  <si>
    <t>16249 West Sierra Street</t>
  </si>
  <si>
    <t>A-002474</t>
  </si>
  <si>
    <t>Cannon, Patrick &amp; Lisa</t>
  </si>
  <si>
    <t>4645 S Ranger Ct</t>
  </si>
  <si>
    <t>A-028241</t>
  </si>
  <si>
    <t>Carns, Amanda</t>
  </si>
  <si>
    <t>2240 N Ashbrook Circle</t>
  </si>
  <si>
    <t>A-024278</t>
  </si>
  <si>
    <t>Carrier, John</t>
  </si>
  <si>
    <t>6709 E Vanguard St</t>
  </si>
  <si>
    <t>A-005901</t>
  </si>
  <si>
    <t>Carson, Molly</t>
  </si>
  <si>
    <t>718 W Las Palmaritas</t>
  </si>
  <si>
    <t>A-007980</t>
  </si>
  <si>
    <t>Carter, Craig</t>
  </si>
  <si>
    <t>3016 E Cheryl Dr</t>
  </si>
  <si>
    <t>A-003818</t>
  </si>
  <si>
    <t>Carter, Kristin</t>
  </si>
  <si>
    <t>7332 E. Vernon Ave</t>
  </si>
  <si>
    <t>A-008439</t>
  </si>
  <si>
    <t>Casillas, Rita</t>
  </si>
  <si>
    <t>1328 W Palo Verde Drive</t>
  </si>
  <si>
    <t>A-007050</t>
  </si>
  <si>
    <t>Catalana, Mary A.</t>
  </si>
  <si>
    <t>10653 N. 44th Ct.</t>
  </si>
  <si>
    <t>A-005593</t>
  </si>
  <si>
    <t>Caudill, Dennis</t>
  </si>
  <si>
    <t>10602 W Salem Dr</t>
  </si>
  <si>
    <t>A-003113</t>
  </si>
  <si>
    <t>Cederburg, Tim</t>
  </si>
  <si>
    <t>9537 E. Monterey Ave</t>
  </si>
  <si>
    <t>A-007610</t>
  </si>
  <si>
    <t>Christman, Dorothy</t>
  </si>
  <si>
    <t>10457 E Wood Dr</t>
  </si>
  <si>
    <t>A-010313</t>
  </si>
  <si>
    <t>Ciminelli, Mary</t>
  </si>
  <si>
    <t>13814 E Yolantha St</t>
  </si>
  <si>
    <t>A-004269</t>
  </si>
  <si>
    <t>Clapper, Julia &amp; David</t>
  </si>
  <si>
    <t>4321 S Antonio</t>
  </si>
  <si>
    <t>A-022890</t>
  </si>
  <si>
    <t>Clark, Casey</t>
  </si>
  <si>
    <t>1113 W Spur Drive</t>
  </si>
  <si>
    <t>A-011983</t>
  </si>
  <si>
    <t>Clark, Herb and Nancy</t>
  </si>
  <si>
    <t>20438 W Canyon Drive</t>
  </si>
  <si>
    <t>A-022294</t>
  </si>
  <si>
    <t>Clark, Janice</t>
  </si>
  <si>
    <t>10611 North 26th Place</t>
  </si>
  <si>
    <t>A-067912</t>
  </si>
  <si>
    <t>Clark, Malene</t>
  </si>
  <si>
    <t>3750 North 32nd Street</t>
  </si>
  <si>
    <t>A-004965</t>
  </si>
  <si>
    <t>Clavel, Crystal and Greg</t>
  </si>
  <si>
    <t>2243 W Plata Ave</t>
  </si>
  <si>
    <t>A-064804</t>
  </si>
  <si>
    <t>Clements, Amanda</t>
  </si>
  <si>
    <t>9714 North 185th Lane</t>
  </si>
  <si>
    <t>A-012749</t>
  </si>
  <si>
    <t>Cline, John</t>
  </si>
  <si>
    <t>1546 N. Diane St.</t>
  </si>
  <si>
    <t>A-067604</t>
  </si>
  <si>
    <t>Clinton, Malissia</t>
  </si>
  <si>
    <t>4721 West Mossman Road</t>
  </si>
  <si>
    <t>A-000101</t>
  </si>
  <si>
    <t>Cloutier, Tom</t>
  </si>
  <si>
    <t>7185 W. Trails Dr.</t>
  </si>
  <si>
    <t>A-022512</t>
  </si>
  <si>
    <t>Cochrane, Kevin</t>
  </si>
  <si>
    <t>2144 E Casitas Del Rio Dr</t>
  </si>
  <si>
    <t>A-004574</t>
  </si>
  <si>
    <t>Conner, Logan &amp; Christa</t>
  </si>
  <si>
    <t>16824 W Rimrock Street</t>
  </si>
  <si>
    <t>A-032220</t>
  </si>
  <si>
    <t>Cornell. Steve</t>
  </si>
  <si>
    <t>36619 North 16th Street</t>
  </si>
  <si>
    <t>A-001273</t>
  </si>
  <si>
    <t>Council, Robert</t>
  </si>
  <si>
    <t>8149 W Superior Ave</t>
  </si>
  <si>
    <t>A-005948</t>
  </si>
  <si>
    <t>Courtright, David</t>
  </si>
  <si>
    <t>1242 E Mary Ln</t>
  </si>
  <si>
    <t>A-013053</t>
  </si>
  <si>
    <t>Couts, Terry</t>
  </si>
  <si>
    <t>2166 S Porter</t>
  </si>
  <si>
    <t>A-012975</t>
  </si>
  <si>
    <t>Cox, Danette</t>
  </si>
  <si>
    <t>2290 E. Fairview St</t>
  </si>
  <si>
    <t>A-013005</t>
  </si>
  <si>
    <t>Coy, Jane &amp; Jeff</t>
  </si>
  <si>
    <t>39401 N. 67th Place</t>
  </si>
  <si>
    <t>A-007338</t>
  </si>
  <si>
    <t>Crain, Mike and Tami</t>
  </si>
  <si>
    <t>6123 E. Campo Bello Dr.</t>
  </si>
  <si>
    <t>A-005666</t>
  </si>
  <si>
    <t>Cross, Alec and Laura</t>
  </si>
  <si>
    <t>6709 E. Calle Redondo</t>
  </si>
  <si>
    <t>A-065530</t>
  </si>
  <si>
    <t>Cunion, Emily</t>
  </si>
  <si>
    <t>1826 E Fawn Dr</t>
  </si>
  <si>
    <t>A-010980</t>
  </si>
  <si>
    <t>Cunningham, David &amp; Kennia</t>
  </si>
  <si>
    <t>1919 E Latona Rd</t>
  </si>
  <si>
    <t>A-008304</t>
  </si>
  <si>
    <t>Dankert, Darren</t>
  </si>
  <si>
    <t>4046 E. Shangri La Rd.</t>
  </si>
  <si>
    <t>A-032891</t>
  </si>
  <si>
    <t>Darnell, David</t>
  </si>
  <si>
    <t>3728 West Kings Avenue</t>
  </si>
  <si>
    <t>A-000851</t>
  </si>
  <si>
    <t>Dashneym, Laura</t>
  </si>
  <si>
    <t>2104 N Acacia Circle</t>
  </si>
  <si>
    <t>A-022358</t>
  </si>
  <si>
    <t>Davidson, Ron</t>
  </si>
  <si>
    <t>9453 W. Tonopah Dr</t>
  </si>
  <si>
    <t>A-068388</t>
  </si>
  <si>
    <t>Davis, Helen</t>
  </si>
  <si>
    <t>16834 South 20th Place</t>
  </si>
  <si>
    <t>A-022619</t>
  </si>
  <si>
    <t>Davis, Jessie</t>
  </si>
  <si>
    <t>12210 W Cambridge Ave.</t>
  </si>
  <si>
    <t>A-065288</t>
  </si>
  <si>
    <t>Deese, Avaline</t>
  </si>
  <si>
    <t>22215 West Hilton Avenue</t>
  </si>
  <si>
    <t>A-001218</t>
  </si>
  <si>
    <t>Deherrera, Christopher</t>
  </si>
  <si>
    <t>978 N. 85th Pl.</t>
  </si>
  <si>
    <t>A-007974</t>
  </si>
  <si>
    <t>Dehghanpisheh, Hassan</t>
  </si>
  <si>
    <t>1724 E Pebble Beach Dr</t>
  </si>
  <si>
    <t>A-067762</t>
  </si>
  <si>
    <t>Dekran, Naji</t>
  </si>
  <si>
    <t>4511 West Donner Drive</t>
  </si>
  <si>
    <t>A-068443</t>
  </si>
  <si>
    <t>Delaverne, Deane</t>
  </si>
  <si>
    <t>45773 Meadows Lane</t>
  </si>
  <si>
    <t>A-007769</t>
  </si>
  <si>
    <t>Delaware, Olivia</t>
  </si>
  <si>
    <t>218 E. Carter Dr.</t>
  </si>
  <si>
    <t>A-068261</t>
  </si>
  <si>
    <t>Deleon Guerrero, Patrick</t>
  </si>
  <si>
    <t>15084 North Pelham Road</t>
  </si>
  <si>
    <t>A-068224</t>
  </si>
  <si>
    <t>Delgado, Erica</t>
  </si>
  <si>
    <t>1317 East Milada Drive</t>
  </si>
  <si>
    <t>A-011013</t>
  </si>
  <si>
    <t>DePonti, Cindy</t>
  </si>
  <si>
    <t>81 W Lewis Ave</t>
  </si>
  <si>
    <t>A-004222</t>
  </si>
  <si>
    <t>Devenport, Eddie</t>
  </si>
  <si>
    <t>9075 N 88th Ave</t>
  </si>
  <si>
    <t>A-005865</t>
  </si>
  <si>
    <t>DeVore, Lauren</t>
  </si>
  <si>
    <t>2811 W. Wildwood Dr.</t>
  </si>
  <si>
    <t>A-068259</t>
  </si>
  <si>
    <t>Diaz, Briana</t>
  </si>
  <si>
    <t>4037 South Queen Palm Drive</t>
  </si>
  <si>
    <t>A-002763</t>
  </si>
  <si>
    <t>Digerolami, Allen &amp; Dana</t>
  </si>
  <si>
    <t>1439 N. Sierra Heights Cir.</t>
  </si>
  <si>
    <t>A-012961</t>
  </si>
  <si>
    <t>Dodge, Nancie</t>
  </si>
  <si>
    <t>6202 E Le Marche Ave</t>
  </si>
  <si>
    <t>A-068433</t>
  </si>
  <si>
    <t>Dodson, Nancy</t>
  </si>
  <si>
    <t>213 East Vaughn Avenue</t>
  </si>
  <si>
    <t>A-001203</t>
  </si>
  <si>
    <t>Dogu, Gokce</t>
  </si>
  <si>
    <t>958 W Redwood Dr.</t>
  </si>
  <si>
    <t>A-002850</t>
  </si>
  <si>
    <t>Dominguez, Antonio</t>
  </si>
  <si>
    <t>1911 E Willetta St</t>
  </si>
  <si>
    <t>A-025052</t>
  </si>
  <si>
    <t>Dominguez, Cynthia &amp; Anthony</t>
  </si>
  <si>
    <t>202 S 122nd Lane</t>
  </si>
  <si>
    <t>A-005990</t>
  </si>
  <si>
    <t>Dorsey, Dave &amp; Cindy</t>
  </si>
  <si>
    <t>8255 W. Quail Ave.</t>
  </si>
  <si>
    <t>A-008398</t>
  </si>
  <si>
    <t>Drohman, Valerie and Doug</t>
  </si>
  <si>
    <t>11542 E Desert Holly Dr</t>
  </si>
  <si>
    <t>A-012995</t>
  </si>
  <si>
    <t>Duffy Powers, Jayne</t>
  </si>
  <si>
    <t>1170 N Judd Place</t>
  </si>
  <si>
    <t>A-035551</t>
  </si>
  <si>
    <t>Dunn, Greg</t>
  </si>
  <si>
    <t>8365 West Teresita Drive</t>
  </si>
  <si>
    <t>A-064783</t>
  </si>
  <si>
    <t>Dunn, Suanne</t>
  </si>
  <si>
    <t>2221 North Ensenada Lane</t>
  </si>
  <si>
    <t>A-067132</t>
  </si>
  <si>
    <t>Edrington, Jamie</t>
  </si>
  <si>
    <t>11540 North 103rd Place</t>
  </si>
  <si>
    <t>A-006993</t>
  </si>
  <si>
    <t>Eger, Karen</t>
  </si>
  <si>
    <t>4839 W Tyson St</t>
  </si>
  <si>
    <t>A-068338</t>
  </si>
  <si>
    <t>Einspahr, Holly</t>
  </si>
  <si>
    <t>1422 East Bell De Mar Drive</t>
  </si>
  <si>
    <t>A-002443</t>
  </si>
  <si>
    <t>Ellis, Leda</t>
  </si>
  <si>
    <t>11205 E Hedgehog Place</t>
  </si>
  <si>
    <t>A-068735</t>
  </si>
  <si>
    <t>Erickson, Bridget</t>
  </si>
  <si>
    <t>7977 Namaka Drive</t>
  </si>
  <si>
    <t>A-022273</t>
  </si>
  <si>
    <t>Erickson, Ron &amp; Jennifer</t>
  </si>
  <si>
    <t>2524 E Desert Willow Drive</t>
  </si>
  <si>
    <t>A-028752</t>
  </si>
  <si>
    <t>Escobar, Estuardo</t>
  </si>
  <si>
    <t>1237 E Julie Court</t>
  </si>
  <si>
    <t>A-022606</t>
  </si>
  <si>
    <t>Espinoza, John and Gloria</t>
  </si>
  <si>
    <t>4219 W Mountain View Rd.</t>
  </si>
  <si>
    <t>A-039150</t>
  </si>
  <si>
    <t>Essegian, Rich</t>
  </si>
  <si>
    <t>18357 West Paradise Lane</t>
  </si>
  <si>
    <t>A-069559</t>
  </si>
  <si>
    <t>Fabian, Donna</t>
  </si>
  <si>
    <t>1944 North Loretta Place</t>
  </si>
  <si>
    <t>A-068042</t>
  </si>
  <si>
    <t>Falda, Katey</t>
  </si>
  <si>
    <t>1845 South Beverly</t>
  </si>
  <si>
    <t>A-024726</t>
  </si>
  <si>
    <t>Faria, Bambi</t>
  </si>
  <si>
    <t>2056 E. Browing Place</t>
  </si>
  <si>
    <t>A-067696</t>
  </si>
  <si>
    <t>Feddersen, Emma</t>
  </si>
  <si>
    <t>25016 West Illini Street</t>
  </si>
  <si>
    <t>A-010650</t>
  </si>
  <si>
    <t>Fiaschetti, Marjorie</t>
  </si>
  <si>
    <t>7822 W Vermont Ave</t>
  </si>
  <si>
    <t>A-023816</t>
  </si>
  <si>
    <t>Fimbres, Angel</t>
  </si>
  <si>
    <t>1928 E St Anne Ave</t>
  </si>
  <si>
    <t>A-069008</t>
  </si>
  <si>
    <t>Flaks, Jennifer</t>
  </si>
  <si>
    <t>2205 East Clarendon Avenue</t>
  </si>
  <si>
    <t>A-005992</t>
  </si>
  <si>
    <t>Foulk, Anita</t>
  </si>
  <si>
    <t>9840 E Winchcomb Dr</t>
  </si>
  <si>
    <t>A-004500</t>
  </si>
  <si>
    <t>Frazier, Rich</t>
  </si>
  <si>
    <t>1473 S Chippewa Ct</t>
  </si>
  <si>
    <t>A-050679</t>
  </si>
  <si>
    <t>Fregoso, Conny</t>
  </si>
  <si>
    <t>1523 East 10th Street</t>
  </si>
  <si>
    <t>A-069325</t>
  </si>
  <si>
    <t>Freivmen, Menachen</t>
  </si>
  <si>
    <t>1719 East Sandalwood Road</t>
  </si>
  <si>
    <t>A-004916</t>
  </si>
  <si>
    <t>Fritz, William</t>
  </si>
  <si>
    <t>9525 E Arrowvale Dr</t>
  </si>
  <si>
    <t>A-004936</t>
  </si>
  <si>
    <t>Frommert, Julie &amp; Allan</t>
  </si>
  <si>
    <t>19019 N 73rd Lane</t>
  </si>
  <si>
    <t>A-025558</t>
  </si>
  <si>
    <t>Fullmer, Rob</t>
  </si>
  <si>
    <t>701 E. Alameda Dr.</t>
  </si>
  <si>
    <t>A-012416</t>
  </si>
  <si>
    <t>Gallego, Julie</t>
  </si>
  <si>
    <t>2540 E Hazeltine Way</t>
  </si>
  <si>
    <t>A-032506</t>
  </si>
  <si>
    <t>Garcia, Anthony &amp; Tristin</t>
  </si>
  <si>
    <t>24184 South 216th Way</t>
  </si>
  <si>
    <t>A-069162</t>
  </si>
  <si>
    <t>Garcia, Jordan</t>
  </si>
  <si>
    <t>1506 South Alvaro Circle</t>
  </si>
  <si>
    <t>A-064939</t>
  </si>
  <si>
    <t>Gares, Jack</t>
  </si>
  <si>
    <t>681 West Racine Loop</t>
  </si>
  <si>
    <t>A-007349</t>
  </si>
  <si>
    <t>Garza. Evonne and Baldemar</t>
  </si>
  <si>
    <t>3115 E. Old Southern Ave.</t>
  </si>
  <si>
    <t>A-012714</t>
  </si>
  <si>
    <t>Gaunt, Laura &amp; Jeff</t>
  </si>
  <si>
    <t>4427 E Williams Drive</t>
  </si>
  <si>
    <t>A-008709</t>
  </si>
  <si>
    <t>Geake, Lynette &amp; Bob</t>
  </si>
  <si>
    <t>1714 E Sheena Dr.</t>
  </si>
  <si>
    <t>A-001688</t>
  </si>
  <si>
    <t>Gebert, Julie (One filter cleaning yearly)</t>
  </si>
  <si>
    <t>11025 E Clinton St</t>
  </si>
  <si>
    <t>A-068464</t>
  </si>
  <si>
    <t>Gene, Cooper</t>
  </si>
  <si>
    <t>105 West Jomax Road</t>
  </si>
  <si>
    <t>A-009345</t>
  </si>
  <si>
    <t>Gerelick, Dan</t>
  </si>
  <si>
    <t>8417 S Forest Ave</t>
  </si>
  <si>
    <t>A-008386</t>
  </si>
  <si>
    <t>Gerry, Lawrence</t>
  </si>
  <si>
    <t>16602 N 40th Ave</t>
  </si>
  <si>
    <t>A-064277</t>
  </si>
  <si>
    <t>Gilger, Gary</t>
  </si>
  <si>
    <t>717 West Wood Drive</t>
  </si>
  <si>
    <t>A-009024</t>
  </si>
  <si>
    <t>Gillies, Susan &amp; Steve</t>
  </si>
  <si>
    <t>558 S Brett</t>
  </si>
  <si>
    <t>A-008033</t>
  </si>
  <si>
    <t>Glennen, Keith</t>
  </si>
  <si>
    <t>2141 W Mulberry Dr</t>
  </si>
  <si>
    <t>A-024881</t>
  </si>
  <si>
    <t>Gongaware, Connie</t>
  </si>
  <si>
    <t>5434 W North Lane</t>
  </si>
  <si>
    <t>A-002021</t>
  </si>
  <si>
    <t>Goodell, Estelle</t>
  </si>
  <si>
    <t>76 W Lewis Ave.</t>
  </si>
  <si>
    <t>A-005526</t>
  </si>
  <si>
    <t>Gore, Greg &amp; Laura</t>
  </si>
  <si>
    <t>1242 W. 13th Ave.</t>
  </si>
  <si>
    <t>A-006949</t>
  </si>
  <si>
    <t>Graham, Greg</t>
  </si>
  <si>
    <t>9447 N. 64th Drive</t>
  </si>
  <si>
    <t>A-003539</t>
  </si>
  <si>
    <t>Gray, Fred</t>
  </si>
  <si>
    <t>1812 W Desert View Dr</t>
  </si>
  <si>
    <t>A-001194</t>
  </si>
  <si>
    <t>Green, Larry</t>
  </si>
  <si>
    <t>1812 W. Summerside Rd</t>
  </si>
  <si>
    <t>A-006274</t>
  </si>
  <si>
    <t>Griffith, John</t>
  </si>
  <si>
    <t>9853 E Inglewood St</t>
  </si>
  <si>
    <t>A-000423</t>
  </si>
  <si>
    <t>Grim, Dan</t>
  </si>
  <si>
    <t>3442 W Acoma Dr</t>
  </si>
  <si>
    <t>A-005225</t>
  </si>
  <si>
    <t>Grimes, Sara &amp; Pat</t>
  </si>
  <si>
    <t>13849 N 64th Dr</t>
  </si>
  <si>
    <t>A-004843</t>
  </si>
  <si>
    <t>Grittman, Melissa</t>
  </si>
  <si>
    <t>15806 W Jefferson St</t>
  </si>
  <si>
    <t>A-065065</t>
  </si>
  <si>
    <t>Gudzunas, Shirley</t>
  </si>
  <si>
    <t>4500 W Lynn Cir</t>
  </si>
  <si>
    <t>A-009057</t>
  </si>
  <si>
    <t>Guru, Seema &amp; Roop</t>
  </si>
  <si>
    <t>9355 W Sands Dr</t>
  </si>
  <si>
    <t>A-001670</t>
  </si>
  <si>
    <t>Guthrie, William</t>
  </si>
  <si>
    <t>1738 E Kramer St</t>
  </si>
  <si>
    <t>A-067953</t>
  </si>
  <si>
    <t>Guthro, Debby</t>
  </si>
  <si>
    <t>14820 North Appleton Avenue</t>
  </si>
  <si>
    <t>A-022558</t>
  </si>
  <si>
    <t>Gutierrez, Sonia</t>
  </si>
  <si>
    <t>1350 W Whitten St</t>
  </si>
  <si>
    <t>A-067447</t>
  </si>
  <si>
    <t>Guyitele, Ghadi</t>
  </si>
  <si>
    <t>5062 West Warbler Street</t>
  </si>
  <si>
    <t>A-008404</t>
  </si>
  <si>
    <t>Handman, Nancy</t>
  </si>
  <si>
    <t>6418 E Nisbet</t>
  </si>
  <si>
    <t>A-011009</t>
  </si>
  <si>
    <t>Harkins, Ron and Joan</t>
  </si>
  <si>
    <t>3301 E Osborn Rd</t>
  </si>
  <si>
    <t>A-004179</t>
  </si>
  <si>
    <t>Harris, Dan</t>
  </si>
  <si>
    <t>6002 E. Ludlow Dr.</t>
  </si>
  <si>
    <t>A-005187</t>
  </si>
  <si>
    <t>Hartendrop, Audric</t>
  </si>
  <si>
    <t>8961 W. Quail Ave.</t>
  </si>
  <si>
    <t>A-062079</t>
  </si>
  <si>
    <t>Haskett, Mark</t>
  </si>
  <si>
    <t>1539 East 12th Street</t>
  </si>
  <si>
    <t>A-007646</t>
  </si>
  <si>
    <t>Haug, Tom</t>
  </si>
  <si>
    <t>682 E Park Ave</t>
  </si>
  <si>
    <t>A-024882</t>
  </si>
  <si>
    <t>Hayward, James</t>
  </si>
  <si>
    <t>4804 W Laurie Ln</t>
  </si>
  <si>
    <t>A-007714</t>
  </si>
  <si>
    <t>Herbold, Robert</t>
  </si>
  <si>
    <t>5033 E. Windstone Trl.</t>
  </si>
  <si>
    <t>A-024897</t>
  </si>
  <si>
    <t>Hernandez, Amy</t>
  </si>
  <si>
    <t>6736 N 76th Dr</t>
  </si>
  <si>
    <t>A-012949</t>
  </si>
  <si>
    <t>Hess, Vernon</t>
  </si>
  <si>
    <t>1637 S Ash St</t>
  </si>
  <si>
    <t>A-006589</t>
  </si>
  <si>
    <t>Hester, Becky and Sterling</t>
  </si>
  <si>
    <t>419 E Vaughn Ave</t>
  </si>
  <si>
    <t>A-006663</t>
  </si>
  <si>
    <t>Hibbs, James and Karola</t>
  </si>
  <si>
    <t>19246 N 15th Ave</t>
  </si>
  <si>
    <t>A-000081</t>
  </si>
  <si>
    <t>Higa, Edith</t>
  </si>
  <si>
    <t>6122 W Questa Drive</t>
  </si>
  <si>
    <t>A-064988</t>
  </si>
  <si>
    <t>Hinojosa, Judith</t>
  </si>
  <si>
    <t>3403 East Sagebrush Street</t>
  </si>
  <si>
    <t>A-069184</t>
  </si>
  <si>
    <t>Hisaw, Gloria</t>
  </si>
  <si>
    <t>9219 West Denton Lane</t>
  </si>
  <si>
    <t>A-010028</t>
  </si>
  <si>
    <t>Hoang, Erica</t>
  </si>
  <si>
    <t>3908 W Sandra Terrace</t>
  </si>
  <si>
    <t>A-024934</t>
  </si>
  <si>
    <t>Hollis, Donita</t>
  </si>
  <si>
    <t>4642 W Boca Raton Road</t>
  </si>
  <si>
    <t>A-008964</t>
  </si>
  <si>
    <t>Hornack, Christopher</t>
  </si>
  <si>
    <t>5816 E Anderson Dr</t>
  </si>
  <si>
    <t>A-024551</t>
  </si>
  <si>
    <t>Howard, Dawn</t>
  </si>
  <si>
    <t>2145 N Standage</t>
  </si>
  <si>
    <t>A-011298</t>
  </si>
  <si>
    <t>Huerta-Ruston, Maria &amp; Lawrence</t>
  </si>
  <si>
    <t>2113 E Concorda Dr</t>
  </si>
  <si>
    <t>A-007062</t>
  </si>
  <si>
    <t>Hughes, Kelley</t>
  </si>
  <si>
    <t>1428 S. College Ave.</t>
  </si>
  <si>
    <t>A-067652</t>
  </si>
  <si>
    <t>Hullinger, Richard</t>
  </si>
  <si>
    <t>2085 North Ironwood Drive</t>
  </si>
  <si>
    <t>A-008659</t>
  </si>
  <si>
    <t>Hulsing, Darrell</t>
  </si>
  <si>
    <t>14610 N. 8th Way</t>
  </si>
  <si>
    <t>A-067899</t>
  </si>
  <si>
    <t>Hurtado, Araceli</t>
  </si>
  <si>
    <t>6681 West Brightwater Way</t>
  </si>
  <si>
    <t>A-011413</t>
  </si>
  <si>
    <t>Ingram, Julie And Curtis</t>
  </si>
  <si>
    <t>6313 S Gold Leaf Pl</t>
  </si>
  <si>
    <t>A-067911</t>
  </si>
  <si>
    <t>Ishak, Reed</t>
  </si>
  <si>
    <t>1121 East Jahns Drive</t>
  </si>
  <si>
    <t>A-005547</t>
  </si>
  <si>
    <t>Jacobs, Pat</t>
  </si>
  <si>
    <t>8024 E. Fountain St.</t>
  </si>
  <si>
    <t>A-069441</t>
  </si>
  <si>
    <t>Jahmer, Ashley</t>
  </si>
  <si>
    <t>12061 East Shangri La Road</t>
  </si>
  <si>
    <t>A-066496</t>
  </si>
  <si>
    <t>James, Frank</t>
  </si>
  <si>
    <t>2241 North Hillridge</t>
  </si>
  <si>
    <t>A-022442</t>
  </si>
  <si>
    <t>Jensen, Jaci and Kent</t>
  </si>
  <si>
    <t>16403 N 7th Pl</t>
  </si>
  <si>
    <t>A-022449</t>
  </si>
  <si>
    <t>Johnson, Cary</t>
  </si>
  <si>
    <t>14829 S 5th Ave</t>
  </si>
  <si>
    <t>A-068545</t>
  </si>
  <si>
    <t>Jones, Cheryl</t>
  </si>
  <si>
    <t>264 South San Luis Rey Trail</t>
  </si>
  <si>
    <t>A-068398</t>
  </si>
  <si>
    <t>Kaehu, Mercy</t>
  </si>
  <si>
    <t>1741 North Lehmberg Avenue</t>
  </si>
  <si>
    <t>A-001604</t>
  </si>
  <si>
    <t>Kai, Leonard</t>
  </si>
  <si>
    <t>4229 S. Marble St.</t>
  </si>
  <si>
    <t>A-034432</t>
  </si>
  <si>
    <t>Kapelle, Daniel</t>
  </si>
  <si>
    <t>17421 North 85th Drive</t>
  </si>
  <si>
    <t>A-009682</t>
  </si>
  <si>
    <t>Kapetanovic, Don</t>
  </si>
  <si>
    <t>18338 W. Montebello Ave</t>
  </si>
  <si>
    <t>A-048357</t>
  </si>
  <si>
    <t>Kappas, Esther</t>
  </si>
  <si>
    <t>5841 West Geronimo Street</t>
  </si>
  <si>
    <t>A-004914</t>
  </si>
  <si>
    <t>Kerr, Steve &amp; Tammie</t>
  </si>
  <si>
    <t>16765 W Windermere Way</t>
  </si>
  <si>
    <t>A-064795</t>
  </si>
  <si>
    <t>Kettenhofen, Andrew</t>
  </si>
  <si>
    <t>3044 W Sierra Vista Dr</t>
  </si>
  <si>
    <t>A-067464</t>
  </si>
  <si>
    <t>Kiefer, George</t>
  </si>
  <si>
    <t>28503 North 67th Drive</t>
  </si>
  <si>
    <t>A-002840</t>
  </si>
  <si>
    <t>Kieffer, Dennis</t>
  </si>
  <si>
    <t>23440 N. 45th Ave</t>
  </si>
  <si>
    <t>A-002854</t>
  </si>
  <si>
    <t>Kim, Chongwoo</t>
  </si>
  <si>
    <t>9625 E Pine Valley Rd</t>
  </si>
  <si>
    <t>A-008380</t>
  </si>
  <si>
    <t>Kim, Elizabeth</t>
  </si>
  <si>
    <t>6111 S Kimberlee Way</t>
  </si>
  <si>
    <t>A-012028</t>
  </si>
  <si>
    <t>Kinateder, Mike</t>
  </si>
  <si>
    <t>49624 N 11th Ave</t>
  </si>
  <si>
    <t>A-067458</t>
  </si>
  <si>
    <t>King, Robert</t>
  </si>
  <si>
    <t>18947 North Salerno Court</t>
  </si>
  <si>
    <t>A-067665</t>
  </si>
  <si>
    <t>Kirby, Tyler</t>
  </si>
  <si>
    <t>1898 East Carmen Street</t>
  </si>
  <si>
    <t>A-028229</t>
  </si>
  <si>
    <t>Kirk, Kathleen</t>
  </si>
  <si>
    <t>2923 E Leland</t>
  </si>
  <si>
    <t>A-004613</t>
  </si>
  <si>
    <t>Kluczenko, Laura</t>
  </si>
  <si>
    <t>14948 N 94th Pl</t>
  </si>
  <si>
    <t>A-005288</t>
  </si>
  <si>
    <t>Knowles, Deborah &amp; Hugh</t>
  </si>
  <si>
    <t>6393 W Campo Bello Dr.</t>
  </si>
  <si>
    <t>A-006974</t>
  </si>
  <si>
    <t>Knutson, Lauren</t>
  </si>
  <si>
    <t>2353 E Amber Lane</t>
  </si>
  <si>
    <t>A-012994</t>
  </si>
  <si>
    <t>Koch, Madeline</t>
  </si>
  <si>
    <t>2133 S Nielson St</t>
  </si>
  <si>
    <t>A-005973</t>
  </si>
  <si>
    <t>Kritzer , Harvey</t>
  </si>
  <si>
    <t>8319 E Welsh</t>
  </si>
  <si>
    <t>A-000135</t>
  </si>
  <si>
    <t>Kroeger, Stephanie</t>
  </si>
  <si>
    <t>1655 E Heather Ave</t>
  </si>
  <si>
    <t>A-013056</t>
  </si>
  <si>
    <t>Kronenberg, Jeanne and Robert</t>
  </si>
  <si>
    <t>8743 W Tierra Buena</t>
  </si>
  <si>
    <t>A-012613</t>
  </si>
  <si>
    <t>Kubik,Paul</t>
  </si>
  <si>
    <t>616 E Meadow Ln</t>
  </si>
  <si>
    <t>A-007954</t>
  </si>
  <si>
    <t>Laing, Jim</t>
  </si>
  <si>
    <t>8327 E Virginia Ave</t>
  </si>
  <si>
    <t>A-004514</t>
  </si>
  <si>
    <t>Lamberty, Maria</t>
  </si>
  <si>
    <t>10821 W. Quail Ave.</t>
  </si>
  <si>
    <t>A-005879</t>
  </si>
  <si>
    <t>Lammers, Rickie</t>
  </si>
  <si>
    <t>11539 E. Ramblewood Ave.</t>
  </si>
  <si>
    <t>A-068557</t>
  </si>
  <si>
    <t>Lanciloti, Tamara</t>
  </si>
  <si>
    <t>3060 North Ridgecrest unit 172</t>
  </si>
  <si>
    <t>A-024545</t>
  </si>
  <si>
    <t>Lapre, Mike</t>
  </si>
  <si>
    <t>20070 N 95th St</t>
  </si>
  <si>
    <t>A-007696</t>
  </si>
  <si>
    <t>Larsen, Troy &amp; Sheila</t>
  </si>
  <si>
    <t>2056 E Laurel St</t>
  </si>
  <si>
    <t>A-009662</t>
  </si>
  <si>
    <t>Lavine, Georgia &amp; Scott</t>
  </si>
  <si>
    <t>6999 West Antelope Drive</t>
  </si>
  <si>
    <t>A-002757</t>
  </si>
  <si>
    <t>Lee, Gary</t>
  </si>
  <si>
    <t>20399 N. 74th Ln.</t>
  </si>
  <si>
    <t>A-012691</t>
  </si>
  <si>
    <t>Lee, Karyn</t>
  </si>
  <si>
    <t>2105 East Indian Wells Drive</t>
  </si>
  <si>
    <t>A-001951</t>
  </si>
  <si>
    <t>Leggat, Jen &amp; Andy</t>
  </si>
  <si>
    <t>5301 E Danbury Road</t>
  </si>
  <si>
    <t>A-003197</t>
  </si>
  <si>
    <t>Lehr, Christian &amp; Debbie</t>
  </si>
  <si>
    <t>2258 E. Heston Dr.</t>
  </si>
  <si>
    <t>A-024216</t>
  </si>
  <si>
    <t>Leitzell, Steve</t>
  </si>
  <si>
    <t>10462 E Thatcher Avenue</t>
  </si>
  <si>
    <t>A-007973</t>
  </si>
  <si>
    <t>Letrich, Susan</t>
  </si>
  <si>
    <t>409 E. Princeton Ave.</t>
  </si>
  <si>
    <t>A-046769</t>
  </si>
  <si>
    <t>Letterly, Dale</t>
  </si>
  <si>
    <t>10309 West Santiago Drive</t>
  </si>
  <si>
    <t>A-007777</t>
  </si>
  <si>
    <t>Lewis, Emily</t>
  </si>
  <si>
    <t>1513 W. Chilton Ave.</t>
  </si>
  <si>
    <t>A-025101</t>
  </si>
  <si>
    <t>Lewis, Timothy and Nancy</t>
  </si>
  <si>
    <t>5434 E Desert Forest Trail</t>
  </si>
  <si>
    <t>A-006308</t>
  </si>
  <si>
    <t>Light, Jason</t>
  </si>
  <si>
    <t>8625 E. San Marcos Drive</t>
  </si>
  <si>
    <t>A-010668</t>
  </si>
  <si>
    <t>Lilla, Sandy</t>
  </si>
  <si>
    <t>18149 W Vogel Ave</t>
  </si>
  <si>
    <t>A-025182</t>
  </si>
  <si>
    <t>Livingstone, Alvin</t>
  </si>
  <si>
    <t>10017 South 28th Drive</t>
  </si>
  <si>
    <t>A-053727</t>
  </si>
  <si>
    <t>Long, Dan</t>
  </si>
  <si>
    <t>5612 North 20th Place</t>
  </si>
  <si>
    <t>A-022564</t>
  </si>
  <si>
    <t>Long, Tamera</t>
  </si>
  <si>
    <t>350 E. Orange Dr.</t>
  </si>
  <si>
    <t>A-022461</t>
  </si>
  <si>
    <t>Lopez, Hector</t>
  </si>
  <si>
    <t>2026 N. 27th Pl.</t>
  </si>
  <si>
    <t>A-032569</t>
  </si>
  <si>
    <t>Love, Karri</t>
  </si>
  <si>
    <t>7430 East Kilarea Avenue</t>
  </si>
  <si>
    <t>A-067944</t>
  </si>
  <si>
    <t>Lujan, Jess</t>
  </si>
  <si>
    <t>1202 East Milada Drive</t>
  </si>
  <si>
    <t>A-008956</t>
  </si>
  <si>
    <t>Lundberg, David and Maralee</t>
  </si>
  <si>
    <t>5436 East Charleston Avenue</t>
  </si>
  <si>
    <t>A-068891</t>
  </si>
  <si>
    <t>Lunde, Kyle</t>
  </si>
  <si>
    <t>1092 West Paradise Place</t>
  </si>
  <si>
    <t>A-005522</t>
  </si>
  <si>
    <t>Lynch, Jessicah</t>
  </si>
  <si>
    <t>14912 N 74th Ln</t>
  </si>
  <si>
    <t>A-000945</t>
  </si>
  <si>
    <t>Mackey, Felicia &amp; James</t>
  </si>
  <si>
    <t>5435 W. St. Kateri Dr</t>
  </si>
  <si>
    <t>A-035293</t>
  </si>
  <si>
    <t>Maher, John</t>
  </si>
  <si>
    <t>85 West Pecan Place</t>
  </si>
  <si>
    <t>A-007960</t>
  </si>
  <si>
    <t>Mahmoud, Linda R</t>
  </si>
  <si>
    <t>6918 E. Monte Ave.</t>
  </si>
  <si>
    <t>Todd Steil</t>
  </si>
  <si>
    <t>A-006603</t>
  </si>
  <si>
    <t>Mandarino, Gary</t>
  </si>
  <si>
    <t>439 E. Mary Ln.</t>
  </si>
  <si>
    <t>A-013827</t>
  </si>
  <si>
    <t>Manthey, Lawrence</t>
  </si>
  <si>
    <t>28057 N. Quartz Dr</t>
  </si>
  <si>
    <t>A-033669</t>
  </si>
  <si>
    <t>Martin, Sherry</t>
  </si>
  <si>
    <t>6415 West Poinsettia Drive</t>
  </si>
  <si>
    <t>Fernando Montes</t>
  </si>
  <si>
    <t>A-027972</t>
  </si>
  <si>
    <t>Mathew, Naveen</t>
  </si>
  <si>
    <t>11840 N. Blackheath Rd</t>
  </si>
  <si>
    <t>A-067719</t>
  </si>
  <si>
    <t>Maxfield, Sue</t>
  </si>
  <si>
    <t>5201 West Shangri-la Road</t>
  </si>
  <si>
    <t>A-063419</t>
  </si>
  <si>
    <t>McCarthy, Sharyl</t>
  </si>
  <si>
    <t>651 North Lisbon Court</t>
  </si>
  <si>
    <t>A-003449</t>
  </si>
  <si>
    <t>McCormick, Kathy &amp; James</t>
  </si>
  <si>
    <t>1874 E. Locust Pl</t>
  </si>
  <si>
    <t>A-012982</t>
  </si>
  <si>
    <t>McCullough, Steve</t>
  </si>
  <si>
    <t>37007 N 11th Ave</t>
  </si>
  <si>
    <t>A-069289</t>
  </si>
  <si>
    <t>McEntee, David</t>
  </si>
  <si>
    <t>380 East Wiley Way</t>
  </si>
  <si>
    <t>A-008075</t>
  </si>
  <si>
    <t>McFadden, Michael</t>
  </si>
  <si>
    <t>4718 S Clark Drive</t>
  </si>
  <si>
    <t>A-023582</t>
  </si>
  <si>
    <t>McFate, Ashley &amp; Mark</t>
  </si>
  <si>
    <t>822 W Linger Lane</t>
  </si>
  <si>
    <t>A-008057</t>
  </si>
  <si>
    <t>McGready, Mark</t>
  </si>
  <si>
    <t>7710 W Carlota Ln</t>
  </si>
  <si>
    <t>A-000182</t>
  </si>
  <si>
    <t>McInnis, Ann</t>
  </si>
  <si>
    <t>2061 E Runaway Bay Place</t>
  </si>
  <si>
    <t>A-024704</t>
  </si>
  <si>
    <t>McLaughlin, Dallas</t>
  </si>
  <si>
    <t>1260 E Divot Drive</t>
  </si>
  <si>
    <t>A-009351</t>
  </si>
  <si>
    <t>McLuhan, John</t>
  </si>
  <si>
    <t>1324 W Medinah Ct</t>
  </si>
  <si>
    <t>A-006291</t>
  </si>
  <si>
    <t>McNelis, Laura (ONE free filter clean A year)</t>
  </si>
  <si>
    <t>14049 N 106th Pl</t>
  </si>
  <si>
    <t>A-033636</t>
  </si>
  <si>
    <t>Mecham, Allison</t>
  </si>
  <si>
    <t>29516 West Whitton Avenue</t>
  </si>
  <si>
    <t>A-069075</t>
  </si>
  <si>
    <t>Mendoza, Martin</t>
  </si>
  <si>
    <t>2115 North Almond</t>
  </si>
  <si>
    <t>A-000442</t>
  </si>
  <si>
    <t>Messer, Brad</t>
  </si>
  <si>
    <t>31345 N 137th Ln</t>
  </si>
  <si>
    <t>A-003504</t>
  </si>
  <si>
    <t>Messinger, Glen</t>
  </si>
  <si>
    <t>7156 W Willow Ave</t>
  </si>
  <si>
    <t>A-002114</t>
  </si>
  <si>
    <t>Metz, Rae and Kelly</t>
  </si>
  <si>
    <t>8544 E Irish Hunter Trail</t>
  </si>
  <si>
    <t>A-000120</t>
  </si>
  <si>
    <t>Meyer, Karen and Jeff</t>
  </si>
  <si>
    <t>1801 S Carriage Lane</t>
  </si>
  <si>
    <t>A-068171</t>
  </si>
  <si>
    <t>Milano, Bambi</t>
  </si>
  <si>
    <t>10188 East Open Sky Drive</t>
  </si>
  <si>
    <t>A-022200</t>
  </si>
  <si>
    <t>Miller, Bret</t>
  </si>
  <si>
    <t>17107 W Tara Ln</t>
  </si>
  <si>
    <t>A-069502</t>
  </si>
  <si>
    <t>Miller, Drew</t>
  </si>
  <si>
    <t>3712 North Copenhagen Drive</t>
  </si>
  <si>
    <t>A-067217</t>
  </si>
  <si>
    <t>Miller, Jack</t>
  </si>
  <si>
    <t>823 East Dragon Springs Drive</t>
  </si>
  <si>
    <t>A-067027</t>
  </si>
  <si>
    <t>Milligan, Katie</t>
  </si>
  <si>
    <t>3710 East Louise Drive</t>
  </si>
  <si>
    <t>A-004609</t>
  </si>
  <si>
    <t>Millman, Michele</t>
  </si>
  <si>
    <t>642 E Leah Lane</t>
  </si>
  <si>
    <t>A-006597</t>
  </si>
  <si>
    <t>Miroballi, Barbara</t>
  </si>
  <si>
    <t>1253 N 86th Pl</t>
  </si>
  <si>
    <t>A-033789</t>
  </si>
  <si>
    <t>Mitchell, Lucas</t>
  </si>
  <si>
    <t>4137 West Cielo Grande</t>
  </si>
  <si>
    <t>A-002358</t>
  </si>
  <si>
    <t>Mnichowicz, Mike</t>
  </si>
  <si>
    <t>8419 E Redwing Rd</t>
  </si>
  <si>
    <t>A-005205</t>
  </si>
  <si>
    <t>Moelk True, Linda</t>
  </si>
  <si>
    <t>9613 E Sundune Dr</t>
  </si>
  <si>
    <t>A-005654</t>
  </si>
  <si>
    <t>Mohr, Donna</t>
  </si>
  <si>
    <t>7130 E. Saddleback St. #21</t>
  </si>
  <si>
    <t>A-003433</t>
  </si>
  <si>
    <t>Mojica, Juan &amp; Michelle</t>
  </si>
  <si>
    <t>2172 N 144th Dr</t>
  </si>
  <si>
    <t>A-007754</t>
  </si>
  <si>
    <t>Molinar, Art</t>
  </si>
  <si>
    <t>401 W Straford Dr</t>
  </si>
  <si>
    <t>A-007280</t>
  </si>
  <si>
    <t>Montes Diana</t>
  </si>
  <si>
    <t>4149 E. Coronado Rd.</t>
  </si>
  <si>
    <t>A-005546</t>
  </si>
  <si>
    <t>Montgomery, Chad</t>
  </si>
  <si>
    <t>8730 E Remuda</t>
  </si>
  <si>
    <t>A-001616</t>
  </si>
  <si>
    <t>Montgomery, Ruth</t>
  </si>
  <si>
    <t>7933 N. 177th Ave</t>
  </si>
  <si>
    <t>A-012953</t>
  </si>
  <si>
    <t>Montoya, Frank</t>
  </si>
  <si>
    <t>170 W Calle Monte Vista</t>
  </si>
  <si>
    <t>A-069081</t>
  </si>
  <si>
    <t>Mora, Angel</t>
  </si>
  <si>
    <t>2634 South 63rd Drive</t>
  </si>
  <si>
    <t>A-022476</t>
  </si>
  <si>
    <t>Mora, Daniel and Olga</t>
  </si>
  <si>
    <t>9031 W Glenrosa Ave.</t>
  </si>
  <si>
    <t>A-006651</t>
  </si>
  <si>
    <t>Morazan, Ramona</t>
  </si>
  <si>
    <t>2599 E Kaibab Pl</t>
  </si>
  <si>
    <t>A-009102</t>
  </si>
  <si>
    <t>Morgan, Debbie</t>
  </si>
  <si>
    <t>7701 W Alexandria Way</t>
  </si>
  <si>
    <t>A-003420</t>
  </si>
  <si>
    <t>Mulder, Glen and Deborah</t>
  </si>
  <si>
    <t>5201 W Campo Bello Dr</t>
  </si>
  <si>
    <t>A-003409</t>
  </si>
  <si>
    <t>Musa, Edward and Tiffany</t>
  </si>
  <si>
    <t>15130 W. Rachel Cir.</t>
  </si>
  <si>
    <t>A-067798</t>
  </si>
  <si>
    <t>Nabi, Sara</t>
  </si>
  <si>
    <t>1830 Marble Ridge Drive</t>
  </si>
  <si>
    <t>A-006919</t>
  </si>
  <si>
    <t>Navarro, Alex</t>
  </si>
  <si>
    <t>9562 W. Diana Ave</t>
  </si>
  <si>
    <t>A-006243</t>
  </si>
  <si>
    <t>Neitch, Kammy</t>
  </si>
  <si>
    <t>29768 N 69th Dr</t>
  </si>
  <si>
    <t>A-012739</t>
  </si>
  <si>
    <t>Neuberg, Erika &amp; Steve</t>
  </si>
  <si>
    <t>700 N Dobson Lot#9</t>
  </si>
  <si>
    <t>A-033258</t>
  </si>
  <si>
    <t>Norden, Chris</t>
  </si>
  <si>
    <t>5265 East Halifax Street</t>
  </si>
  <si>
    <t>A-068550</t>
  </si>
  <si>
    <t>Olivarez, Fernando</t>
  </si>
  <si>
    <t>818 West Kelso Street</t>
  </si>
  <si>
    <t>A-008725</t>
  </si>
  <si>
    <t>Olsen, Lance and Brenda</t>
  </si>
  <si>
    <t>4628 W Laurie Lane</t>
  </si>
  <si>
    <t>A-068418</t>
  </si>
  <si>
    <t>Omira, Elisa</t>
  </si>
  <si>
    <t>2418 East Peach Tree Drive</t>
  </si>
  <si>
    <t>A-069545</t>
  </si>
  <si>
    <t>OnQ Property Management</t>
  </si>
  <si>
    <t>1641 North Westridge Avenue</t>
  </si>
  <si>
    <t>A-007775</t>
  </si>
  <si>
    <t>Ormiston, Michael</t>
  </si>
  <si>
    <t>1800 E Park Ave.</t>
  </si>
  <si>
    <t>A-001607</t>
  </si>
  <si>
    <t>Ortega, Tom and Stacia</t>
  </si>
  <si>
    <t>7015 N. 2nd St.</t>
  </si>
  <si>
    <t>A-004858</t>
  </si>
  <si>
    <t>Parrott, Tom and Cathey</t>
  </si>
  <si>
    <t>18443 W. Rancho Ct</t>
  </si>
  <si>
    <t>A-002713</t>
  </si>
  <si>
    <t>Parten, Steve and Kay</t>
  </si>
  <si>
    <t>8115 W Briden Lane</t>
  </si>
  <si>
    <t>A-005250</t>
  </si>
  <si>
    <t>Patel, Rahul and Janki</t>
  </si>
  <si>
    <t>20325 N 96th Way</t>
  </si>
  <si>
    <t>A-004124</t>
  </si>
  <si>
    <t>Patten, Andrew</t>
  </si>
  <si>
    <t>1774 E. Los Alamos St.</t>
  </si>
  <si>
    <t>A-068219</t>
  </si>
  <si>
    <t>Pawlikowski, Troy</t>
  </si>
  <si>
    <t>371 East Rio Place</t>
  </si>
  <si>
    <t>A-010045</t>
  </si>
  <si>
    <t>Penkrot, Tonya</t>
  </si>
  <si>
    <t>335 E Whitton Ave</t>
  </si>
  <si>
    <t>A-002397</t>
  </si>
  <si>
    <t>Pennock, Bill and Barbara</t>
  </si>
  <si>
    <t>6701 E Crested Saguaro Ln</t>
  </si>
  <si>
    <t>A-000434</t>
  </si>
  <si>
    <t>Perez, Jose</t>
  </si>
  <si>
    <t>19873 E Thornton Road</t>
  </si>
  <si>
    <t>A-002422</t>
  </si>
  <si>
    <t>Perkins, Gary and Christine</t>
  </si>
  <si>
    <t>17006 S. 34th Pl.</t>
  </si>
  <si>
    <t>A-024724</t>
  </si>
  <si>
    <t>Peterson, Scott</t>
  </si>
  <si>
    <t>3111 S. Valerie Dr</t>
  </si>
  <si>
    <t>A-022508</t>
  </si>
  <si>
    <t>Peterson, Sharon</t>
  </si>
  <si>
    <t>6315 E Marilyn Rd</t>
  </si>
  <si>
    <t>A-011419</t>
  </si>
  <si>
    <t>Petko, Bonnie &amp; Jim</t>
  </si>
  <si>
    <t>1007 N 92nd Circle</t>
  </si>
  <si>
    <t>A-005306</t>
  </si>
  <si>
    <t>Pfau, Chrissy</t>
  </si>
  <si>
    <t>9339 W Carol Ave</t>
  </si>
  <si>
    <t>A-068541</t>
  </si>
  <si>
    <t>Phillips, Don</t>
  </si>
  <si>
    <t>44934 Jack Rabbit Trail</t>
  </si>
  <si>
    <t>A-024261</t>
  </si>
  <si>
    <t>Phipps, Andrew</t>
  </si>
  <si>
    <t>3522 E Caballero St</t>
  </si>
  <si>
    <t>A-012997</t>
  </si>
  <si>
    <t>Piche, Gary</t>
  </si>
  <si>
    <t>22038 N. 80th Ave.</t>
  </si>
  <si>
    <t>A-007680</t>
  </si>
  <si>
    <t>Pignotti, Chris</t>
  </si>
  <si>
    <t>2 West Marconi Avenue</t>
  </si>
  <si>
    <t>A-068849</t>
  </si>
  <si>
    <t>Piper, Benjamin</t>
  </si>
  <si>
    <t>6117 North 8th Avenue</t>
  </si>
  <si>
    <t>A-003065</t>
  </si>
  <si>
    <t>Pitterle, Issac</t>
  </si>
  <si>
    <t>1342 E Pedro Road</t>
  </si>
  <si>
    <t>A-047869</t>
  </si>
  <si>
    <t>Platsky, Scott</t>
  </si>
  <si>
    <t>3832 West Cactus Wren Drive</t>
  </si>
  <si>
    <t>A-067375</t>
  </si>
  <si>
    <t>Pobrislo, Jim</t>
  </si>
  <si>
    <t>5535 North Grande Avenue</t>
  </si>
  <si>
    <t>A-025294</t>
  </si>
  <si>
    <t>Pool, Jan</t>
  </si>
  <si>
    <t>17380 N 168th Lane</t>
  </si>
  <si>
    <t>A-002702</t>
  </si>
  <si>
    <t>Pool, Jason and Danielle</t>
  </si>
  <si>
    <t>5506 W Big Oak Street</t>
  </si>
  <si>
    <t>A-008039</t>
  </si>
  <si>
    <t>Popescu, Maria</t>
  </si>
  <si>
    <t>17822 N. 75th Ave.</t>
  </si>
  <si>
    <t>A-065092</t>
  </si>
  <si>
    <t>Popp, Dennis</t>
  </si>
  <si>
    <t>5509 N Crow Dr</t>
  </si>
  <si>
    <t>A-008703</t>
  </si>
  <si>
    <t>Power, Robert &amp; Tammy</t>
  </si>
  <si>
    <t>8717 E Irish Hunter Trl.</t>
  </si>
  <si>
    <t>A-024578</t>
  </si>
  <si>
    <t>Power, Robert and Tammy</t>
  </si>
  <si>
    <t>9298 N 115th St</t>
  </si>
  <si>
    <t>A-008377</t>
  </si>
  <si>
    <t>Prince, Gary</t>
  </si>
  <si>
    <t>13912 N 110th Street</t>
  </si>
  <si>
    <t>A-001989</t>
  </si>
  <si>
    <t>Pristave, Don &amp; Patricia</t>
  </si>
  <si>
    <t>3580 E Los Altos Rd</t>
  </si>
  <si>
    <t>A-009027</t>
  </si>
  <si>
    <t>Pruitt, Donald</t>
  </si>
  <si>
    <t>2919 S Cottonwood Ln</t>
  </si>
  <si>
    <t>A-006675</t>
  </si>
  <si>
    <t>Raju, Gopal</t>
  </si>
  <si>
    <t>326 W Alamosa Dr</t>
  </si>
  <si>
    <t>A-056056</t>
  </si>
  <si>
    <t>Ramirez, Domingo</t>
  </si>
  <si>
    <t>4985 Solana Circle</t>
  </si>
  <si>
    <t>A-003396</t>
  </si>
  <si>
    <t>Rankin, Susan</t>
  </si>
  <si>
    <t>42415 N 1st Street</t>
  </si>
  <si>
    <t>A-069490</t>
  </si>
  <si>
    <t>Real brokerAZ</t>
  </si>
  <si>
    <t>19685 East Escalante Road</t>
  </si>
  <si>
    <t>Charles Gay</t>
  </si>
  <si>
    <t>A-024779</t>
  </si>
  <si>
    <t>Reber, Darin &amp; Leslie</t>
  </si>
  <si>
    <t>3149 S Roanoke St</t>
  </si>
  <si>
    <t>A-008634</t>
  </si>
  <si>
    <t>Reckers, Pat</t>
  </si>
  <si>
    <t>7461 S. Rita Ln</t>
  </si>
  <si>
    <t>A-009731</t>
  </si>
  <si>
    <t>Reddy, Don</t>
  </si>
  <si>
    <t>5568 W Rose Garden Lane</t>
  </si>
  <si>
    <t>A-022666</t>
  </si>
  <si>
    <t>Reed, Brian</t>
  </si>
  <si>
    <t>3026 E DesMoines St</t>
  </si>
  <si>
    <t>A-008760</t>
  </si>
  <si>
    <t>Reidy, Richard</t>
  </si>
  <si>
    <t>7801 E. Cypress St.</t>
  </si>
  <si>
    <t>A-001710</t>
  </si>
  <si>
    <t>Reinhardt, David and Kristen</t>
  </si>
  <si>
    <t>20586 W Canyon Dr</t>
  </si>
  <si>
    <t>A-050610</t>
  </si>
  <si>
    <t>Richard, Gary</t>
  </si>
  <si>
    <t>20768 North 76th Way</t>
  </si>
  <si>
    <t>A-068618</t>
  </si>
  <si>
    <t>Rick Thonpson</t>
  </si>
  <si>
    <t>3094 East Mead Drive</t>
  </si>
  <si>
    <t>A-049298</t>
  </si>
  <si>
    <t>Roberts, Christopher</t>
  </si>
  <si>
    <t>7302 East Papago Drive</t>
  </si>
  <si>
    <t>A-007355</t>
  </si>
  <si>
    <t>Rodelas, Raul &amp; Angela</t>
  </si>
  <si>
    <t>7114 N 23rd Pl</t>
  </si>
  <si>
    <t>A-034232</t>
  </si>
  <si>
    <t>Rodriguez Garcia, Alexander</t>
  </si>
  <si>
    <t>4120 South 96th Lane</t>
  </si>
  <si>
    <t>A-069367</t>
  </si>
  <si>
    <t>Rogers, Angelica</t>
  </si>
  <si>
    <t>9126 East Wolfberry Street</t>
  </si>
  <si>
    <t>A-008764</t>
  </si>
  <si>
    <t>Rogge, Cecilia and Gene</t>
  </si>
  <si>
    <t>1018 E Myrtle</t>
  </si>
  <si>
    <t>A-009711</t>
  </si>
  <si>
    <t>Rosen, Charles</t>
  </si>
  <si>
    <t>308 E Loma Vista Dr</t>
  </si>
  <si>
    <t>A-002022</t>
  </si>
  <si>
    <t>Ross, Robert &amp; Courtney</t>
  </si>
  <si>
    <t>1930 E Patrick Ln</t>
  </si>
  <si>
    <t>A-004521</t>
  </si>
  <si>
    <t>Rossi, Louis and Grace</t>
  </si>
  <si>
    <t>14594 W Laurel Lane</t>
  </si>
  <si>
    <t>A-069438</t>
  </si>
  <si>
    <t>Rowe, Roger</t>
  </si>
  <si>
    <t>1730 Hubbard Street</t>
  </si>
  <si>
    <t>A-005289</t>
  </si>
  <si>
    <t>Rowlette, Karla &amp; David</t>
  </si>
  <si>
    <t>8463 W Emile Zola Ave</t>
  </si>
  <si>
    <t>A-007734</t>
  </si>
  <si>
    <t>Royce, Faye</t>
  </si>
  <si>
    <t>15015 W. Charter Oak Rd.</t>
  </si>
  <si>
    <t>A-005874</t>
  </si>
  <si>
    <t>Rubin, Shawn &amp; Amanda</t>
  </si>
  <si>
    <t>39726 N Lost Legend Drive</t>
  </si>
  <si>
    <t>A-012952</t>
  </si>
  <si>
    <t>Russ, David &amp; Julie</t>
  </si>
  <si>
    <t>729 W Palm Ln</t>
  </si>
  <si>
    <t>A-033419</t>
  </si>
  <si>
    <t>Ryan, Jeffrey</t>
  </si>
  <si>
    <t>22310 North 94th Lane</t>
  </si>
  <si>
    <t>A-067728</t>
  </si>
  <si>
    <t>Ryden, Mitchell</t>
  </si>
  <si>
    <t>4403 East Briles Road</t>
  </si>
  <si>
    <t>A-024201</t>
  </si>
  <si>
    <t>Rygg, Sarah &amp; Joshua</t>
  </si>
  <si>
    <t>1126 W Madero Ave</t>
  </si>
  <si>
    <t>A-068937</t>
  </si>
  <si>
    <t>Saghafi, Hooman</t>
  </si>
  <si>
    <t>8494 East Desert Spring Street</t>
  </si>
  <si>
    <t>A-002707</t>
  </si>
  <si>
    <t>Salazar, Luis</t>
  </si>
  <si>
    <t>7430 West Hatcher Road</t>
  </si>
  <si>
    <t>A-004576</t>
  </si>
  <si>
    <t>Sammis, Doug</t>
  </si>
  <si>
    <t>8416 North 178th Avenue</t>
  </si>
  <si>
    <t>A-068326</t>
  </si>
  <si>
    <t>Sampson Brown, Julie</t>
  </si>
  <si>
    <t>3170 West Bayleaf Drive</t>
  </si>
  <si>
    <t>A-000492</t>
  </si>
  <si>
    <t>Sanchez, Antonio</t>
  </si>
  <si>
    <t>2019 N. Rascon Loop</t>
  </si>
  <si>
    <t>A-011705</t>
  </si>
  <si>
    <t>Sanchez, Mike</t>
  </si>
  <si>
    <t>520 W Palo Verde St</t>
  </si>
  <si>
    <t>A-004145</t>
  </si>
  <si>
    <t>Sanders, Ron and Jennifer</t>
  </si>
  <si>
    <t>7668 W. Via Del Sol.</t>
  </si>
  <si>
    <t>A-012692</t>
  </si>
  <si>
    <t>Sanderson, Scott</t>
  </si>
  <si>
    <t>7535 N. 46th Circle</t>
  </si>
  <si>
    <t>A-003567</t>
  </si>
  <si>
    <t>Sandolo, Mike and Sheila</t>
  </si>
  <si>
    <t>4592 S Star Canyon Dr.</t>
  </si>
  <si>
    <t>A-025458</t>
  </si>
  <si>
    <t>Sanelle, David and Jennifer</t>
  </si>
  <si>
    <t>17512 W Acapulco Ln</t>
  </si>
  <si>
    <t>A-057771</t>
  </si>
  <si>
    <t>Santiago, Rose</t>
  </si>
  <si>
    <t>43989 West Palo Abeto Drive</t>
  </si>
  <si>
    <t>A-005886</t>
  </si>
  <si>
    <t>Schad, Larry &amp; Alissa</t>
  </si>
  <si>
    <t>11015 N. 38th Drive</t>
  </si>
  <si>
    <t>A-034252</t>
  </si>
  <si>
    <t>Schaffer, Ashley</t>
  </si>
  <si>
    <t>314 West Curry Street</t>
  </si>
  <si>
    <t>A-008643</t>
  </si>
  <si>
    <t>Schaffer, Dale</t>
  </si>
  <si>
    <t>1043 E. Knight Ln</t>
  </si>
  <si>
    <t>A-066445</t>
  </si>
  <si>
    <t>Schauf, Lawrence</t>
  </si>
  <si>
    <t>11343 South Santa Fe Lane</t>
  </si>
  <si>
    <t>A-012702</t>
  </si>
  <si>
    <t>Schile, John</t>
  </si>
  <si>
    <t>2245 E County Down Drive</t>
  </si>
  <si>
    <t>A-025288</t>
  </si>
  <si>
    <t>Schlitzkus, William &amp; Anita</t>
  </si>
  <si>
    <t>11076 W Runion Dr</t>
  </si>
  <si>
    <t>A-006704</t>
  </si>
  <si>
    <t>Scholl, Debbie</t>
  </si>
  <si>
    <t>12951 E Corrine Dr</t>
  </si>
  <si>
    <t>A-035418</t>
  </si>
  <si>
    <t>Schultz, Tasha</t>
  </si>
  <si>
    <t>2226 East Hale Street</t>
  </si>
  <si>
    <t>A-007270</t>
  </si>
  <si>
    <t>Schwalbe, Tom</t>
  </si>
  <si>
    <t>7325 W. Dreyfus Dr.</t>
  </si>
  <si>
    <t>A-068711</t>
  </si>
  <si>
    <t>Scott, Merryam</t>
  </si>
  <si>
    <t>507 East Shawnee Road</t>
  </si>
  <si>
    <t>A-022640</t>
  </si>
  <si>
    <t>Scott, Vicki &amp; Byron</t>
  </si>
  <si>
    <t>8731 E Edward Ave.</t>
  </si>
  <si>
    <t>A-002381</t>
  </si>
  <si>
    <t>Sell , Jeanne and John</t>
  </si>
  <si>
    <t>4055 N Recker Rd Unit #3</t>
  </si>
  <si>
    <t>A-008047</t>
  </si>
  <si>
    <t>Seward, Raymond and Linda</t>
  </si>
  <si>
    <t>8725 E Hobarts St</t>
  </si>
  <si>
    <t>A-046748</t>
  </si>
  <si>
    <t>Shaffer, Chris</t>
  </si>
  <si>
    <t>2602 North 66th Street</t>
  </si>
  <si>
    <t>A-069072</t>
  </si>
  <si>
    <t>Shah, Krupesh</t>
  </si>
  <si>
    <t>6434 West Sunnyslope Lane</t>
  </si>
  <si>
    <t>A-068763</t>
  </si>
  <si>
    <t>Shipman, Blair and Tyler</t>
  </si>
  <si>
    <t>5343 East Grandview Road</t>
  </si>
  <si>
    <t>A-067957</t>
  </si>
  <si>
    <t>Shirk, Joshua</t>
  </si>
  <si>
    <t>15685 South Cherry Hills Drive</t>
  </si>
  <si>
    <t>A-067166</t>
  </si>
  <si>
    <t>Shulman, Paul</t>
  </si>
  <si>
    <t>2845 North Conestoga Avenue</t>
  </si>
  <si>
    <t>A-007267</t>
  </si>
  <si>
    <t>Siderewicz, Steve</t>
  </si>
  <si>
    <t>7239 S Bonarden Lane</t>
  </si>
  <si>
    <t>A-067160</t>
  </si>
  <si>
    <t>Sigley, Phyllis</t>
  </si>
  <si>
    <t>3415 East Acoma Drive</t>
  </si>
  <si>
    <t>A-023635</t>
  </si>
  <si>
    <t>Silberg, Howie</t>
  </si>
  <si>
    <t>1513 E. Taro Ln.</t>
  </si>
  <si>
    <t>A-024949</t>
  </si>
  <si>
    <t>Simpson, Jason</t>
  </si>
  <si>
    <t>7938 W Kimberly Way</t>
  </si>
  <si>
    <t>A-025126</t>
  </si>
  <si>
    <t>Sims, Mark</t>
  </si>
  <si>
    <t>18647 W Chuckwalla Canyon Rd</t>
  </si>
  <si>
    <t>A-005177</t>
  </si>
  <si>
    <t>Smason, Renee &amp; Joel</t>
  </si>
  <si>
    <t>3102 N 51st St</t>
  </si>
  <si>
    <t>A-022732</t>
  </si>
  <si>
    <t>Smith, David &amp; Traci</t>
  </si>
  <si>
    <t>9220 W Los Gatos Dr.</t>
  </si>
  <si>
    <t>A-069114</t>
  </si>
  <si>
    <t>Smith, Deborah</t>
  </si>
  <si>
    <t>297 West Seaside Drive</t>
  </si>
  <si>
    <t>A-022727</t>
  </si>
  <si>
    <t>Smith, Derek</t>
  </si>
  <si>
    <t>3915 W Gelding Dr</t>
  </si>
  <si>
    <t>A-022505</t>
  </si>
  <si>
    <t>Smith, Don</t>
  </si>
  <si>
    <t>9069 E Casitas Del Rio Dr.</t>
  </si>
  <si>
    <t>A-069418</t>
  </si>
  <si>
    <t>Smith, Michele</t>
  </si>
  <si>
    <t>2523 North Pony Lane</t>
  </si>
  <si>
    <t>A-022428</t>
  </si>
  <si>
    <t>Smith, Shannon &amp; Tommy</t>
  </si>
  <si>
    <t>5201 E Whitton Ave.</t>
  </si>
  <si>
    <t>A-004898</t>
  </si>
  <si>
    <t>Snailum, Richard</t>
  </si>
  <si>
    <t>16001 N 59th Street</t>
  </si>
  <si>
    <t>A-069584</t>
  </si>
  <si>
    <t>Songco, Albert &amp; Jackie</t>
  </si>
  <si>
    <t>9445 West Clara Lane</t>
  </si>
  <si>
    <t>A-066982</t>
  </si>
  <si>
    <t>Spencer, Ricky</t>
  </si>
  <si>
    <t>4530 West Laurel Lane</t>
  </si>
  <si>
    <t>A-068882</t>
  </si>
  <si>
    <t>Spoth, Pat</t>
  </si>
  <si>
    <t>2755 West Calle Del Norte Drive</t>
  </si>
  <si>
    <t>A-003815</t>
  </si>
  <si>
    <t>Stabler, Bob and Kelli</t>
  </si>
  <si>
    <t>3631 E Coconino Dr</t>
  </si>
  <si>
    <t>A-069195</t>
  </si>
  <si>
    <t>Starkey, Kyle</t>
  </si>
  <si>
    <t>12817 North 68th Place</t>
  </si>
  <si>
    <t>A-067261</t>
  </si>
  <si>
    <t>Stearns, Susan</t>
  </si>
  <si>
    <t>17934 West Montebello Avenue</t>
  </si>
  <si>
    <t>A-023902</t>
  </si>
  <si>
    <t>Stein, Liane</t>
  </si>
  <si>
    <t>4250 E. Casitas Del Rio Dr.</t>
  </si>
  <si>
    <t>A-023517</t>
  </si>
  <si>
    <t>Stephens, Clark</t>
  </si>
  <si>
    <t>1916 E Turney Ave</t>
  </si>
  <si>
    <t>A-003062</t>
  </si>
  <si>
    <t>Stevens, Mark</t>
  </si>
  <si>
    <t>3528 E. Fairfield Cir.</t>
  </si>
  <si>
    <t>A-003469</t>
  </si>
  <si>
    <t>Stockdale, Jeffery</t>
  </si>
  <si>
    <t>17622 West Evans Drive</t>
  </si>
  <si>
    <t>A-008036</t>
  </si>
  <si>
    <t>Stone, Karen</t>
  </si>
  <si>
    <t>19402 N. 9th Street</t>
  </si>
  <si>
    <t>A-011632</t>
  </si>
  <si>
    <t>Strabel, Bill and Brenda</t>
  </si>
  <si>
    <t>841 N Kingston St</t>
  </si>
  <si>
    <t>A-003104</t>
  </si>
  <si>
    <t>Sumner-Walker, Paula</t>
  </si>
  <si>
    <t>2464 E Browning Place</t>
  </si>
  <si>
    <t>A-005891</t>
  </si>
  <si>
    <t>Supyk, Brett &amp; Danielle</t>
  </si>
  <si>
    <t>318 W. Willow Ave.</t>
  </si>
  <si>
    <t>A-007771</t>
  </si>
  <si>
    <t>Surnamer, Andrew</t>
  </si>
  <si>
    <t>1835 W. Alamo Dr.</t>
  </si>
  <si>
    <t>A-013020</t>
  </si>
  <si>
    <t>Sweeney, Jennifer</t>
  </si>
  <si>
    <t>5813 N 131st Dr</t>
  </si>
  <si>
    <t>A-005280</t>
  </si>
  <si>
    <t>Talley, Sonja</t>
  </si>
  <si>
    <t>13632 W Windsor Blvd</t>
  </si>
  <si>
    <t>A-055928</t>
  </si>
  <si>
    <t>Taniguchi, Ryosuke</t>
  </si>
  <si>
    <t>15615 North 9th Avenue</t>
  </si>
  <si>
    <t>A-012660</t>
  </si>
  <si>
    <t>Tarkington, Tamara</t>
  </si>
  <si>
    <t>7323 W Park St</t>
  </si>
  <si>
    <t>A-002778</t>
  </si>
  <si>
    <t>Taska, John</t>
  </si>
  <si>
    <t>3121 North 50th Street</t>
  </si>
  <si>
    <t>A-028200</t>
  </si>
  <si>
    <t>Taylor, Alyssa</t>
  </si>
  <si>
    <t>1321 W Park St</t>
  </si>
  <si>
    <t>A-032607</t>
  </si>
  <si>
    <t>Taylor, Brennan De la Riva</t>
  </si>
  <si>
    <t>6877 West Pontiac Drive</t>
  </si>
  <si>
    <t>A-068948</t>
  </si>
  <si>
    <t>Teague, Cheryl</t>
  </si>
  <si>
    <t>528 East Wolf Hollow Drive</t>
  </si>
  <si>
    <t>A-001714</t>
  </si>
  <si>
    <t>Teel, John</t>
  </si>
  <si>
    <t>1033 E Harmont Dr</t>
  </si>
  <si>
    <t>A-008382</t>
  </si>
  <si>
    <t>Theall, Ann and Troy</t>
  </si>
  <si>
    <t>7625 W Michigan Ave</t>
  </si>
  <si>
    <t>A-002492</t>
  </si>
  <si>
    <t>Thomas, Chelsea and Scott</t>
  </si>
  <si>
    <t>2566 W Monte Ave</t>
  </si>
  <si>
    <t>A-023007</t>
  </si>
  <si>
    <t>Thomas, Kevin</t>
  </si>
  <si>
    <t>400 W Roadrunner Dr</t>
  </si>
  <si>
    <t>A-068893</t>
  </si>
  <si>
    <t>Thompson, Nicoli</t>
  </si>
  <si>
    <t>1631 West Carla Vista Drive</t>
  </si>
  <si>
    <t>A-005582</t>
  </si>
  <si>
    <t>Tiffany, David</t>
  </si>
  <si>
    <t>8714 E. Sandalwood</t>
  </si>
  <si>
    <t>A-067874</t>
  </si>
  <si>
    <t>Timmons, Tony VIP</t>
  </si>
  <si>
    <t>1639 West Indianola Avenue</t>
  </si>
  <si>
    <t>A-068729</t>
  </si>
  <si>
    <t>Titanic, Robert</t>
  </si>
  <si>
    <t>7113 North 183rd Avenue</t>
  </si>
  <si>
    <t>A-009364</t>
  </si>
  <si>
    <t>Tolar, Robert</t>
  </si>
  <si>
    <t>790 E Penny Ln</t>
  </si>
  <si>
    <t>A-008089</t>
  </si>
  <si>
    <t>Topham, Murray</t>
  </si>
  <si>
    <t>1101 W. Frier Dr.</t>
  </si>
  <si>
    <t>A-069111</t>
  </si>
  <si>
    <t>Torres, Jasmine</t>
  </si>
  <si>
    <t>10961 West Chase Lane</t>
  </si>
  <si>
    <t>A-068925</t>
  </si>
  <si>
    <t>Trink, Bob</t>
  </si>
  <si>
    <t>15657 North 60th Place</t>
  </si>
  <si>
    <t>A-007995</t>
  </si>
  <si>
    <t>Trojanowski, Linda</t>
  </si>
  <si>
    <t>18202 N 10th Dr.</t>
  </si>
  <si>
    <t>A-063370</t>
  </si>
  <si>
    <t>Turk, Calandra</t>
  </si>
  <si>
    <t>4235 East Equestrian Trail</t>
  </si>
  <si>
    <t>A-008670</t>
  </si>
  <si>
    <t>Uhlinger, Robert (one filter cleaning yearly)</t>
  </si>
  <si>
    <t>16420 N 63rd St</t>
  </si>
  <si>
    <t>A-006930</t>
  </si>
  <si>
    <t>Umstattd, John</t>
  </si>
  <si>
    <t>11631 W Cyprus Dr</t>
  </si>
  <si>
    <t>A-009660</t>
  </si>
  <si>
    <t>Valdez, Steve</t>
  </si>
  <si>
    <t>9047 W Harmont Dr</t>
  </si>
  <si>
    <t>A-007348</t>
  </si>
  <si>
    <t>Valencia, Joe</t>
  </si>
  <si>
    <t>6608 S. 16th Pl.</t>
  </si>
  <si>
    <t>A-000425</t>
  </si>
  <si>
    <t>Varilla, Rainer</t>
  </si>
  <si>
    <t>18145 W. Carol Ave.</t>
  </si>
  <si>
    <t>A-067216</t>
  </si>
  <si>
    <t>Vasquez, Angela</t>
  </si>
  <si>
    <t>5061 West Willow Run Lane</t>
  </si>
  <si>
    <t>A-068461</t>
  </si>
  <si>
    <t>Verduzco, Rolando</t>
  </si>
  <si>
    <t>6531 North Pontatoc Road</t>
  </si>
  <si>
    <t>A-031757</t>
  </si>
  <si>
    <t>Verkruijsse, Alex</t>
  </si>
  <si>
    <t>13939 East Ray Road</t>
  </si>
  <si>
    <t>A-007992</t>
  </si>
  <si>
    <t>Villa, Angel &amp; Jesenia</t>
  </si>
  <si>
    <t>3607 W. Mariposa</t>
  </si>
  <si>
    <t>A-006705</t>
  </si>
  <si>
    <t>Vincent, Patty</t>
  </si>
  <si>
    <t>39 E Maria Ln.</t>
  </si>
  <si>
    <t>A-022565</t>
  </si>
  <si>
    <t>Virgil, Stella</t>
  </si>
  <si>
    <t>4316 W Mescal St</t>
  </si>
  <si>
    <t>A-023506</t>
  </si>
  <si>
    <t>Vrablik, Jack &amp; Sara</t>
  </si>
  <si>
    <t>1532 West Indianola Avenue</t>
  </si>
  <si>
    <t>A-005602</t>
  </si>
  <si>
    <t>Wagner, Betty</t>
  </si>
  <si>
    <t>25613 N 55th Lane</t>
  </si>
  <si>
    <t>A-065063</t>
  </si>
  <si>
    <t>Wang 2, Chris</t>
  </si>
  <si>
    <t>30225 West Cheery Lynn Road</t>
  </si>
  <si>
    <t>A-065062</t>
  </si>
  <si>
    <t>Wang, Chris</t>
  </si>
  <si>
    <t>1337 East Martha Drive</t>
  </si>
  <si>
    <t>A-008092</t>
  </si>
  <si>
    <t>Warfel, Pam</t>
  </si>
  <si>
    <t>9332 E Cortez St</t>
  </si>
  <si>
    <t>A-012720</t>
  </si>
  <si>
    <t>Wasson, Amy and Barnaby</t>
  </si>
  <si>
    <t>4309 W Griswold</t>
  </si>
  <si>
    <t>A-007970</t>
  </si>
  <si>
    <t>Waterkotte, Mark</t>
  </si>
  <si>
    <t>3902 E. Hiddenview Dr</t>
  </si>
  <si>
    <t>A-010703</t>
  </si>
  <si>
    <t>Watley, Gordon</t>
  </si>
  <si>
    <t>18338 W Desert View Lane</t>
  </si>
  <si>
    <t>A-067501</t>
  </si>
  <si>
    <t>Watterson, Kevin (2)</t>
  </si>
  <si>
    <t>1339 West Linda Lane</t>
  </si>
  <si>
    <t>A-004846</t>
  </si>
  <si>
    <t>Weber, Brenda and Bill</t>
  </si>
  <si>
    <t>9161 W. Quail Track Drive</t>
  </si>
  <si>
    <t>A-001627</t>
  </si>
  <si>
    <t>Whitcomb, Lynne</t>
  </si>
  <si>
    <t>8708 E. San Marcos Dr.</t>
  </si>
  <si>
    <t>A-069543</t>
  </si>
  <si>
    <t>White, Steve</t>
  </si>
  <si>
    <t>1136 East Avenida Isabella</t>
  </si>
  <si>
    <t>A-002322</t>
  </si>
  <si>
    <t>Whitney, Michelle</t>
  </si>
  <si>
    <t>2114 S. 109th Dr.</t>
  </si>
  <si>
    <t>A-068336</t>
  </si>
  <si>
    <t>Wilcher, Danielle</t>
  </si>
  <si>
    <t>8376 West Altos Drive</t>
  </si>
  <si>
    <t>A-012707</t>
  </si>
  <si>
    <t>Wilkes, William</t>
  </si>
  <si>
    <t>1404 W Spruce Drive</t>
  </si>
  <si>
    <t>A-068068</t>
  </si>
  <si>
    <t>Williams, Donn</t>
  </si>
  <si>
    <t>1350 East Angie Street</t>
  </si>
  <si>
    <t>A-002105</t>
  </si>
  <si>
    <t>Williams, Richard</t>
  </si>
  <si>
    <t>18119 N. 53rd Dr.</t>
  </si>
  <si>
    <t>A-065478</t>
  </si>
  <si>
    <t>Williams, Steve</t>
  </si>
  <si>
    <t>602 East Le Marche Avenue</t>
  </si>
  <si>
    <t>A-002851</t>
  </si>
  <si>
    <t>Willy, Andrew &amp; Andrea</t>
  </si>
  <si>
    <t>7908 E Kael Street</t>
  </si>
  <si>
    <t>A-005916</t>
  </si>
  <si>
    <t>Wingo, Kristie</t>
  </si>
  <si>
    <t>2727 N 153rd Dr</t>
  </si>
  <si>
    <t>A-000495</t>
  </si>
  <si>
    <t>Wiscombe, Michael</t>
  </si>
  <si>
    <t>1620 E Saltsage</t>
  </si>
  <si>
    <t>A-009011</t>
  </si>
  <si>
    <t>Wojtanowski, Michael</t>
  </si>
  <si>
    <t>1163 E Windsor Dr.</t>
  </si>
  <si>
    <t>A-007332</t>
  </si>
  <si>
    <t>Woodstead, Heather</t>
  </si>
  <si>
    <t>962 W. Parkway Blvd.</t>
  </si>
  <si>
    <t>A-010649</t>
  </si>
  <si>
    <t>Wray, Dylon &amp; Angela</t>
  </si>
  <si>
    <t>475 E Sherri Dr</t>
  </si>
  <si>
    <t>A-069255</t>
  </si>
  <si>
    <t>Wright, Dylan</t>
  </si>
  <si>
    <t>1520 South Sunnyvale Circle</t>
  </si>
  <si>
    <t>A-024118</t>
  </si>
  <si>
    <t>Wyatt, Jon</t>
  </si>
  <si>
    <t>8948 E Hannibal Street</t>
  </si>
  <si>
    <t>A-003403</t>
  </si>
  <si>
    <t>Wyatt, Rob</t>
  </si>
  <si>
    <t>207 E Devon Dr</t>
  </si>
  <si>
    <t>A-012735</t>
  </si>
  <si>
    <t>Yenerich, Scott</t>
  </si>
  <si>
    <t>1822 W Lantana Drive</t>
  </si>
  <si>
    <t>A-006613</t>
  </si>
  <si>
    <t>Ysasi, Rosalinda</t>
  </si>
  <si>
    <t>28 W Harwell Rd</t>
  </si>
  <si>
    <t>A-066968</t>
  </si>
  <si>
    <t>Yunkherr, Edward</t>
  </si>
  <si>
    <t>1131 West Lone Star Mine Place</t>
  </si>
  <si>
    <t>A-053653</t>
  </si>
  <si>
    <t>Zaharia, Arnold</t>
  </si>
  <si>
    <t>3712 West Calle Poco Rd</t>
  </si>
  <si>
    <t>A-033327</t>
  </si>
  <si>
    <t>Ziesmer, Elise</t>
  </si>
  <si>
    <t>3114 South Martingale Road</t>
  </si>
  <si>
    <t>A-064717</t>
  </si>
  <si>
    <t>Zimmerman, Stefan</t>
  </si>
  <si>
    <t>14826 North 55th Place</t>
  </si>
  <si>
    <t>A-011676</t>
  </si>
  <si>
    <t>Papagari, Anantha</t>
  </si>
  <si>
    <t>532 West Wildhorse Drive</t>
  </si>
  <si>
    <t>A-025523</t>
  </si>
  <si>
    <t>Reed, Tim</t>
  </si>
  <si>
    <t>15558 W Montecito Ave</t>
  </si>
  <si>
    <t>A-054697</t>
  </si>
  <si>
    <t>Schneider, Shari</t>
  </si>
  <si>
    <t>515 West Melody Drive</t>
  </si>
  <si>
    <t>A-051520</t>
  </si>
  <si>
    <t>Watson, Greg</t>
  </si>
  <si>
    <t>27800 North 59th Place</t>
  </si>
  <si>
    <t>A-050286</t>
  </si>
  <si>
    <t>Vanhorn, Mary</t>
  </si>
  <si>
    <t>1704 West Weldon Avenue</t>
  </si>
  <si>
    <t>A-047707</t>
  </si>
  <si>
    <t>Wright, Jim</t>
  </si>
  <si>
    <t>1727 East Myrtle Avenue</t>
  </si>
  <si>
    <t>A-052203</t>
  </si>
  <si>
    <t>Askew, CJ</t>
  </si>
  <si>
    <t>3926 North Dead Wood Drive</t>
  </si>
  <si>
    <t>A-050898</t>
  </si>
  <si>
    <t>Robinson, Kathryn</t>
  </si>
  <si>
    <t>4550 North Territory Place</t>
  </si>
  <si>
    <t>A-048278</t>
  </si>
  <si>
    <t>Fountain, Harmony</t>
  </si>
  <si>
    <t>1581 North Desert Willow Street</t>
  </si>
  <si>
    <t>A-034312</t>
  </si>
  <si>
    <t>Onigkeit, Ashley</t>
  </si>
  <si>
    <t>2525 East Dulcinea Trail</t>
  </si>
  <si>
    <t>A-028413</t>
  </si>
  <si>
    <t>Tinnin, Dustin</t>
  </si>
  <si>
    <t>1484 E Laurel Dr</t>
  </si>
  <si>
    <t>A-065194</t>
  </si>
  <si>
    <t>Davies, Morgan</t>
  </si>
  <si>
    <t>3121 North Hill Farm Drive</t>
  </si>
  <si>
    <t>A-006695</t>
  </si>
  <si>
    <t>McBride, Bud</t>
  </si>
  <si>
    <t>16611 S 34th Way</t>
  </si>
  <si>
    <t>A-066274</t>
  </si>
  <si>
    <t>Nelson, Leah</t>
  </si>
  <si>
    <t>737 East Mountain Sky Avenue</t>
  </si>
  <si>
    <t>A-002812</t>
  </si>
  <si>
    <t>Younkins, Annette</t>
  </si>
  <si>
    <t>3507 E Ashurst Drive</t>
  </si>
  <si>
    <t>A-031076</t>
  </si>
  <si>
    <t>Thomas, Adrienne</t>
  </si>
  <si>
    <t>2134 East Desert Drive</t>
  </si>
  <si>
    <t>A-035320</t>
  </si>
  <si>
    <t>Ahuja, Satyajeet</t>
  </si>
  <si>
    <t>2518 West Bent Tree Drive</t>
  </si>
  <si>
    <t>A-023543</t>
  </si>
  <si>
    <t>3150 N 41st Pl</t>
  </si>
  <si>
    <t>A-000591</t>
  </si>
  <si>
    <t>Hibbard, Steve &amp; Paula</t>
  </si>
  <si>
    <t>4001 W Park view Ln.</t>
  </si>
  <si>
    <t>A-022155</t>
  </si>
  <si>
    <t>Martin, Torry &amp; Debbie</t>
  </si>
  <si>
    <t>6233 W Sunnyside Dr</t>
  </si>
  <si>
    <t>A-022913</t>
  </si>
  <si>
    <t>Wagner, JR</t>
  </si>
  <si>
    <t>6426 W Voltaire Dr</t>
  </si>
  <si>
    <t>A-025174</t>
  </si>
  <si>
    <t>Williams, Michael</t>
  </si>
  <si>
    <t>3140 W Dobbins Rd</t>
  </si>
  <si>
    <t>A-004232</t>
  </si>
  <si>
    <t>Hassan, Waghia</t>
  </si>
  <si>
    <t>7054 E Meseto Ave.</t>
  </si>
  <si>
    <t>A-051069</t>
  </si>
  <si>
    <t>Pollack, Alex</t>
  </si>
  <si>
    <t>1841 East Montecito Avenue</t>
  </si>
  <si>
    <t>A-051115</t>
  </si>
  <si>
    <t>Sexton, Brandon</t>
  </si>
  <si>
    <t>1523 West Winter Drive</t>
  </si>
  <si>
    <t>A-007354</t>
  </si>
  <si>
    <t>Sherwood, Julie</t>
  </si>
  <si>
    <t>339 W. Lawrence Ln.</t>
  </si>
  <si>
    <t>A-022191</t>
  </si>
  <si>
    <t>Berg, Trina and William</t>
  </si>
  <si>
    <t>3103 W Anderson Dr</t>
  </si>
  <si>
    <t>A-050191</t>
  </si>
  <si>
    <t>Bradshaw, Misty and Nathan</t>
  </si>
  <si>
    <t>7628 East Hermosa Vista Drive</t>
  </si>
  <si>
    <t>A-035547</t>
  </si>
  <si>
    <t>Cerimeli, Tyler and Tasha</t>
  </si>
  <si>
    <t>2949 East Marlene Drive</t>
  </si>
  <si>
    <t>A-033684</t>
  </si>
  <si>
    <t>Deis, Melodie</t>
  </si>
  <si>
    <t>2337 East Farmdale Circle</t>
  </si>
  <si>
    <t>A-008740</t>
  </si>
  <si>
    <t>Long, Jerry</t>
  </si>
  <si>
    <t>6001 E Voltaire</t>
  </si>
  <si>
    <t>A-007294</t>
  </si>
  <si>
    <t>Michelle Blunt</t>
  </si>
  <si>
    <t>6741 S Callaway Dr</t>
  </si>
  <si>
    <t>A-008627</t>
  </si>
  <si>
    <t>Peiz, Gabriel</t>
  </si>
  <si>
    <t>5218 W. Grenadine Rd.</t>
  </si>
  <si>
    <t>A-034265</t>
  </si>
  <si>
    <t>Pitts, Phil</t>
  </si>
  <si>
    <t>6955 East Monte Avenue</t>
  </si>
  <si>
    <t>A-034697</t>
  </si>
  <si>
    <t>Plitt, Jordan</t>
  </si>
  <si>
    <t>3728 East Maffeo Road</t>
  </si>
  <si>
    <t>A-035608</t>
  </si>
  <si>
    <t>Sellers, Charles</t>
  </si>
  <si>
    <t>3626 South Newberry Road</t>
  </si>
  <si>
    <t>A-052589</t>
  </si>
  <si>
    <t>Desert View Behavioral Health</t>
  </si>
  <si>
    <t>9401 North 36th Avenue</t>
  </si>
  <si>
    <t>A-051939</t>
  </si>
  <si>
    <t>Fernandez, Juan</t>
  </si>
  <si>
    <t>3630 North 51st Place</t>
  </si>
  <si>
    <t>A-052522</t>
  </si>
  <si>
    <t>Gotlib, Aaron</t>
  </si>
  <si>
    <t>26225 North 46th Street</t>
  </si>
  <si>
    <t>A-028478</t>
  </si>
  <si>
    <t>Gruber, Ann</t>
  </si>
  <si>
    <t>20152 E Via Del Ranch</t>
  </si>
  <si>
    <t>85142-6263</t>
  </si>
  <si>
    <t>A-010073</t>
  </si>
  <si>
    <t>Kowalski, William</t>
  </si>
  <si>
    <t>11035 N 47th Dr</t>
  </si>
  <si>
    <t>A-054165</t>
  </si>
  <si>
    <t>Lueken, John</t>
  </si>
  <si>
    <t>36038 North 58th Street</t>
  </si>
  <si>
    <t>A-052887</t>
  </si>
  <si>
    <t>Parkes, Graeme</t>
  </si>
  <si>
    <t>17757 North 97th Place</t>
  </si>
  <si>
    <t>A-052617</t>
  </si>
  <si>
    <t>Singh, Davinder</t>
  </si>
  <si>
    <t>6822 West Williams Drive</t>
  </si>
  <si>
    <t>A-054400</t>
  </si>
  <si>
    <t>Stiglich, John</t>
  </si>
  <si>
    <t>5414 East Piping Rock Road</t>
  </si>
  <si>
    <t>A-014112</t>
  </si>
  <si>
    <t>Altman, Sharman</t>
  </si>
  <si>
    <t>3441 S. Saguaro Shadows Drive</t>
  </si>
  <si>
    <t>A-034809</t>
  </si>
  <si>
    <t>Bowden, Sabre</t>
  </si>
  <si>
    <t>4409 West Keating Circle</t>
  </si>
  <si>
    <t>A-008651</t>
  </si>
  <si>
    <t>Breinholt, Clareen</t>
  </si>
  <si>
    <t>845 N. Kachina Cir</t>
  </si>
  <si>
    <t>A-033281</t>
  </si>
  <si>
    <t>Burns, Tammi</t>
  </si>
  <si>
    <t>27505 North Gidiyup Trail</t>
  </si>
  <si>
    <t>A-014136</t>
  </si>
  <si>
    <t>Butcher, Gina</t>
  </si>
  <si>
    <t>7277 East Paseo San Andrés</t>
  </si>
  <si>
    <t>A-013449</t>
  </si>
  <si>
    <t>Byrne, Gary</t>
  </si>
  <si>
    <t>14559 S Brookhollow Rd</t>
  </si>
  <si>
    <t>A-013845</t>
  </si>
  <si>
    <t>Carleton, Betty &amp; Mark Orcutt</t>
  </si>
  <si>
    <t>14515 S Brook Hollow Dr</t>
  </si>
  <si>
    <t>A-032205</t>
  </si>
  <si>
    <t>Clarke, Dwight</t>
  </si>
  <si>
    <t>4510 North 183rd Avenue</t>
  </si>
  <si>
    <t>A-023959</t>
  </si>
  <si>
    <t>Cole, Christopher</t>
  </si>
  <si>
    <t>2413 W Sienna Bouquet Place</t>
  </si>
  <si>
    <t>A-047645</t>
  </si>
  <si>
    <t>Dilworth, Cindy</t>
  </si>
  <si>
    <t>6501 East Heather Drive</t>
  </si>
  <si>
    <t>A-013701</t>
  </si>
  <si>
    <t>Dunne, Tim</t>
  </si>
  <si>
    <t>4361 N Ventana Loop</t>
  </si>
  <si>
    <t>A-031430</t>
  </si>
  <si>
    <t>Elfenbein, Arthur</t>
  </si>
  <si>
    <t>5610 East Territory Drive</t>
  </si>
  <si>
    <t>A-050274</t>
  </si>
  <si>
    <t>Ellis, Cynthia &amp; Irv</t>
  </si>
  <si>
    <t>917 East Beth Drive</t>
  </si>
  <si>
    <t>A-031298</t>
  </si>
  <si>
    <t>Flores Residence</t>
  </si>
  <si>
    <t>33608 North 24th Drive</t>
  </si>
  <si>
    <t>PHX - SC - Route 1 - Kyle Sparrgrove</t>
  </si>
  <si>
    <t>A-024900</t>
  </si>
  <si>
    <t>Gibson, Donna and Rudy</t>
  </si>
  <si>
    <t>6626 W Bloomfield Rd</t>
  </si>
  <si>
    <t>A-032146</t>
  </si>
  <si>
    <t>Graham, Keenan</t>
  </si>
  <si>
    <t>3939 West Joan De Arc Avenue</t>
  </si>
  <si>
    <t>A-045271</t>
  </si>
  <si>
    <t>Harris, Kent</t>
  </si>
  <si>
    <t>3816 South Siesta Lane</t>
  </si>
  <si>
    <t>A-033841</t>
  </si>
  <si>
    <t>Hobohm, Dan</t>
  </si>
  <si>
    <t>2210 East Vista Avenue</t>
  </si>
  <si>
    <t>A-009985</t>
  </si>
  <si>
    <t>Hope, Julie</t>
  </si>
  <si>
    <t>13510 W Colter St</t>
  </si>
  <si>
    <t>A-028456</t>
  </si>
  <si>
    <t>Jancauskas, Justin</t>
  </si>
  <si>
    <t>290 E White Wing Court</t>
  </si>
  <si>
    <t>A-034598</t>
  </si>
  <si>
    <t>Jimenez, Rosenna</t>
  </si>
  <si>
    <t>905 West Julie Drive</t>
  </si>
  <si>
    <t>A-023063</t>
  </si>
  <si>
    <t>Johnson, Douglas</t>
  </si>
  <si>
    <t>450 West Casa Grande Lakes Boulevard North</t>
  </si>
  <si>
    <t>A-034500</t>
  </si>
  <si>
    <t>Kentola, Kevin</t>
  </si>
  <si>
    <t>5802 North 13th Place</t>
  </si>
  <si>
    <t>A-032639</t>
  </si>
  <si>
    <t>Lewis, William</t>
  </si>
  <si>
    <t>15296 North 102nd Street</t>
  </si>
  <si>
    <t>A-048375</t>
  </si>
  <si>
    <t>Lopez Roska, Berry</t>
  </si>
  <si>
    <t>20674 East Pummelos Road</t>
  </si>
  <si>
    <t>A-014170</t>
  </si>
  <si>
    <t>Martinez Residence</t>
  </si>
  <si>
    <t>800 W Bunker Hill Dr</t>
  </si>
  <si>
    <t>A-031163</t>
  </si>
  <si>
    <t>Masterson, Susan &amp; John</t>
  </si>
  <si>
    <t>4082 West Adobe Ranch Place</t>
  </si>
  <si>
    <t>A-048285</t>
  </si>
  <si>
    <t>McCarthy, Amanda &amp; Patricia</t>
  </si>
  <si>
    <t>3423 North 35th Street</t>
  </si>
  <si>
    <t>A-028671</t>
  </si>
  <si>
    <t>McCaster, Lorrie</t>
  </si>
  <si>
    <t>43265 W. Bailey Dr.</t>
  </si>
  <si>
    <t>A-031161</t>
  </si>
  <si>
    <t>Mehle, Will</t>
  </si>
  <si>
    <t>10575 North Stargazer Drive</t>
  </si>
  <si>
    <t>A-025066</t>
  </si>
  <si>
    <t>Moreland, Christopher</t>
  </si>
  <si>
    <t>11579 W Hopi St</t>
  </si>
  <si>
    <t>A-013702</t>
  </si>
  <si>
    <t>Myers, Larry</t>
  </si>
  <si>
    <t>6476 North Desert Breeze Court</t>
  </si>
  <si>
    <t>A-034569</t>
  </si>
  <si>
    <t>Palmer, Ann</t>
  </si>
  <si>
    <t>11449 Warrior Road</t>
  </si>
  <si>
    <t>A-025442</t>
  </si>
  <si>
    <t>Rathod, Kalpa</t>
  </si>
  <si>
    <t>9962 W Villa Lindo Dr</t>
  </si>
  <si>
    <t>A-028721</t>
  </si>
  <si>
    <t>Reves, Mike</t>
  </si>
  <si>
    <t>1669 E Cardinal Dr</t>
  </si>
  <si>
    <t>A-034379</t>
  </si>
  <si>
    <t>Rivas, Tonya</t>
  </si>
  <si>
    <t>1314 North Oak Street</t>
  </si>
  <si>
    <t>A-032088</t>
  </si>
  <si>
    <t>Rose, April</t>
  </si>
  <si>
    <t>5520 West Wagoner Road</t>
  </si>
  <si>
    <t>A-027954</t>
  </si>
  <si>
    <t>Royal, Cory</t>
  </si>
  <si>
    <t>15656 W Ventura St.</t>
  </si>
  <si>
    <t>A-013339</t>
  </si>
  <si>
    <t>Russell, Jim</t>
  </si>
  <si>
    <t>4180 N Kolb Rd</t>
  </si>
  <si>
    <t>A-049839</t>
  </si>
  <si>
    <t>Saunders, Mike</t>
  </si>
  <si>
    <t>4318 East Desert Marigold Drive</t>
  </si>
  <si>
    <t>A-013699</t>
  </si>
  <si>
    <t>Schunk-Peru, Richard</t>
  </si>
  <si>
    <t>7780 N. Nicole Pl</t>
  </si>
  <si>
    <t>A-014085</t>
  </si>
  <si>
    <t>Smith, Polly &amp; Harold</t>
  </si>
  <si>
    <t>1170  N Fairway Dr</t>
  </si>
  <si>
    <t>A-009796</t>
  </si>
  <si>
    <t>Spangler, Jenelle</t>
  </si>
  <si>
    <t>1018 E Redmon Dr</t>
  </si>
  <si>
    <t>A-024406</t>
  </si>
  <si>
    <t>Sreenivas, G</t>
  </si>
  <si>
    <t>1951 W Bartlett Ct</t>
  </si>
  <si>
    <t>A-028458</t>
  </si>
  <si>
    <t>Thouvenelle, Mari</t>
  </si>
  <si>
    <t>110 East Cornerstone Circle</t>
  </si>
  <si>
    <t>A-032918</t>
  </si>
  <si>
    <t>Torgerson, Michael</t>
  </si>
  <si>
    <t>6977 W River Trail</t>
  </si>
  <si>
    <t>A-055469</t>
  </si>
  <si>
    <t>Petrovich, Hugh</t>
  </si>
  <si>
    <t>240 West Angela Drive</t>
  </si>
  <si>
    <t>A-022629</t>
  </si>
  <si>
    <t>Richardson, Andy</t>
  </si>
  <si>
    <t>12178 E Shangri La</t>
  </si>
  <si>
    <t>A-056359</t>
  </si>
  <si>
    <t>United Methodist Center/ Matt Kuss</t>
  </si>
  <si>
    <t>21713 N 38th Way</t>
  </si>
  <si>
    <t>A-025227</t>
  </si>
  <si>
    <t>13201 W Rancho Drive</t>
  </si>
  <si>
    <t>A-053963</t>
  </si>
  <si>
    <t>Cronenberg, Stephan</t>
  </si>
  <si>
    <t>576 East Beauchamp Drive</t>
  </si>
  <si>
    <t>A-062733</t>
  </si>
  <si>
    <t>Darian, Ghasem  (No charge filter cleaning see contract)</t>
  </si>
  <si>
    <t>10916 East Winchcomb Drive</t>
  </si>
  <si>
    <t>A-032870</t>
  </si>
  <si>
    <t>Ahuja, Satyajee</t>
  </si>
  <si>
    <t>16807 North 50th Way</t>
  </si>
  <si>
    <t>A-004264</t>
  </si>
  <si>
    <t>Blumenfeld, Dan &amp; Lauren</t>
  </si>
  <si>
    <t>4426 E Cottonwood Lane</t>
  </si>
  <si>
    <t>A-007374</t>
  </si>
  <si>
    <t>Caponi, Charles</t>
  </si>
  <si>
    <t>4441 E Emile Zola Ave.</t>
  </si>
  <si>
    <t>A-007401</t>
  </si>
  <si>
    <t>Freeman, Marilyn</t>
  </si>
  <si>
    <t>1925 S Jacana Lane</t>
  </si>
  <si>
    <t>A-008027</t>
  </si>
  <si>
    <t>Hubley, Allen and Roseann</t>
  </si>
  <si>
    <t>10821 W Wilshire Dr</t>
  </si>
  <si>
    <t>A-052313</t>
  </si>
  <si>
    <t>Johnson, Robert</t>
  </si>
  <si>
    <t>3707 West Las Palmaritas Drive</t>
  </si>
  <si>
    <t>A-066593</t>
  </si>
  <si>
    <t>RE/MAX Casa Grande Korman, Kellee</t>
  </si>
  <si>
    <t>19142 West Val Vista Boulevard</t>
  </si>
  <si>
    <t>A-051563</t>
  </si>
  <si>
    <t>Salvatore, Joseph</t>
  </si>
  <si>
    <t>26257 North 45th Street</t>
  </si>
  <si>
    <t>A-004199</t>
  </si>
  <si>
    <t>Shannon, Craig</t>
  </si>
  <si>
    <t>828 N Robson</t>
  </si>
  <si>
    <t>A-022463</t>
  </si>
  <si>
    <t>Smith, Sandra &amp; Mike</t>
  </si>
  <si>
    <t>2610 E. Yucca St.</t>
  </si>
  <si>
    <t>A-012978</t>
  </si>
  <si>
    <t>Sullivan, Phillip and Joanne</t>
  </si>
  <si>
    <t>571 N Scott Dr.</t>
  </si>
  <si>
    <t>A-010689</t>
  </si>
  <si>
    <t>Uy, Jessica and Noel- NO AUTOPAY</t>
  </si>
  <si>
    <t>3343 E Joseph Way</t>
  </si>
  <si>
    <t>A-008003</t>
  </si>
  <si>
    <t>Wilkinson, Christine &amp; Scott</t>
  </si>
  <si>
    <t>7308 E. Glencove St.</t>
  </si>
  <si>
    <t>A-028694</t>
  </si>
  <si>
    <t>Brown, Cynthia</t>
  </si>
  <si>
    <t>971 East Penny Lane</t>
  </si>
  <si>
    <t>A-023055</t>
  </si>
  <si>
    <t>Cook, Jack</t>
  </si>
  <si>
    <t>1216 E Palo Verde Dr</t>
  </si>
  <si>
    <t>A-028431</t>
  </si>
  <si>
    <t>Cutlip, Kelly</t>
  </si>
  <si>
    <t>4619 W Horizon Ridge Drive</t>
  </si>
  <si>
    <t>A-014181</t>
  </si>
  <si>
    <t>Hopkins, Gary</t>
  </si>
  <si>
    <t>13396 N Palo Verde Dr</t>
  </si>
  <si>
    <t>A-012434</t>
  </si>
  <si>
    <t>Mayo, Ginger</t>
  </si>
  <si>
    <t>1204 W Ocotillo St.</t>
  </si>
  <si>
    <t>A-014106</t>
  </si>
  <si>
    <t>Parris, Linda</t>
  </si>
  <si>
    <t>368 West Key West Dr.</t>
  </si>
  <si>
    <t>A-013433</t>
  </si>
  <si>
    <t>Recek, Frank</t>
  </si>
  <si>
    <t>1184 E. Delano Dr.</t>
  </si>
  <si>
    <t>A-014095</t>
  </si>
  <si>
    <t>Renteria, Jessica</t>
  </si>
  <si>
    <t>2431 N. Casa Grande Ave.</t>
  </si>
  <si>
    <t>A-014195</t>
  </si>
  <si>
    <t>Ruiz, Jeanne</t>
  </si>
  <si>
    <t>1168 E Avenida Grande</t>
  </si>
  <si>
    <t>A-014150</t>
  </si>
  <si>
    <t>Sawade, Tammi</t>
  </si>
  <si>
    <t>1761 E Cardinal Dr</t>
  </si>
  <si>
    <t>A-014087</t>
  </si>
  <si>
    <t>Tierney, Carol</t>
  </si>
  <si>
    <t>1852 N Princeton Ave</t>
  </si>
  <si>
    <t>A-054838</t>
  </si>
  <si>
    <t>Scott, Kristy</t>
  </si>
  <si>
    <t>1406 West Runion Drive</t>
  </si>
  <si>
    <t>A-055561</t>
  </si>
  <si>
    <t>Fritsche, Julie</t>
  </si>
  <si>
    <t>1737 North 211th Drive</t>
  </si>
  <si>
    <t>A-009354</t>
  </si>
  <si>
    <t>Ansley, Ben</t>
  </si>
  <si>
    <t>2503 E Christy Dr</t>
  </si>
  <si>
    <t>A-066276</t>
  </si>
  <si>
    <t>Azab, Bilal</t>
  </si>
  <si>
    <t>1236 East Granada Street</t>
  </si>
  <si>
    <t>A-004851</t>
  </si>
  <si>
    <t>Bechmann, Kathie</t>
  </si>
  <si>
    <t>14201 N 45th St</t>
  </si>
  <si>
    <t>A-063710</t>
  </si>
  <si>
    <t>Berryman, Chris</t>
  </si>
  <si>
    <t>4519 W Summerside Rd</t>
  </si>
  <si>
    <t>A-007041</t>
  </si>
  <si>
    <t>Blackwell, Carl</t>
  </si>
  <si>
    <t>7323 N. 72nd Dr.</t>
  </si>
  <si>
    <t>A-000093</t>
  </si>
  <si>
    <t>Bosselli, Colleen</t>
  </si>
  <si>
    <t>737 S Burk St</t>
  </si>
  <si>
    <t>A-013331</t>
  </si>
  <si>
    <t>Brooks, Sara</t>
  </si>
  <si>
    <t>5350 W. Twin Peaks Rd.</t>
  </si>
  <si>
    <t>A-003837</t>
  </si>
  <si>
    <t>Brown, Jim and Trisha</t>
  </si>
  <si>
    <t>18625 W. Kolina Ln.</t>
  </si>
  <si>
    <t>A-005631</t>
  </si>
  <si>
    <t>Caviness, Carrie (one filter cleaning yearly no charge)</t>
  </si>
  <si>
    <t>4113 E. Juanita Ave</t>
  </si>
  <si>
    <t>A-005579</t>
  </si>
  <si>
    <t>Dickinson, Betsy</t>
  </si>
  <si>
    <t>9720 E. Desert Cove Ave.</t>
  </si>
  <si>
    <t>A-012963</t>
  </si>
  <si>
    <t>Dietz, Linda</t>
  </si>
  <si>
    <t>9788 W. Las Palmaritas Dr.</t>
  </si>
  <si>
    <t>A-024068</t>
  </si>
  <si>
    <t>Dominguez, Jesus</t>
  </si>
  <si>
    <t>1115 E. Ingram St.</t>
  </si>
  <si>
    <t>A-062379</t>
  </si>
  <si>
    <t>Fowler, Allison</t>
  </si>
  <si>
    <t>16336 West Central Street</t>
  </si>
  <si>
    <t>A-067875</t>
  </si>
  <si>
    <t>Guerrero</t>
  </si>
  <si>
    <t>2317 North 30th Place</t>
  </si>
  <si>
    <t>A-050457</t>
  </si>
  <si>
    <t>Hunter, Scott</t>
  </si>
  <si>
    <t>642 West Gum Tree Avenue</t>
  </si>
  <si>
    <t>A-064376</t>
  </si>
  <si>
    <t>Jensen, Samuel</t>
  </si>
  <si>
    <t>12216 South 176th Avenue</t>
  </si>
  <si>
    <t>A-022649</t>
  </si>
  <si>
    <t>Johnson, Malarie</t>
  </si>
  <si>
    <t>1032 S. Buchanan St.</t>
  </si>
  <si>
    <t>A-063764</t>
  </si>
  <si>
    <t>La Rose, Thomas</t>
  </si>
  <si>
    <t>401 East Bellerive Place</t>
  </si>
  <si>
    <t>A-064618</t>
  </si>
  <si>
    <t>Labrecque, Jean</t>
  </si>
  <si>
    <t>577 East Wolf Hollow Drive</t>
  </si>
  <si>
    <t>A-065532</t>
  </si>
  <si>
    <t>Liu, Jenny</t>
  </si>
  <si>
    <t>4730 East Monte Way</t>
  </si>
  <si>
    <t>A-023365</t>
  </si>
  <si>
    <t>Lutz, Laura</t>
  </si>
  <si>
    <t>4676 S Southwind Dr</t>
  </si>
  <si>
    <t>A-063408</t>
  </si>
  <si>
    <t>Mcgincy, Sean</t>
  </si>
  <si>
    <t>4073 South Huachuca Way</t>
  </si>
  <si>
    <t>A-011369</t>
  </si>
  <si>
    <t>Neligan, Peter</t>
  </si>
  <si>
    <t>1515 W Winter Drive</t>
  </si>
  <si>
    <t>A-013067</t>
  </si>
  <si>
    <t>Noto, Anthony &amp; Kellie</t>
  </si>
  <si>
    <t>14441 N 28th St</t>
  </si>
  <si>
    <t>A-009014</t>
  </si>
  <si>
    <t>Oliver, Karen</t>
  </si>
  <si>
    <t>3916 E. Yucca St.</t>
  </si>
  <si>
    <t>A-004535</t>
  </si>
  <si>
    <t>Petrocelli, Patrice</t>
  </si>
  <si>
    <t>10419 N Sarazen Circle</t>
  </si>
  <si>
    <t>A-000511</t>
  </si>
  <si>
    <t>Pope, Rodney and Karen</t>
  </si>
  <si>
    <t>17914 W Udall</t>
  </si>
  <si>
    <t>A-064445</t>
  </si>
  <si>
    <t>Prince, Ankrah</t>
  </si>
  <si>
    <t>6945 South Teresa Drive</t>
  </si>
  <si>
    <t>A-050456</t>
  </si>
  <si>
    <t>Prothe, Kelly</t>
  </si>
  <si>
    <t>22250 West Morning Glory Street</t>
  </si>
  <si>
    <t>A-000873</t>
  </si>
  <si>
    <t>Reece, Ben</t>
  </si>
  <si>
    <t>8334 E Glenrosa Ave</t>
  </si>
  <si>
    <t>A-054421</t>
  </si>
  <si>
    <t>Russell, Renda</t>
  </si>
  <si>
    <t>2055 North 110th Avenue</t>
  </si>
  <si>
    <t>A-000541</t>
  </si>
  <si>
    <t>Safa, Laura and Joseph</t>
  </si>
  <si>
    <t>1220 E Nicolet Ave</t>
  </si>
  <si>
    <t>A-064982</t>
  </si>
  <si>
    <t>Thompson, Cynthia</t>
  </si>
  <si>
    <t>4929 East Parade Ground Loop</t>
  </si>
  <si>
    <t>A-056334</t>
  </si>
  <si>
    <t>Acacia Properties Calle De Mirar</t>
  </si>
  <si>
    <t>6408 East Calle De Mirar</t>
  </si>
  <si>
    <t>A-056516</t>
  </si>
  <si>
    <t>Jackson, Rebbeca</t>
  </si>
  <si>
    <t>1860 North Parkside Lane</t>
  </si>
  <si>
    <t>A-056699</t>
  </si>
  <si>
    <t>Welton, Stan</t>
  </si>
  <si>
    <t>1579 East Eagle Court</t>
  </si>
  <si>
    <t>A-050226</t>
  </si>
  <si>
    <t>Wekell, Jeremy</t>
  </si>
  <si>
    <t>622 South La Vista Place</t>
  </si>
  <si>
    <t>A-009339</t>
  </si>
  <si>
    <t>Evans, Amy and Robb</t>
  </si>
  <si>
    <t>2852 N Kashmir</t>
  </si>
  <si>
    <t>A-013324</t>
  </si>
  <si>
    <t>Reed, Jean</t>
  </si>
  <si>
    <t>440 North Orlando Circle</t>
  </si>
  <si>
    <t>A-051394</t>
  </si>
  <si>
    <t>Barker, Charlotte</t>
  </si>
  <si>
    <t>1425 North Ananea</t>
  </si>
  <si>
    <t>A-052425</t>
  </si>
  <si>
    <t>Facio, Pablo</t>
  </si>
  <si>
    <t>9705 South 47th Avenue</t>
  </si>
  <si>
    <t>A-051071</t>
  </si>
  <si>
    <t>Ngy, Christin</t>
  </si>
  <si>
    <t>10137 East Tiburon Avenue</t>
  </si>
  <si>
    <t>A-031159</t>
  </si>
  <si>
    <t>Adams, Jesse</t>
  </si>
  <si>
    <t>8234 East Big Horn Trail</t>
  </si>
  <si>
    <t>A-034124</t>
  </si>
  <si>
    <t>Avellino, Jennifer and Anthony</t>
  </si>
  <si>
    <t>34301 North 86th Place</t>
  </si>
  <si>
    <t>A-031167</t>
  </si>
  <si>
    <t>Bose, Tamal</t>
  </si>
  <si>
    <t>6942 North Longfellow Lane</t>
  </si>
  <si>
    <t>A-047526</t>
  </si>
  <si>
    <t>1813 West Decatur Street</t>
  </si>
  <si>
    <t>A-034656</t>
  </si>
  <si>
    <t>Degler, Chris</t>
  </si>
  <si>
    <t>942 East Verde Lane</t>
  </si>
  <si>
    <t>A-032360</t>
  </si>
  <si>
    <t>Elkes-Johnson, Elizabeth</t>
  </si>
  <si>
    <t>12539 West Vista Paseo Drive</t>
  </si>
  <si>
    <t>A-013452</t>
  </si>
  <si>
    <t>Gillespie, Kris &amp; Mark</t>
  </si>
  <si>
    <t>835 W Hopi Dr</t>
  </si>
  <si>
    <t>A-034344</t>
  </si>
  <si>
    <t>Green, Linda</t>
  </si>
  <si>
    <t>9125 North Paseo Palo Verde Road</t>
  </si>
  <si>
    <t>A-035973</t>
  </si>
  <si>
    <t>Hamilton, Angela</t>
  </si>
  <si>
    <t>3315 East Los Altos Road</t>
  </si>
  <si>
    <t>A-024072</t>
  </si>
  <si>
    <t>Hanson, Russ</t>
  </si>
  <si>
    <t>1559 E Bates St</t>
  </si>
  <si>
    <t>A-033994</t>
  </si>
  <si>
    <t>Phoenix, Bill and Julie</t>
  </si>
  <si>
    <t>9222 East Vista Drive</t>
  </si>
  <si>
    <t>A-064430</t>
  </si>
  <si>
    <t>Akers, Scott</t>
  </si>
  <si>
    <t>1617 East Krystal Street</t>
  </si>
  <si>
    <t>A-063777</t>
  </si>
  <si>
    <t>Ballesteros, John</t>
  </si>
  <si>
    <t>901 East White Wing Drive</t>
  </si>
  <si>
    <t>A-005929</t>
  </si>
  <si>
    <t>Bennett, William</t>
  </si>
  <si>
    <t>8806 W Carole Ln</t>
  </si>
  <si>
    <t>A-064716</t>
  </si>
  <si>
    <t>Fallini, Lorinda</t>
  </si>
  <si>
    <t>745 North Citrus Lane</t>
  </si>
  <si>
    <t>A-065125</t>
  </si>
  <si>
    <t>Garcia, Veronica</t>
  </si>
  <si>
    <t>6237 West Mesa Garden Drive</t>
  </si>
  <si>
    <t>A-002048</t>
  </si>
  <si>
    <t>Gomez, Richard</t>
  </si>
  <si>
    <t>8818 W. Magnolia St.</t>
  </si>
  <si>
    <t>A-002472</t>
  </si>
  <si>
    <t>Havens, Kim</t>
  </si>
  <si>
    <t>2524 E. Parkside Ln</t>
  </si>
  <si>
    <t>A-012729</t>
  </si>
  <si>
    <t>Higley Paul and Retha</t>
  </si>
  <si>
    <t>3892 East Leah Court</t>
  </si>
  <si>
    <t>A-004931</t>
  </si>
  <si>
    <t>Howard, Diane</t>
  </si>
  <si>
    <t>18503 E Cattle Drive</t>
  </si>
  <si>
    <t>A-051599</t>
  </si>
  <si>
    <t>Johnson, Kate</t>
  </si>
  <si>
    <t>26565 North 115th Street</t>
  </si>
  <si>
    <t>A-005606</t>
  </si>
  <si>
    <t>Jones, Rita &amp; Rodney</t>
  </si>
  <si>
    <t>7257 W Laurel Lane</t>
  </si>
  <si>
    <t>A-064405</t>
  </si>
  <si>
    <t>Lamie, Claudine</t>
  </si>
  <si>
    <t>13785 E Silver Pine Trail</t>
  </si>
  <si>
    <t>Vail</t>
  </si>
  <si>
    <t>A-064190</t>
  </si>
  <si>
    <t>Meyer, Rachel</t>
  </si>
  <si>
    <t>312 E Rio Pl</t>
  </si>
  <si>
    <t>A-057595</t>
  </si>
  <si>
    <t>Riley, Mark</t>
  </si>
  <si>
    <t>548 West Wagon Wheel Drive</t>
  </si>
  <si>
    <t>A-008614</t>
  </si>
  <si>
    <t>Roberts, Connie &amp; Vinnie</t>
  </si>
  <si>
    <t>5911 East Beryl Avenue</t>
  </si>
  <si>
    <t>A-064532</t>
  </si>
  <si>
    <t>Rubin, Rabbi</t>
  </si>
  <si>
    <t>1561 East Alba Drive</t>
  </si>
  <si>
    <t>A-004861</t>
  </si>
  <si>
    <t>Smythe, Brenda</t>
  </si>
  <si>
    <t>1813 W. McNeil St.</t>
  </si>
  <si>
    <t>A-006013</t>
  </si>
  <si>
    <t>Stark, Barbara &amp; Geoffrey Clark</t>
  </si>
  <si>
    <t>2025 E Woodman Dr.</t>
  </si>
  <si>
    <t>A-006016</t>
  </si>
  <si>
    <t>Tancil, Chip</t>
  </si>
  <si>
    <t>16403 N 175th Cir</t>
  </si>
  <si>
    <t>A-007753</t>
  </si>
  <si>
    <t>B&amp;B Enterprises</t>
  </si>
  <si>
    <t>1314 S. Polly Ann Dr.</t>
  </si>
  <si>
    <t>A-006577</t>
  </si>
  <si>
    <t>Baca, Senovia</t>
  </si>
  <si>
    <t>2231 W Catalina Ave</t>
  </si>
  <si>
    <t>A-006231</t>
  </si>
  <si>
    <t>Heidecke, Kris</t>
  </si>
  <si>
    <t>1862 N. Barkley St.</t>
  </si>
  <si>
    <t>A-000456</t>
  </si>
  <si>
    <t>McDowell, Jim</t>
  </si>
  <si>
    <t>7836 E. Softwind Dr</t>
  </si>
  <si>
    <t>A-034092</t>
  </si>
  <si>
    <t>Webster, Stacey</t>
  </si>
  <si>
    <t>275 West Caribbean Drive</t>
  </si>
  <si>
    <t>A-001279</t>
  </si>
  <si>
    <t>Burelli, George and Dianne</t>
  </si>
  <si>
    <t>229 East Avenida Sierra Madre</t>
  </si>
  <si>
    <t>A-055316</t>
  </si>
  <si>
    <t>Zamenski, Lori</t>
  </si>
  <si>
    <t>581 West Rattlesnake Place</t>
  </si>
  <si>
    <t>A-033267</t>
  </si>
  <si>
    <t>Fein, Janelle</t>
  </si>
  <si>
    <t>1332 East Big Rock Road</t>
  </si>
  <si>
    <t>A-030625</t>
  </si>
  <si>
    <t>Johnston, Doug &amp; Paula</t>
  </si>
  <si>
    <t>791 E Drifter Pl</t>
  </si>
  <si>
    <t>A-033380</t>
  </si>
  <si>
    <t>Kling, Brandon</t>
  </si>
  <si>
    <t>1736 East Caborca Drive</t>
  </si>
  <si>
    <t>A-047207</t>
  </si>
  <si>
    <t>Riggs, Andrew</t>
  </si>
  <si>
    <t>649 West Gabrilla Court</t>
  </si>
  <si>
    <t>A-012763</t>
  </si>
  <si>
    <t>Graves, Toby</t>
  </si>
  <si>
    <t>11440 E  Desert Troon Ln</t>
  </si>
  <si>
    <t>A-051603</t>
  </si>
  <si>
    <t>Da Silva, Brandon</t>
  </si>
  <si>
    <t>574 West Gabrilla Court</t>
  </si>
  <si>
    <t>A-053565</t>
  </si>
  <si>
    <t>Ferrer, Cesar</t>
  </si>
  <si>
    <t>265 South San Luis Rey Trail</t>
  </si>
  <si>
    <t>A-056543</t>
  </si>
  <si>
    <t>Hy, Sam</t>
  </si>
  <si>
    <t>4340 South Camino De Oeste</t>
  </si>
  <si>
    <t>A-051491</t>
  </si>
  <si>
    <t>Jepsen, Janet</t>
  </si>
  <si>
    <t>1652 East Valerie Street</t>
  </si>
  <si>
    <t>A-057794</t>
  </si>
  <si>
    <t>Karagosian, Monica</t>
  </si>
  <si>
    <t>1358 East Desert Fern Trail</t>
  </si>
  <si>
    <t>A-053453</t>
  </si>
  <si>
    <t>Kerr, Bruce</t>
  </si>
  <si>
    <t>7313 North Heathcliff Avenue</t>
  </si>
  <si>
    <t>A-052273</t>
  </si>
  <si>
    <t>Knab, Christopher</t>
  </si>
  <si>
    <t>1320 Prickly Pear Street</t>
  </si>
  <si>
    <t>A-054009</t>
  </si>
  <si>
    <t>Lueders, Linda</t>
  </si>
  <si>
    <t>13295 North Booming Drive</t>
  </si>
  <si>
    <t>A-056261</t>
  </si>
  <si>
    <t>Oszust, Lisa</t>
  </si>
  <si>
    <t>1649 East Balboa Drive</t>
  </si>
  <si>
    <t>A-055969</t>
  </si>
  <si>
    <t>Thomason, David</t>
  </si>
  <si>
    <t>164 West Key West Drive</t>
  </si>
  <si>
    <t>A-051296</t>
  </si>
  <si>
    <t>Torres, Charles</t>
  </si>
  <si>
    <t>9468 Canyon Verde Drive</t>
  </si>
  <si>
    <t>A-055372</t>
  </si>
  <si>
    <t>United South West Properties LLC</t>
  </si>
  <si>
    <t>465 East Providence Drive</t>
  </si>
  <si>
    <t>A-034589</t>
  </si>
  <si>
    <t>Braiden, Brett</t>
  </si>
  <si>
    <t>2373 East San Lorenzo Trail</t>
  </si>
  <si>
    <t>A-050157</t>
  </si>
  <si>
    <t>Collins, Pam</t>
  </si>
  <si>
    <t>5183 West Nogales Way</t>
  </si>
  <si>
    <t>A-049763</t>
  </si>
  <si>
    <t>Cruz, Michael</t>
  </si>
  <si>
    <t>1113 East 9th Street</t>
  </si>
  <si>
    <t>A-008640</t>
  </si>
  <si>
    <t>Filli, John S &amp; Barbara K</t>
  </si>
  <si>
    <t>1925 E Gemini Dr</t>
  </si>
  <si>
    <t>A-049883</t>
  </si>
  <si>
    <t>Fuller, Frank</t>
  </si>
  <si>
    <t>10326 West Ironwood Drive</t>
  </si>
  <si>
    <t>A-049657</t>
  </si>
  <si>
    <t>Hill, John</t>
  </si>
  <si>
    <t>2022 North Parish Lane</t>
  </si>
  <si>
    <t>A-049705</t>
  </si>
  <si>
    <t>Kerich, Christopher</t>
  </si>
  <si>
    <t>2026 North Parish Lane</t>
  </si>
  <si>
    <t>A-035643</t>
  </si>
  <si>
    <t>Marci, Ken</t>
  </si>
  <si>
    <t>11513 Warrior Road</t>
  </si>
  <si>
    <t>A-047562</t>
  </si>
  <si>
    <t>Richter, Tim</t>
  </si>
  <si>
    <t>15084 South Country Club Way</t>
  </si>
  <si>
    <t>A-034193</t>
  </si>
  <si>
    <t>Snow, Staford and Lauren</t>
  </si>
  <si>
    <t>3214 West Ross Avenue</t>
  </si>
  <si>
    <t>A-048049</t>
  </si>
  <si>
    <t>Soslowsky, Jim</t>
  </si>
  <si>
    <t>412 East Atlantic Drive</t>
  </si>
  <si>
    <t>A-050106</t>
  </si>
  <si>
    <t>Thomas, Barb</t>
  </si>
  <si>
    <t>5520 North Northern Hills Drive</t>
  </si>
  <si>
    <t>A-055369</t>
  </si>
  <si>
    <t>Carter, Ryan</t>
  </si>
  <si>
    <t>1595 East Desert Breeze Drive</t>
  </si>
  <si>
    <t>A-055851</t>
  </si>
  <si>
    <t>Hungerford, Tamara</t>
  </si>
  <si>
    <t>17813 North 113th Avenue</t>
  </si>
  <si>
    <t>A-056870</t>
  </si>
  <si>
    <t>Lemoine, Maurice</t>
  </si>
  <si>
    <t>131 West Diana Avenue</t>
  </si>
  <si>
    <t>A-055698</t>
  </si>
  <si>
    <t>McQueen, Jon</t>
  </si>
  <si>
    <t>9745 East Mission Lane</t>
  </si>
  <si>
    <t>A-049394</t>
  </si>
  <si>
    <t>Barnes, Kip</t>
  </si>
  <si>
    <t>13226 West Beverly Road</t>
  </si>
  <si>
    <t>A-000196</t>
  </si>
  <si>
    <t>Bowers, John</t>
  </si>
  <si>
    <t>1817 W Parnell Dr</t>
  </si>
  <si>
    <t>A-000916</t>
  </si>
  <si>
    <t>Eggerding, Matthew</t>
  </si>
  <si>
    <t>5250 S. Cobalt</t>
  </si>
  <si>
    <t>A-001251</t>
  </si>
  <si>
    <t>Hill, Chuck</t>
  </si>
  <si>
    <t>12810 West Mulberry Drive</t>
  </si>
  <si>
    <t>A-001624</t>
  </si>
  <si>
    <t>Sakaguchi, Randy</t>
  </si>
  <si>
    <t>5434 S. Sandstone Ct</t>
  </si>
  <si>
    <t>A-024584</t>
  </si>
  <si>
    <t>Johnson, William &amp; Leslie</t>
  </si>
  <si>
    <t>10800 E Cactus Rd #31</t>
  </si>
  <si>
    <t>A-023350</t>
  </si>
  <si>
    <t>American Homes 4 Rent AZ12182 Stockwell</t>
  </si>
  <si>
    <t>5586 S Stockwell Drive</t>
  </si>
  <si>
    <t>A-023046</t>
  </si>
  <si>
    <t>American Homes 4 Rent Calle Rosalinda</t>
  </si>
  <si>
    <t>2980 W Calle Rosalinda</t>
  </si>
  <si>
    <t>A-023286</t>
  </si>
  <si>
    <t>American Homes 4 Rent Chaucer</t>
  </si>
  <si>
    <t>5870 E Chaucer Drive</t>
  </si>
  <si>
    <t>A-023384</t>
  </si>
  <si>
    <t>American Homes 4 Rent Citrus Tree</t>
  </si>
  <si>
    <t>8961 E Citrus Tree Drive</t>
  </si>
  <si>
    <t>A-023378</t>
  </si>
  <si>
    <t>American Homes 4 Rent Coneflower</t>
  </si>
  <si>
    <t>4842 E Coneflower Drive</t>
  </si>
  <si>
    <t>A-023386</t>
  </si>
  <si>
    <t>American Homes 4 Rent Mandell Pass</t>
  </si>
  <si>
    <t>12673 E Mandell Pass</t>
  </si>
  <si>
    <t>A-023398</t>
  </si>
  <si>
    <t>American Homes 4 Rent New Abbey</t>
  </si>
  <si>
    <t>7991 S New Abbey Drive</t>
  </si>
  <si>
    <t>A-023308</t>
  </si>
  <si>
    <t>American Homes 4 Rent Scenic Veranda</t>
  </si>
  <si>
    <t>10864 E Scenic Veranda Drive</t>
  </si>
  <si>
    <t>A-056900</t>
  </si>
  <si>
    <t>Baldwin, Kimberly</t>
  </si>
  <si>
    <t>136 West Auburn Sky Court</t>
  </si>
  <si>
    <t>A-055549</t>
  </si>
  <si>
    <t>Schaefer, Loraine</t>
  </si>
  <si>
    <t>41783 W Sparks Court</t>
  </si>
  <si>
    <t>A-046809</t>
  </si>
  <si>
    <t>Acacia Properties Cerrada Bala</t>
  </si>
  <si>
    <t>2215 East Cerrada Bala</t>
  </si>
  <si>
    <t>A-002450</t>
  </si>
  <si>
    <t>Dimond, Jason &amp; Misty</t>
  </si>
  <si>
    <t>5159 W Kristal Way</t>
  </si>
  <si>
    <t>A-025346</t>
  </si>
  <si>
    <t>Vartanian , John-Paul</t>
  </si>
  <si>
    <t>12127 N 149th Drive</t>
  </si>
  <si>
    <t>A-032800</t>
  </si>
  <si>
    <t>7125 Paradise LLC</t>
  </si>
  <si>
    <t>7125 East Paradise Drive</t>
  </si>
  <si>
    <t>A-013703</t>
  </si>
  <si>
    <t>Uno, Eilleen</t>
  </si>
  <si>
    <t>5611 E Paseo Remedios</t>
  </si>
  <si>
    <t>A-003423</t>
  </si>
  <si>
    <t>Janes, Amy</t>
  </si>
  <si>
    <t>9223 E. Aster Dr.</t>
  </si>
  <si>
    <t>A-024115</t>
  </si>
  <si>
    <t>Neumeyer, David &amp; Pamela</t>
  </si>
  <si>
    <t>2227 N Hillridge</t>
  </si>
  <si>
    <t>A-011082</t>
  </si>
  <si>
    <t>Abbott, Chris</t>
  </si>
  <si>
    <t>6902 W Ivanhoe St</t>
  </si>
  <si>
    <t>A-010375</t>
  </si>
  <si>
    <t>Al Gbeuri, Hikma</t>
  </si>
  <si>
    <t>17629 N 55th Pl</t>
  </si>
  <si>
    <t>A-035274</t>
  </si>
  <si>
    <t>Alberts, Rhonda and Jeff</t>
  </si>
  <si>
    <t>20154 East Via Del Oro</t>
  </si>
  <si>
    <t>A-022316</t>
  </si>
  <si>
    <t>Anderson, Dell</t>
  </si>
  <si>
    <t>25806 N Lawler Loop</t>
  </si>
  <si>
    <t>A-007063</t>
  </si>
  <si>
    <t>Arkfeld, Louraine</t>
  </si>
  <si>
    <t>2615 S. Sierra Vista Cir.</t>
  </si>
  <si>
    <t>A-008316</t>
  </si>
  <si>
    <t>Bachtel, Forrest and Carol</t>
  </si>
  <si>
    <t>15015 N. 22nd Ln.</t>
  </si>
  <si>
    <t>A-028056</t>
  </si>
  <si>
    <t>Baldenegro, Denise</t>
  </si>
  <si>
    <t>3408 N 24th Drive</t>
  </si>
  <si>
    <t>A-008675</t>
  </si>
  <si>
    <t>Barnett, Maurica</t>
  </si>
  <si>
    <t>3216 W Becker Ln</t>
  </si>
  <si>
    <t>A-035665</t>
  </si>
  <si>
    <t>Beer, Alana</t>
  </si>
  <si>
    <t>29126 North 22nd Lane</t>
  </si>
  <si>
    <t>A-002115</t>
  </si>
  <si>
    <t>Bellino, Anthony</t>
  </si>
  <si>
    <t>6508 N 81st Pl</t>
  </si>
  <si>
    <t>A-004140</t>
  </si>
  <si>
    <t>Bender, Scott and Anne</t>
  </si>
  <si>
    <t>893 South Gardner Drive</t>
  </si>
  <si>
    <t>A-024829</t>
  </si>
  <si>
    <t>Booze, Randall</t>
  </si>
  <si>
    <t>5008 S. Tatum Ln.</t>
  </si>
  <si>
    <t>A-004917</t>
  </si>
  <si>
    <t>Brutlag, Cami</t>
  </si>
  <si>
    <t>4832 W Kristal Way</t>
  </si>
  <si>
    <t>A-025008</t>
  </si>
  <si>
    <t>Budewitz, Thomas</t>
  </si>
  <si>
    <t>6253 W Lone Cactus Drive</t>
  </si>
  <si>
    <t>A-009398</t>
  </si>
  <si>
    <t>Butler, Brian and Debbie</t>
  </si>
  <si>
    <t>5435 E Desert Forrest Trl</t>
  </si>
  <si>
    <t>A-023771</t>
  </si>
  <si>
    <t>Carhart, Michelle</t>
  </si>
  <si>
    <t>1541 West Ardmore Road</t>
  </si>
  <si>
    <t>A-024965</t>
  </si>
  <si>
    <t>Cline, Jonathan &amp; Amy</t>
  </si>
  <si>
    <t>18815 N 68th Ave</t>
  </si>
  <si>
    <t>A-024776</t>
  </si>
  <si>
    <t>Cohen, Glen</t>
  </si>
  <si>
    <t>2219 S Sailors Way</t>
  </si>
  <si>
    <t>A-008428</t>
  </si>
  <si>
    <t>Compton, Sophie</t>
  </si>
  <si>
    <t>340 E. Ivy St.</t>
  </si>
  <si>
    <t>A-034383</t>
  </si>
  <si>
    <t>Cota, Richard &amp; Katheryn</t>
  </si>
  <si>
    <t>7133 West Bloomfield Road</t>
  </si>
  <si>
    <t>A-001296</t>
  </si>
  <si>
    <t>Cronin, Daniel</t>
  </si>
  <si>
    <t>15811 S 25th Way</t>
  </si>
  <si>
    <t>A-007643</t>
  </si>
  <si>
    <t>Darvin, Nathan</t>
  </si>
  <si>
    <t>13015 N. 1st St</t>
  </si>
  <si>
    <t>A-035246</t>
  </si>
  <si>
    <t>Davis, Charles</t>
  </si>
  <si>
    <t>2130 East Briarwood Terrace</t>
  </si>
  <si>
    <t>A-007411</t>
  </si>
  <si>
    <t>Delph, Suzi</t>
  </si>
  <si>
    <t>6738 E. Montgomery Rd.</t>
  </si>
  <si>
    <t>A-002035</t>
  </si>
  <si>
    <t>Dennis, Carey</t>
  </si>
  <si>
    <t>4224 E. Ahwatukee Dr.</t>
  </si>
  <si>
    <t>A-033667</t>
  </si>
  <si>
    <t>Destree, Alexis</t>
  </si>
  <si>
    <t>5750 West Commonwealth Place</t>
  </si>
  <si>
    <t>A-002488</t>
  </si>
  <si>
    <t>Ellis, Lindsay</t>
  </si>
  <si>
    <t>6375 W. Quail Ave.</t>
  </si>
  <si>
    <t>A-008052</t>
  </si>
  <si>
    <t>Fimbres, Joseph and Barbara</t>
  </si>
  <si>
    <t>9406 W Elm St</t>
  </si>
  <si>
    <t>A-024394</t>
  </si>
  <si>
    <t>Fink. Dan and Nancy</t>
  </si>
  <si>
    <t>10105 E. Elmwood Dr</t>
  </si>
  <si>
    <t>A-011328</t>
  </si>
  <si>
    <t>Fishburn, Paul</t>
  </si>
  <si>
    <t>5560 W Park Ave</t>
  </si>
  <si>
    <t>A-002731</t>
  </si>
  <si>
    <t>Flory, Matthew</t>
  </si>
  <si>
    <t>8002 W. Maryland Ave</t>
  </si>
  <si>
    <t>A-010102</t>
  </si>
  <si>
    <t>Fontaine, Leon</t>
  </si>
  <si>
    <t>17287 N 57th Drive</t>
  </si>
  <si>
    <t>A-064816</t>
  </si>
  <si>
    <t>Fontes, Adrian</t>
  </si>
  <si>
    <t>801 East Windsor Avenue</t>
  </si>
  <si>
    <t>A-007410</t>
  </si>
  <si>
    <t>Galtieri, Paola</t>
  </si>
  <si>
    <t>819 W Plata Ave</t>
  </si>
  <si>
    <t>A-023018</t>
  </si>
  <si>
    <t>Garcia, Anna</t>
  </si>
  <si>
    <t>4331 W. Carson Rd.</t>
  </si>
  <si>
    <t>A-022507</t>
  </si>
  <si>
    <t>Garcia, Dana</t>
  </si>
  <si>
    <t>2136 E Mountain Sky Ave</t>
  </si>
  <si>
    <t>A-007396</t>
  </si>
  <si>
    <t>Gerlach /Pearson, Jennifer &amp; Ellen</t>
  </si>
  <si>
    <t>5308 N. La Plaza Cir.</t>
  </si>
  <si>
    <t>A-034182</t>
  </si>
  <si>
    <t>Gervais, Steve</t>
  </si>
  <si>
    <t>12229 South Honah Lee Court</t>
  </si>
  <si>
    <t>A-008662</t>
  </si>
  <si>
    <t>Gillis, Christine</t>
  </si>
  <si>
    <t>1120 E Palmaire Ave</t>
  </si>
  <si>
    <t>A-004141</t>
  </si>
  <si>
    <t>Glaser, Jerrod and Ann</t>
  </si>
  <si>
    <t>8622 E Heatherbrae Dr</t>
  </si>
  <si>
    <t>A-024341</t>
  </si>
  <si>
    <t>Glass, Ron</t>
  </si>
  <si>
    <t>645 N Elm St</t>
  </si>
  <si>
    <t>A-022683</t>
  </si>
  <si>
    <t>Gomez, Lupe</t>
  </si>
  <si>
    <t>8435 S. 22nd St</t>
  </si>
  <si>
    <t>A-022478</t>
  </si>
  <si>
    <t>Goodman, Hannelore</t>
  </si>
  <si>
    <t>6726 E Montecito Ave</t>
  </si>
  <si>
    <t>A-002342</t>
  </si>
  <si>
    <t>Haag,Gordon &amp; Ray</t>
  </si>
  <si>
    <t>1101 S. Crossroads Dr.</t>
  </si>
  <si>
    <t>A-004811</t>
  </si>
  <si>
    <t>Hagan, Darlene</t>
  </si>
  <si>
    <t>1034 N New Haven</t>
  </si>
  <si>
    <t>A-033646</t>
  </si>
  <si>
    <t>Harvey, Mary</t>
  </si>
  <si>
    <t>15840 North 3rd Street</t>
  </si>
  <si>
    <t>A-005160</t>
  </si>
  <si>
    <t>Hatch, Hurley</t>
  </si>
  <si>
    <t>1401 E. La Mirada Dr.</t>
  </si>
  <si>
    <t>A-010316</t>
  </si>
  <si>
    <t>Heise, Will</t>
  </si>
  <si>
    <t>1917 E Hillery Dr</t>
  </si>
  <si>
    <t>A-006289</t>
  </si>
  <si>
    <t>Hill, Janelle</t>
  </si>
  <si>
    <t>6111 S 45th Glen</t>
  </si>
  <si>
    <t>A-006288</t>
  </si>
  <si>
    <t>Hogg, Wayne and Lindsey</t>
  </si>
  <si>
    <t>8652 W Rowel Rd</t>
  </si>
  <si>
    <t>A-064812</t>
  </si>
  <si>
    <t>Hour, Kim</t>
  </si>
  <si>
    <t>7039 West Oregon Avenue</t>
  </si>
  <si>
    <t>A-006911</t>
  </si>
  <si>
    <t>Hunter, Patrick</t>
  </si>
  <si>
    <t>8901 S. 10th Dr.</t>
  </si>
  <si>
    <t>A-068139</t>
  </si>
  <si>
    <t>Jager, Jenefer</t>
  </si>
  <si>
    <t>7639 South Sorrell Lane</t>
  </si>
  <si>
    <t>A-000421</t>
  </si>
  <si>
    <t>Jamgochian, Elizabeth &amp; Charles</t>
  </si>
  <si>
    <t>1145 S Quinn Ave</t>
  </si>
  <si>
    <t>A-011105</t>
  </si>
  <si>
    <t>Jara, Perla</t>
  </si>
  <si>
    <t>4146 W Meadow Dr</t>
  </si>
  <si>
    <t>A-022731</t>
  </si>
  <si>
    <t>Johnson, Rick and Shari</t>
  </si>
  <si>
    <t>18083 N 111th Dr</t>
  </si>
  <si>
    <t>A-068137</t>
  </si>
  <si>
    <t>Karanbir Sandhu Property #2</t>
  </si>
  <si>
    <t>6530 East Shea Boulevard</t>
  </si>
  <si>
    <t>A-068138</t>
  </si>
  <si>
    <t>Karanbir Sandhu Proprety #1</t>
  </si>
  <si>
    <t>6411 East Thunderbird Road</t>
  </si>
  <si>
    <t>A-002745</t>
  </si>
  <si>
    <t>Kelly, Flynn &amp; Dina</t>
  </si>
  <si>
    <t>6313 W Shangri La Road</t>
  </si>
  <si>
    <t>A-024365</t>
  </si>
  <si>
    <t>Kevan, Jesse</t>
  </si>
  <si>
    <t>631 E Stonebridge Dr</t>
  </si>
  <si>
    <t>A-004915</t>
  </si>
  <si>
    <t>Kevin &amp; Pam Murphy</t>
  </si>
  <si>
    <t>5954 E Enrose Cir</t>
  </si>
  <si>
    <t>A-008397</t>
  </si>
  <si>
    <t>King, Patricia</t>
  </si>
  <si>
    <t>2987 North 152nd Drive</t>
  </si>
  <si>
    <t>A-024718</t>
  </si>
  <si>
    <t>Koenig, Jeff</t>
  </si>
  <si>
    <t>922 E Knight Ln</t>
  </si>
  <si>
    <t>A-006955</t>
  </si>
  <si>
    <t>Konteh, Amadu</t>
  </si>
  <si>
    <t>5502 W Orchid Ln</t>
  </si>
  <si>
    <t>A-006552</t>
  </si>
  <si>
    <t>Kropidlowski, Michael</t>
  </si>
  <si>
    <t>16301 E. Crystal Point</t>
  </si>
  <si>
    <t>A-005254</t>
  </si>
  <si>
    <t>Krzyston, Mike</t>
  </si>
  <si>
    <t>14010 North Moon Mountain Trail</t>
  </si>
  <si>
    <t>A-001669</t>
  </si>
  <si>
    <t>Larson, Janna</t>
  </si>
  <si>
    <t>14623 N. 49th Pl.</t>
  </si>
  <si>
    <t>A-004484</t>
  </si>
  <si>
    <t>Livers, Daniel</t>
  </si>
  <si>
    <t>19815 N. 33rd St.</t>
  </si>
  <si>
    <t>A-011360</t>
  </si>
  <si>
    <t>Maldonado, Daniel</t>
  </si>
  <si>
    <t>2732 E Daniel Drive</t>
  </si>
  <si>
    <t>A-036025</t>
  </si>
  <si>
    <t>Maldonado, Emmanuell and Ana</t>
  </si>
  <si>
    <t>6415 East Le Marche Avenue</t>
  </si>
  <si>
    <t>A-022293</t>
  </si>
  <si>
    <t>Markham, Marla</t>
  </si>
  <si>
    <t>2831 E. Ranch Ct</t>
  </si>
  <si>
    <t>A-004150</t>
  </si>
  <si>
    <t>Marquez, Mercedes</t>
  </si>
  <si>
    <t>8425 E Sheridan St</t>
  </si>
  <si>
    <t>A-008062</t>
  </si>
  <si>
    <t>Mauldin, Sheryl</t>
  </si>
  <si>
    <t>853 W Javelina Ave</t>
  </si>
  <si>
    <t>A-004582</t>
  </si>
  <si>
    <t>McGee, Tom &amp; Pat</t>
  </si>
  <si>
    <t>30708 N 65th St</t>
  </si>
  <si>
    <t>A-004467</t>
  </si>
  <si>
    <t>Mickevicious, Nina</t>
  </si>
  <si>
    <t>5611 S Jolly Roger Road</t>
  </si>
  <si>
    <t>A-007765</t>
  </si>
  <si>
    <t>Mitchell, George A.</t>
  </si>
  <si>
    <t>3056 E. Jerome Ave.</t>
  </si>
  <si>
    <t>A-005919</t>
  </si>
  <si>
    <t>Moe, David &amp; Else</t>
  </si>
  <si>
    <t>6657 E. Oberlin Way</t>
  </si>
  <si>
    <t>A-005634</t>
  </si>
  <si>
    <t>Montgomery, Jennifer &amp; Trevor</t>
  </si>
  <si>
    <t>22807 N 55th Street</t>
  </si>
  <si>
    <t>A-028201</t>
  </si>
  <si>
    <t>Moore, Mary</t>
  </si>
  <si>
    <t>1345 E Christy Dr</t>
  </si>
  <si>
    <t>A-004127</t>
  </si>
  <si>
    <t>Morgan, Bill &amp; Olivia</t>
  </si>
  <si>
    <t>4230 W Mescal St</t>
  </si>
  <si>
    <t>A-024377</t>
  </si>
  <si>
    <t>Munson, Jody</t>
  </si>
  <si>
    <t>1425 E Encinas Ave</t>
  </si>
  <si>
    <t>A-024955</t>
  </si>
  <si>
    <t>Neanover, Darrell</t>
  </si>
  <si>
    <t>5418 W Michigan Ave</t>
  </si>
  <si>
    <t>A-025224</t>
  </si>
  <si>
    <t>Neff, Michael</t>
  </si>
  <si>
    <t>2723 W Avion Way</t>
  </si>
  <si>
    <t>A-010128</t>
  </si>
  <si>
    <t>Newton, Robert</t>
  </si>
  <si>
    <t>4305 W Sandra Cir</t>
  </si>
  <si>
    <t>A-005898</t>
  </si>
  <si>
    <t>Oolman, Brad</t>
  </si>
  <si>
    <t>7064 E Grand View Lane</t>
  </si>
  <si>
    <t>A-007292</t>
  </si>
  <si>
    <t>Orr, Carrie</t>
  </si>
  <si>
    <t>3367 E Tiffany Ct</t>
  </si>
  <si>
    <t>A-001592</t>
  </si>
  <si>
    <t>Oscislawski, Eugene</t>
  </si>
  <si>
    <t>12587 E Jenan Dr</t>
  </si>
  <si>
    <t>A-004216</t>
  </si>
  <si>
    <t>Pasco, Joe</t>
  </si>
  <si>
    <t>318 W. Bolero Dr.</t>
  </si>
  <si>
    <t>A-006305</t>
  </si>
  <si>
    <t>Pela, David and Barbara</t>
  </si>
  <si>
    <t>6144 East Greenway Lane</t>
  </si>
  <si>
    <t>A-051681</t>
  </si>
  <si>
    <t>Pitt, Jim</t>
  </si>
  <si>
    <t>9506 East Los Lagos Vista Avenue</t>
  </si>
  <si>
    <t>A-003857</t>
  </si>
  <si>
    <t>Rahmanovic, Tima and Siko</t>
  </si>
  <si>
    <t>19413 N. 15th Ave.</t>
  </si>
  <si>
    <t>A-006310</t>
  </si>
  <si>
    <t>Rakowski, Teresa and Bryan</t>
  </si>
  <si>
    <t>2192 E. Morelos St</t>
  </si>
  <si>
    <t>A-064775</t>
  </si>
  <si>
    <t>Rao, Shri</t>
  </si>
  <si>
    <t>3471 West Ironwood Drive</t>
  </si>
  <si>
    <t>A-023510</t>
  </si>
  <si>
    <t>Ratz, Carl</t>
  </si>
  <si>
    <t>2128 W Avalon Dr</t>
  </si>
  <si>
    <t>A-034156</t>
  </si>
  <si>
    <t>Reams, Brianna</t>
  </si>
  <si>
    <t>1605 West Wilshire Drive</t>
  </si>
  <si>
    <t>A-002027</t>
  </si>
  <si>
    <t>Reynolds, Karen</t>
  </si>
  <si>
    <t>824 N Cobblestone St</t>
  </si>
  <si>
    <t>A-023820</t>
  </si>
  <si>
    <t>Roberts, Greg</t>
  </si>
  <si>
    <t>1631 E Alicia Drive</t>
  </si>
  <si>
    <t>A-012984</t>
  </si>
  <si>
    <t>Rudder, Randal</t>
  </si>
  <si>
    <t>4015 W. Joan De Arc Ave.</t>
  </si>
  <si>
    <t>A-009407</t>
  </si>
  <si>
    <t>Rusnak, Ann</t>
  </si>
  <si>
    <t>7211 N. 2nd St.</t>
  </si>
  <si>
    <t>A-007381</t>
  </si>
  <si>
    <t>Sakmary, John</t>
  </si>
  <si>
    <t>879 E Cherry Hills</t>
  </si>
  <si>
    <t>A-024523</t>
  </si>
  <si>
    <t>Sandstrom, John &amp; Anna</t>
  </si>
  <si>
    <t>25620 N 113th Way</t>
  </si>
  <si>
    <t>A-004963</t>
  </si>
  <si>
    <t>Schroeder, Fred</t>
  </si>
  <si>
    <t>22511 N. 81st Ave.</t>
  </si>
  <si>
    <t>A-005533</t>
  </si>
  <si>
    <t>Scripter, Linda</t>
  </si>
  <si>
    <t>8702 W Orchid Ln</t>
  </si>
  <si>
    <t>A-000085</t>
  </si>
  <si>
    <t>Scuncio, Chad</t>
  </si>
  <si>
    <t>7476 E. Buteo Dr</t>
  </si>
  <si>
    <t>A-012362</t>
  </si>
  <si>
    <t>Spangler, Robert &amp; Beverly</t>
  </si>
  <si>
    <t>30150 W Flower Street</t>
  </si>
  <si>
    <t>A-024807</t>
  </si>
  <si>
    <t>Stasiuk, Katherine</t>
  </si>
  <si>
    <t>2940 E Sherri Court</t>
  </si>
  <si>
    <t>A-005938</t>
  </si>
  <si>
    <t>Stegner, Mimi</t>
  </si>
  <si>
    <t>4711 E Sourwood Dr</t>
  </si>
  <si>
    <t>A-032637</t>
  </si>
  <si>
    <t>Tan, Jon</t>
  </si>
  <si>
    <t>12036 North 62nd Place</t>
  </si>
  <si>
    <t>A-007022</t>
  </si>
  <si>
    <t>Taubman, Peter</t>
  </si>
  <si>
    <t>1503 E. Town and Country Ln.</t>
  </si>
  <si>
    <t>A-008363</t>
  </si>
  <si>
    <t>Thatcher, Craig</t>
  </si>
  <si>
    <t>314 W. Monte Vista Rd.</t>
  </si>
  <si>
    <t>A-008087</t>
  </si>
  <si>
    <t>Threlkeld, Pauline &amp; Steve</t>
  </si>
  <si>
    <t>7738 E. 3rd St.</t>
  </si>
  <si>
    <t>A-004223</t>
  </si>
  <si>
    <t>Verdoni, Eva</t>
  </si>
  <si>
    <t>11312 E. Peterson Ave.</t>
  </si>
  <si>
    <t>A-006697</t>
  </si>
  <si>
    <t>Vermillion, Ben</t>
  </si>
  <si>
    <t>1560 E Sagebrush Ct</t>
  </si>
  <si>
    <t>A-000048</t>
  </si>
  <si>
    <t>Voss, Kent</t>
  </si>
  <si>
    <t>6522 E Cholla Dr</t>
  </si>
  <si>
    <t>A-034419</t>
  </si>
  <si>
    <t>Wallace, Brett</t>
  </si>
  <si>
    <t>1706 East Desert Breeze Court</t>
  </si>
  <si>
    <t>A-023008</t>
  </si>
  <si>
    <t>Webb, Don</t>
  </si>
  <si>
    <t>8524 E Windsor</t>
  </si>
  <si>
    <t>A-034136</t>
  </si>
  <si>
    <t>Wells, Heidi &amp; Jason</t>
  </si>
  <si>
    <t>4037 East Patricia Jane Drive</t>
  </si>
  <si>
    <t>A-003127</t>
  </si>
  <si>
    <t>Wheatcroft, Andrew</t>
  </si>
  <si>
    <t>16407 N 56th Place</t>
  </si>
  <si>
    <t>A-003142</t>
  </si>
  <si>
    <t>Whitford, Michele</t>
  </si>
  <si>
    <t>10507 W. Heatherbrae Dr.</t>
  </si>
  <si>
    <t>A-022302</t>
  </si>
  <si>
    <t>Wood, Jane</t>
  </si>
  <si>
    <t>10767 N 55th Dr</t>
  </si>
  <si>
    <t>A-000964</t>
  </si>
  <si>
    <t>Young, Jeff &amp; Carol</t>
  </si>
  <si>
    <t>21415 S 142nd St</t>
  </si>
  <si>
    <t>A-010469</t>
  </si>
  <si>
    <t>Zirbo, Fineas</t>
  </si>
  <si>
    <t>24438 N 40th Ln</t>
  </si>
  <si>
    <t>A-005890</t>
  </si>
  <si>
    <t>Ng,  Jonathan</t>
  </si>
  <si>
    <t>3940 E Crest Lane</t>
  </si>
  <si>
    <t>A-014157</t>
  </si>
  <si>
    <t>Kaplan, Chuck</t>
  </si>
  <si>
    <t>1300 East Calle Mariposa</t>
  </si>
  <si>
    <t>A-054168</t>
  </si>
  <si>
    <t>Burr, David</t>
  </si>
  <si>
    <t>3959 East Runaway Bay Place</t>
  </si>
  <si>
    <t>A-069132</t>
  </si>
  <si>
    <t>McGill, Laurel</t>
  </si>
  <si>
    <t>12875 East Nighthawk Ranch Place</t>
  </si>
  <si>
    <t>A-023456</t>
  </si>
  <si>
    <t>Beck, Andy</t>
  </si>
  <si>
    <t>1746 N 15th Avenue</t>
  </si>
  <si>
    <t>A-022614</t>
  </si>
  <si>
    <t>Bowman, Sean and Megan</t>
  </si>
  <si>
    <t>334 W Tam O-Shanter Dr.</t>
  </si>
  <si>
    <t>A-006605</t>
  </si>
  <si>
    <t>DiMaio, Vera</t>
  </si>
  <si>
    <t>15843 E Kipling Dr</t>
  </si>
  <si>
    <t>A-034638</t>
  </si>
  <si>
    <t>Frey, Patty &amp; Ray</t>
  </si>
  <si>
    <t>4504 West Park View Lane</t>
  </si>
  <si>
    <t>A-007370</t>
  </si>
  <si>
    <t>Hinds, Jenna</t>
  </si>
  <si>
    <t>10649 N 65th Ave</t>
  </si>
  <si>
    <t>A-008997</t>
  </si>
  <si>
    <t>Holicky, Doug &amp; Kathy</t>
  </si>
  <si>
    <t>2101 E La Salle Way</t>
  </si>
  <si>
    <t>A-022670</t>
  </si>
  <si>
    <t>Lewis, David</t>
  </si>
  <si>
    <t>13379 E Del Timbre</t>
  </si>
  <si>
    <t>A-001629</t>
  </si>
  <si>
    <t>Lynch, Amanda &amp; Casey</t>
  </si>
  <si>
    <t>6547 E Virginia St</t>
  </si>
  <si>
    <t>A-007385</t>
  </si>
  <si>
    <t>Nusbaum, Gary</t>
  </si>
  <si>
    <t>834 E. Brook Hollow Dr.</t>
  </si>
  <si>
    <t>A-000029</t>
  </si>
  <si>
    <t>Robinson, Phyllis and Jerome</t>
  </si>
  <si>
    <t>8861 E. Lupine Ave</t>
  </si>
  <si>
    <t>A-010421</t>
  </si>
  <si>
    <t>Sanders, Josh</t>
  </si>
  <si>
    <t>3760 E Isabella Ave</t>
  </si>
  <si>
    <t>A-008622</t>
  </si>
  <si>
    <t>Arenas, Jose</t>
  </si>
  <si>
    <t>10417 W Ashbrook Pl</t>
  </si>
  <si>
    <t>A-012322</t>
  </si>
  <si>
    <t>Bay, Beth &amp; Steve</t>
  </si>
  <si>
    <t>4025 E Hashknife Rd</t>
  </si>
  <si>
    <t>A-024847</t>
  </si>
  <si>
    <t>Graham, Morgan</t>
  </si>
  <si>
    <t>3413 E Merlot St</t>
  </si>
  <si>
    <t>A-025291</t>
  </si>
  <si>
    <t>Obert, Jeffery</t>
  </si>
  <si>
    <t>11060 W Runion Dr</t>
  </si>
  <si>
    <t>A-009085</t>
  </si>
  <si>
    <t>Ticer, Robert and Cindy</t>
  </si>
  <si>
    <t>2409 W. Kit Carson Ct.</t>
  </si>
  <si>
    <t>A-056454</t>
  </si>
  <si>
    <t>Looff, Kevin</t>
  </si>
  <si>
    <t>9018 East Range Rider Trail</t>
  </si>
  <si>
    <t>A-024520</t>
  </si>
  <si>
    <t>Ruttledge, Michael</t>
  </si>
  <si>
    <t>11450 E Hideaway Lane</t>
  </si>
  <si>
    <t>A-006210</t>
  </si>
  <si>
    <t>Fisk, Shirley</t>
  </si>
  <si>
    <t>1628 West Seldon Lane</t>
  </si>
  <si>
    <t>A-003109</t>
  </si>
  <si>
    <t>Odell, Greg</t>
  </si>
  <si>
    <t>40395 N. Burwick way</t>
  </si>
  <si>
    <t>A-010133</t>
  </si>
  <si>
    <t>Caruso, Ashley</t>
  </si>
  <si>
    <t>629 W Magdalena Dr</t>
  </si>
  <si>
    <t>A-003405</t>
  </si>
  <si>
    <t>7970 E Wingspan Way</t>
  </si>
  <si>
    <t>A-000466</t>
  </si>
  <si>
    <t>Schinella, Kyle and Sydney</t>
  </si>
  <si>
    <t>2711 E Tyson St</t>
  </si>
  <si>
    <t>A-013010</t>
  </si>
  <si>
    <t>Cassidy, Tom</t>
  </si>
  <si>
    <t>22169 N 79th Place</t>
  </si>
  <si>
    <t>A-032223</t>
  </si>
  <si>
    <t>Patt, Nancy</t>
  </si>
  <si>
    <t>3126 East Gary Way</t>
  </si>
  <si>
    <t>A-000011</t>
  </si>
  <si>
    <t>Hampton, Charles</t>
  </si>
  <si>
    <t>4619 West El Caminito Drive</t>
  </si>
  <si>
    <t>A-024742</t>
  </si>
  <si>
    <t>Birt, Ashley &amp; Ian</t>
  </si>
  <si>
    <t>2326 E. Balsam Dr</t>
  </si>
  <si>
    <t>A-004198</t>
  </si>
  <si>
    <t>Kipnes, Sandra and Adam</t>
  </si>
  <si>
    <t>11235 N 26th St</t>
  </si>
  <si>
    <t>A-052285</t>
  </si>
  <si>
    <t>Aggarwal, Vikrant</t>
  </si>
  <si>
    <t>12955 East Desert Trail</t>
  </si>
  <si>
    <t>Doug Coplen</t>
  </si>
  <si>
    <t>A-032009</t>
  </si>
  <si>
    <t>Evans, Dwayne</t>
  </si>
  <si>
    <t>44011 West Palo Abeto Drive</t>
  </si>
  <si>
    <t>A-013071</t>
  </si>
  <si>
    <t>Adrian, Eunice</t>
  </si>
  <si>
    <t>11522 E Chama Rd</t>
  </si>
  <si>
    <t>A-007266</t>
  </si>
  <si>
    <t>Ansaldo, Faith</t>
  </si>
  <si>
    <t>22734 W. Ashleigh Marie Dr.</t>
  </si>
  <si>
    <t>A-012680</t>
  </si>
  <si>
    <t>Brusso , Patty</t>
  </si>
  <si>
    <t>1572 W Mead Court</t>
  </si>
  <si>
    <t>A-004865</t>
  </si>
  <si>
    <t>Delich, George (Yearly one Free Filter Clean)</t>
  </si>
  <si>
    <t>8931 E. Hillview Circle</t>
  </si>
  <si>
    <t>A-025133</t>
  </si>
  <si>
    <t>Foster, Randy &amp; Becky</t>
  </si>
  <si>
    <t>14303 S. 181st Ave</t>
  </si>
  <si>
    <t>A-022576</t>
  </si>
  <si>
    <t>Hall, Wendy</t>
  </si>
  <si>
    <t>2323 N. Azurite Cir.</t>
  </si>
  <si>
    <t>A-002780</t>
  </si>
  <si>
    <t>Hipps, Andrea</t>
  </si>
  <si>
    <t>7331 N 16th Ave</t>
  </si>
  <si>
    <t>A-006258</t>
  </si>
  <si>
    <t>Horton, Suzanne</t>
  </si>
  <si>
    <t>3555 W Hayward Ave</t>
  </si>
  <si>
    <t>A-000568</t>
  </si>
  <si>
    <t>Marsh, Allen &amp; Sandra</t>
  </si>
  <si>
    <t>2056 S 162nd Lane</t>
  </si>
  <si>
    <t>A-000198</t>
  </si>
  <si>
    <t>Moore, Ashley</t>
  </si>
  <si>
    <t>10264 E Diamond Ave</t>
  </si>
  <si>
    <t>A-007670</t>
  </si>
  <si>
    <t>Pedzimaz, Barb</t>
  </si>
  <si>
    <t>9734 E Gelding Dr</t>
  </si>
  <si>
    <t>A-031461</t>
  </si>
  <si>
    <t>Whaley, Mary</t>
  </si>
  <si>
    <t>3321 West Gary Road</t>
  </si>
  <si>
    <t>A-047899</t>
  </si>
  <si>
    <t>Reinhard, Andrew</t>
  </si>
  <si>
    <t>383 East Cactus Wren Drive</t>
  </si>
  <si>
    <t>A-028234</t>
  </si>
  <si>
    <t>Cruickshank, John</t>
  </si>
  <si>
    <t>11862 E Chama Rd</t>
  </si>
  <si>
    <t>A-006595</t>
  </si>
  <si>
    <t>Price, Randy</t>
  </si>
  <si>
    <t>1978 S Spartan St</t>
  </si>
  <si>
    <t>A-010126</t>
  </si>
  <si>
    <t>Yazzie, Lynnann</t>
  </si>
  <si>
    <t>624 S Banning</t>
  </si>
  <si>
    <t>A-023637</t>
  </si>
  <si>
    <t>Anderson, Forest</t>
  </si>
  <si>
    <t>20638 N 16th Way</t>
  </si>
  <si>
    <t>A-025112</t>
  </si>
  <si>
    <t>Elizondo, Al</t>
  </si>
  <si>
    <t>4814 E Baker Dr</t>
  </si>
  <si>
    <t>A-034297</t>
  </si>
  <si>
    <t>15050 North 55th Place</t>
  </si>
  <si>
    <t>A-012759</t>
  </si>
  <si>
    <t>Graeber, Ralf</t>
  </si>
  <si>
    <t>1721 W Prescott Dr</t>
  </si>
  <si>
    <t>Notes</t>
  </si>
  <si>
    <t>Increase In Base Monthly Charge</t>
  </si>
  <si>
    <t>New Base Monthly Charge</t>
  </si>
  <si>
    <t>820 accounts need to be moved to our $165 base rate</t>
  </si>
  <si>
    <t xml:space="preserve">Total Current Base Monthly Charge From 820 Affected Accounts </t>
  </si>
  <si>
    <t>New Base Monthly Charge From 820 Affected Accounts</t>
  </si>
  <si>
    <t xml:space="preserve">Total Current Base Annual Charge From ALL Accounts </t>
  </si>
  <si>
    <t xml:space="preserve">Total Current Base Monthly Charge From ALL Accounts </t>
  </si>
  <si>
    <t xml:space="preserve">New Base Annual Charge From ALL Accounts </t>
  </si>
  <si>
    <t>30% reduction assumption on 820 affected accounts</t>
  </si>
  <si>
    <t xml:space="preserve">Potential pool count loss due to price increase </t>
  </si>
  <si>
    <t>New total potential pool count</t>
  </si>
  <si>
    <t>30% reduction assumption on 820 affected accounts plus all other accounts</t>
  </si>
  <si>
    <t xml:space="preserve">Potential monthly revenue loss due to price increase </t>
  </si>
  <si>
    <t>30% revenue reduction assumption on 820 affected accounts</t>
  </si>
  <si>
    <t>New base monthly revenue minus potential monthly revenue loss</t>
  </si>
  <si>
    <t>before ACH, conditioner &amp; fuel income</t>
  </si>
  <si>
    <t>$2-$84 increase per account with a median increase of $15.53</t>
  </si>
  <si>
    <t>820 accounts moved to our $165 base monthly rate</t>
  </si>
  <si>
    <t xml:space="preserve">New Base Monthly Charge From ALL Accounts </t>
  </si>
  <si>
    <t xml:space="preserve">New potential total monthly revenue due to </t>
  </si>
  <si>
    <t xml:space="preserve">New potential annual revenue after price increase losses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</si>
</sst>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b/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b/>
      <sz val="11"/>
      <color theme="1"/>
      <name val="Aptos Narrow"/>
      <family val="2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4" fontId="2" fillId="0" borderId="0" xfId="0" applyNumberFormat="1" applyFont="1" applyAlignment="1">
      <alignment horizontal="center" vertical="center" wrapText="1"/>
    </xf>
    <xf numFmtId="44" fontId="2" fillId="2" borderId="1" xfId="0" applyNumberFormat="1" applyFont="1" applyFill="1" applyBorder="1" applyAlignment="1">
      <alignment horizontal="center" vertical="center" wrapText="1"/>
    </xf>
    <xf numFmtId="44" fontId="2" fillId="3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center"/>
    </xf>
    <xf numFmtId="44" fontId="5" fillId="0" borderId="0" xfId="0" applyNumberFormat="1" applyFont="1"/>
    <xf numFmtId="44" fontId="5" fillId="2" borderId="1" xfId="0" applyNumberFormat="1" applyFont="1" applyFill="1" applyBorder="1"/>
    <xf numFmtId="44" fontId="5" fillId="3" borderId="1" xfId="0" applyNumberFormat="1" applyFont="1" applyFill="1" applyBorder="1"/>
    <xf numFmtId="0" fontId="6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44" fontId="0" fillId="0" borderId="0" xfId="0" applyNumberFormat="1"/>
    <xf numFmtId="0" fontId="1" fillId="0" borderId="0" xfId="0" applyFont="1"/>
    <xf numFmtId="44" fontId="7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wrapText="1"/>
    </xf>
    <xf numFmtId="4" fontId="0" fillId="0" borderId="0" xfId="0" applyNumberFormat="1"/>
    <xf numFmtId="44" fontId="8" fillId="0" borderId="0" xfId="0" applyNumberFormat="1" applyFont="1" applyAlignment="1">
      <alignment wrapText="1"/>
    </xf>
    <xf numFmtId="1" fontId="8" fillId="0" borderId="0" xfId="0" applyNumberFormat="1" applyFont="1" applyAlignment="1">
      <alignment wrapText="1"/>
    </xf>
    <xf numFmtId="4" fontId="8" fillId="0" borderId="0" xfId="0" applyNumberFormat="1" applyFont="1" applyAlignment="1">
      <alignment wrapText="1"/>
    </xf>
    <xf numFmtId="0" fontId="8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72"/>
  <sheetViews>
    <sheetView tabSelected="1" topLeftCell="J1" workbookViewId="0">
      <pane ySplit="1" topLeftCell="A1663" activePane="bottomLeft" state="frozen"/>
      <selection pane="bottomLeft" activeCell="T1664" sqref="T1664"/>
    </sheetView>
  </sheetViews>
  <sheetFormatPr defaultColWidth="12.6328125" defaultRowHeight="15" customHeight="1" x14ac:dyDescent="0.35"/>
  <cols>
    <col min="1" max="1" width="12.36328125" customWidth="1"/>
    <col min="2" max="2" width="28" customWidth="1"/>
    <col min="3" max="3" width="27.26953125" customWidth="1"/>
    <col min="4" max="4" width="11.6328125" customWidth="1"/>
    <col min="5" max="5" width="7.08984375" customWidth="1"/>
    <col min="6" max="6" width="8.6328125" customWidth="1"/>
    <col min="7" max="7" width="18.26953125" customWidth="1"/>
    <col min="8" max="8" width="37.7265625" customWidth="1"/>
    <col min="9" max="9" width="15" customWidth="1"/>
    <col min="10" max="10" width="12.453125" customWidth="1"/>
    <col min="11" max="11" width="12.08984375" customWidth="1"/>
    <col min="12" max="12" width="12.36328125" customWidth="1"/>
    <col min="13" max="13" width="15.453125" customWidth="1"/>
    <col min="14" max="14" width="13.453125" customWidth="1"/>
    <col min="15" max="15" width="17" customWidth="1"/>
    <col min="16" max="16" width="19.90625" hidden="1" customWidth="1"/>
    <col min="17" max="17" width="12.26953125" customWidth="1"/>
    <col min="18" max="18" width="14.6328125" customWidth="1"/>
    <col min="19" max="19" width="12.90625" customWidth="1"/>
    <col min="20" max="20" width="13.81640625" bestFit="1" customWidth="1"/>
    <col min="22" max="22" width="34.1796875" customWidth="1"/>
  </cols>
  <sheetData>
    <row r="1" spans="1:22" ht="39.75" customHeigh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5" t="s">
        <v>18</v>
      </c>
      <c r="T1" s="16" t="s">
        <v>5065</v>
      </c>
      <c r="U1" s="3" t="s">
        <v>5064</v>
      </c>
      <c r="V1" s="16" t="s">
        <v>5063</v>
      </c>
    </row>
    <row r="2" spans="1:22" ht="14.25" customHeight="1" x14ac:dyDescent="0.35">
      <c r="A2" s="6" t="s">
        <v>19</v>
      </c>
      <c r="B2" s="6" t="s">
        <v>20</v>
      </c>
      <c r="C2" s="6" t="s">
        <v>21</v>
      </c>
      <c r="D2" s="6" t="s">
        <v>22</v>
      </c>
      <c r="E2" s="7" t="s">
        <v>23</v>
      </c>
      <c r="F2" s="6">
        <v>85226</v>
      </c>
      <c r="G2" s="6" t="s">
        <v>24</v>
      </c>
      <c r="H2" s="6" t="s">
        <v>25</v>
      </c>
      <c r="I2" s="6" t="s">
        <v>26</v>
      </c>
      <c r="J2" s="6" t="b">
        <v>1</v>
      </c>
      <c r="K2" s="6" t="s">
        <v>27</v>
      </c>
      <c r="L2" s="6">
        <v>0</v>
      </c>
      <c r="M2" s="6">
        <v>80.3</v>
      </c>
      <c r="N2" s="8">
        <f t="shared" ref="N2:N65" si="0">IF(J2=TRUE, 6.39*12, "0")</f>
        <v>76.679999999999993</v>
      </c>
      <c r="O2" s="8">
        <f t="shared" ref="O2:O65" si="1">L2+(M2*12)+N2</f>
        <v>1040.28</v>
      </c>
      <c r="P2" s="8">
        <f t="shared" ref="P2:P65" si="2">IF(OR(K2="Check",K2="ACH"), O2*0.97, O2)</f>
        <v>1040.28</v>
      </c>
      <c r="Q2" s="8">
        <f t="shared" ref="Q2:Q65" si="3">P2-O2</f>
        <v>0</v>
      </c>
      <c r="R2" s="9">
        <f t="shared" ref="R2:R65" si="4">O2-Q2</f>
        <v>1040.28</v>
      </c>
      <c r="S2" s="10">
        <f t="shared" ref="S2:S65" si="5">R2/12</f>
        <v>86.69</v>
      </c>
      <c r="T2">
        <v>165</v>
      </c>
      <c r="U2">
        <f>SUM(T2-M2)</f>
        <v>84.7</v>
      </c>
    </row>
    <row r="3" spans="1:22" ht="14.25" customHeight="1" x14ac:dyDescent="0.35">
      <c r="A3" s="6" t="s">
        <v>28</v>
      </c>
      <c r="B3" s="6" t="s">
        <v>29</v>
      </c>
      <c r="C3" s="6" t="s">
        <v>30</v>
      </c>
      <c r="D3" s="6" t="s">
        <v>31</v>
      </c>
      <c r="E3" s="7" t="s">
        <v>23</v>
      </c>
      <c r="F3" s="6">
        <v>85262</v>
      </c>
      <c r="G3" s="6" t="s">
        <v>32</v>
      </c>
      <c r="H3" s="6" t="s">
        <v>33</v>
      </c>
      <c r="I3" s="6" t="s">
        <v>26</v>
      </c>
      <c r="J3" s="6" t="b">
        <v>0</v>
      </c>
      <c r="K3" s="6" t="s">
        <v>27</v>
      </c>
      <c r="L3" s="6">
        <v>41.2</v>
      </c>
      <c r="M3" s="6">
        <v>92.7</v>
      </c>
      <c r="N3" s="8" t="str">
        <f t="shared" si="0"/>
        <v>0</v>
      </c>
      <c r="O3" s="8">
        <f t="shared" si="1"/>
        <v>1153.6000000000001</v>
      </c>
      <c r="P3" s="8">
        <f t="shared" si="2"/>
        <v>1153.6000000000001</v>
      </c>
      <c r="Q3" s="8">
        <f t="shared" si="3"/>
        <v>0</v>
      </c>
      <c r="R3" s="9">
        <f t="shared" si="4"/>
        <v>1153.6000000000001</v>
      </c>
      <c r="S3" s="10">
        <f t="shared" si="5"/>
        <v>96.13333333333334</v>
      </c>
      <c r="T3">
        <v>165</v>
      </c>
      <c r="U3">
        <f>SUM(T3-M3)</f>
        <v>72.3</v>
      </c>
    </row>
    <row r="4" spans="1:22" ht="14.25" customHeight="1" x14ac:dyDescent="0.35">
      <c r="A4" s="6" t="s">
        <v>41</v>
      </c>
      <c r="B4" s="6" t="s">
        <v>42</v>
      </c>
      <c r="C4" s="6" t="s">
        <v>43</v>
      </c>
      <c r="D4" s="6" t="s">
        <v>44</v>
      </c>
      <c r="E4" s="7" t="s">
        <v>23</v>
      </c>
      <c r="F4" s="6">
        <v>85032</v>
      </c>
      <c r="G4" s="6" t="s">
        <v>45</v>
      </c>
      <c r="H4" s="6" t="s">
        <v>33</v>
      </c>
      <c r="I4" s="6" t="s">
        <v>26</v>
      </c>
      <c r="J4" s="6" t="b">
        <v>1</v>
      </c>
      <c r="K4" s="6" t="s">
        <v>27</v>
      </c>
      <c r="L4" s="6">
        <v>41.2</v>
      </c>
      <c r="M4" s="6">
        <v>92.7</v>
      </c>
      <c r="N4" s="8">
        <f t="shared" si="0"/>
        <v>76.679999999999993</v>
      </c>
      <c r="O4" s="8">
        <f t="shared" si="1"/>
        <v>1230.2800000000002</v>
      </c>
      <c r="P4" s="8">
        <f t="shared" si="2"/>
        <v>1230.2800000000002</v>
      </c>
      <c r="Q4" s="8">
        <f t="shared" si="3"/>
        <v>0</v>
      </c>
      <c r="R4" s="9">
        <f t="shared" si="4"/>
        <v>1230.2800000000002</v>
      </c>
      <c r="S4" s="10">
        <f t="shared" si="5"/>
        <v>102.52333333333335</v>
      </c>
      <c r="T4">
        <v>165</v>
      </c>
      <c r="U4">
        <f t="shared" ref="U4:U67" si="6">SUM(T4-M4)</f>
        <v>72.3</v>
      </c>
    </row>
    <row r="5" spans="1:22" ht="14.25" customHeight="1" x14ac:dyDescent="0.35">
      <c r="A5" s="6" t="s">
        <v>34</v>
      </c>
      <c r="B5" s="6" t="s">
        <v>35</v>
      </c>
      <c r="C5" s="6" t="s">
        <v>36</v>
      </c>
      <c r="D5" s="6" t="s">
        <v>37</v>
      </c>
      <c r="E5" s="7" t="s">
        <v>23</v>
      </c>
      <c r="F5" s="6">
        <v>85323</v>
      </c>
      <c r="G5" s="6" t="s">
        <v>38</v>
      </c>
      <c r="H5" s="6" t="s">
        <v>39</v>
      </c>
      <c r="I5" s="6" t="s">
        <v>40</v>
      </c>
      <c r="J5" s="6" t="b">
        <v>0</v>
      </c>
      <c r="K5" s="6" t="s">
        <v>27</v>
      </c>
      <c r="L5" s="6">
        <v>0</v>
      </c>
      <c r="M5" s="6">
        <v>100</v>
      </c>
      <c r="N5" s="8" t="str">
        <f t="shared" si="0"/>
        <v>0</v>
      </c>
      <c r="O5" s="8">
        <f t="shared" si="1"/>
        <v>1200</v>
      </c>
      <c r="P5" s="8">
        <f t="shared" si="2"/>
        <v>1200</v>
      </c>
      <c r="Q5" s="8">
        <f t="shared" si="3"/>
        <v>0</v>
      </c>
      <c r="R5" s="9">
        <f t="shared" si="4"/>
        <v>1200</v>
      </c>
      <c r="S5" s="10">
        <f t="shared" si="5"/>
        <v>100</v>
      </c>
      <c r="T5">
        <v>165</v>
      </c>
      <c r="U5">
        <f t="shared" si="6"/>
        <v>65</v>
      </c>
    </row>
    <row r="6" spans="1:22" ht="14.25" customHeight="1" x14ac:dyDescent="0.35">
      <c r="A6" s="6" t="s">
        <v>46</v>
      </c>
      <c r="B6" s="6" t="s">
        <v>47</v>
      </c>
      <c r="C6" s="6" t="s">
        <v>48</v>
      </c>
      <c r="D6" s="6" t="s">
        <v>31</v>
      </c>
      <c r="E6" s="7" t="s">
        <v>23</v>
      </c>
      <c r="F6" s="6">
        <v>85250</v>
      </c>
      <c r="G6" s="6" t="s">
        <v>49</v>
      </c>
      <c r="H6" s="6" t="s">
        <v>50</v>
      </c>
      <c r="I6" s="6" t="s">
        <v>26</v>
      </c>
      <c r="J6" s="6" t="b">
        <v>0</v>
      </c>
      <c r="K6" s="6" t="s">
        <v>27</v>
      </c>
      <c r="L6" s="6">
        <v>0</v>
      </c>
      <c r="M6" s="6">
        <v>102.62</v>
      </c>
      <c r="N6" s="8" t="str">
        <f t="shared" si="0"/>
        <v>0</v>
      </c>
      <c r="O6" s="8">
        <f t="shared" si="1"/>
        <v>1231.44</v>
      </c>
      <c r="P6" s="8">
        <f t="shared" si="2"/>
        <v>1231.44</v>
      </c>
      <c r="Q6" s="8">
        <f t="shared" si="3"/>
        <v>0</v>
      </c>
      <c r="R6" s="9">
        <f t="shared" si="4"/>
        <v>1231.44</v>
      </c>
      <c r="S6" s="10">
        <f t="shared" si="5"/>
        <v>102.62</v>
      </c>
      <c r="T6">
        <v>165</v>
      </c>
      <c r="U6">
        <f t="shared" si="6"/>
        <v>62.379999999999995</v>
      </c>
    </row>
    <row r="7" spans="1:22" ht="14.25" customHeight="1" x14ac:dyDescent="0.35">
      <c r="A7" s="6" t="s">
        <v>51</v>
      </c>
      <c r="B7" s="6" t="s">
        <v>52</v>
      </c>
      <c r="C7" s="6" t="s">
        <v>53</v>
      </c>
      <c r="D7" s="6" t="s">
        <v>54</v>
      </c>
      <c r="E7" s="7" t="s">
        <v>23</v>
      </c>
      <c r="F7" s="6">
        <v>85718</v>
      </c>
      <c r="G7" s="6" t="s">
        <v>55</v>
      </c>
      <c r="H7" s="6" t="s">
        <v>56</v>
      </c>
      <c r="I7" s="6" t="s">
        <v>57</v>
      </c>
      <c r="J7" s="6" t="b">
        <v>1</v>
      </c>
      <c r="K7" s="6" t="s">
        <v>27</v>
      </c>
      <c r="L7" s="6">
        <v>41.2</v>
      </c>
      <c r="M7" s="6">
        <v>103</v>
      </c>
      <c r="N7" s="8">
        <f t="shared" si="0"/>
        <v>76.679999999999993</v>
      </c>
      <c r="O7" s="8">
        <f t="shared" si="1"/>
        <v>1353.88</v>
      </c>
      <c r="P7" s="8">
        <f t="shared" si="2"/>
        <v>1353.88</v>
      </c>
      <c r="Q7" s="8">
        <f t="shared" si="3"/>
        <v>0</v>
      </c>
      <c r="R7" s="9">
        <f t="shared" si="4"/>
        <v>1353.88</v>
      </c>
      <c r="S7" s="10">
        <f t="shared" si="5"/>
        <v>112.82333333333334</v>
      </c>
      <c r="T7">
        <v>165</v>
      </c>
      <c r="U7">
        <f t="shared" si="6"/>
        <v>62</v>
      </c>
    </row>
    <row r="8" spans="1:22" ht="14.25" customHeight="1" x14ac:dyDescent="0.35">
      <c r="A8" s="6" t="s">
        <v>58</v>
      </c>
      <c r="B8" s="6" t="s">
        <v>59</v>
      </c>
      <c r="C8" s="6" t="s">
        <v>60</v>
      </c>
      <c r="D8" s="6" t="s">
        <v>54</v>
      </c>
      <c r="E8" s="7" t="s">
        <v>23</v>
      </c>
      <c r="F8" s="6">
        <v>85715</v>
      </c>
      <c r="G8" s="6" t="s">
        <v>55</v>
      </c>
      <c r="H8" s="6" t="s">
        <v>56</v>
      </c>
      <c r="I8" s="6" t="s">
        <v>61</v>
      </c>
      <c r="J8" s="6" t="b">
        <v>1</v>
      </c>
      <c r="K8" s="6" t="s">
        <v>27</v>
      </c>
      <c r="L8" s="6">
        <v>41.2</v>
      </c>
      <c r="M8" s="6">
        <v>103</v>
      </c>
      <c r="N8" s="8">
        <f t="shared" si="0"/>
        <v>76.679999999999993</v>
      </c>
      <c r="O8" s="8">
        <f t="shared" si="1"/>
        <v>1353.88</v>
      </c>
      <c r="P8" s="8">
        <f t="shared" si="2"/>
        <v>1353.88</v>
      </c>
      <c r="Q8" s="8">
        <f t="shared" si="3"/>
        <v>0</v>
      </c>
      <c r="R8" s="9">
        <f t="shared" si="4"/>
        <v>1353.88</v>
      </c>
      <c r="S8" s="10">
        <f t="shared" si="5"/>
        <v>112.82333333333334</v>
      </c>
      <c r="T8">
        <v>165</v>
      </c>
      <c r="U8">
        <f t="shared" si="6"/>
        <v>62</v>
      </c>
    </row>
    <row r="9" spans="1:22" ht="14.25" customHeight="1" x14ac:dyDescent="0.35">
      <c r="A9" s="6" t="s">
        <v>62</v>
      </c>
      <c r="B9" s="6" t="s">
        <v>63</v>
      </c>
      <c r="C9" s="6" t="s">
        <v>64</v>
      </c>
      <c r="D9" s="6" t="s">
        <v>65</v>
      </c>
      <c r="E9" s="7" t="s">
        <v>23</v>
      </c>
      <c r="F9" s="6">
        <v>85206</v>
      </c>
      <c r="G9" s="6" t="s">
        <v>66</v>
      </c>
      <c r="H9" s="6" t="s">
        <v>67</v>
      </c>
      <c r="I9" s="6" t="s">
        <v>26</v>
      </c>
      <c r="J9" s="6" t="b">
        <v>1</v>
      </c>
      <c r="K9" s="6" t="s">
        <v>27</v>
      </c>
      <c r="L9" s="6">
        <v>41.2</v>
      </c>
      <c r="M9" s="6">
        <v>110.43</v>
      </c>
      <c r="N9" s="8">
        <f t="shared" si="0"/>
        <v>76.679999999999993</v>
      </c>
      <c r="O9" s="8">
        <f t="shared" si="1"/>
        <v>1443.0400000000002</v>
      </c>
      <c r="P9" s="8">
        <f t="shared" si="2"/>
        <v>1443.0400000000002</v>
      </c>
      <c r="Q9" s="8">
        <f t="shared" si="3"/>
        <v>0</v>
      </c>
      <c r="R9" s="9">
        <f t="shared" si="4"/>
        <v>1443.0400000000002</v>
      </c>
      <c r="S9" s="10">
        <f t="shared" si="5"/>
        <v>120.25333333333334</v>
      </c>
      <c r="T9">
        <v>165</v>
      </c>
      <c r="U9">
        <f t="shared" si="6"/>
        <v>54.569999999999993</v>
      </c>
    </row>
    <row r="10" spans="1:22" ht="14.25" customHeight="1" x14ac:dyDescent="0.35">
      <c r="A10" s="6" t="s">
        <v>80</v>
      </c>
      <c r="B10" s="6" t="s">
        <v>81</v>
      </c>
      <c r="C10" s="6" t="s">
        <v>82</v>
      </c>
      <c r="D10" s="6" t="s">
        <v>54</v>
      </c>
      <c r="E10" s="7" t="s">
        <v>23</v>
      </c>
      <c r="F10" s="6">
        <v>85711</v>
      </c>
      <c r="G10" s="6" t="s">
        <v>55</v>
      </c>
      <c r="H10" s="6" t="s">
        <v>56</v>
      </c>
      <c r="I10" s="6" t="s">
        <v>61</v>
      </c>
      <c r="J10" s="6" t="b">
        <v>1</v>
      </c>
      <c r="K10" s="6" t="s">
        <v>27</v>
      </c>
      <c r="L10" s="6">
        <v>41.2</v>
      </c>
      <c r="M10" s="6">
        <v>113.3</v>
      </c>
      <c r="N10" s="8">
        <f t="shared" si="0"/>
        <v>76.679999999999993</v>
      </c>
      <c r="O10" s="8">
        <f t="shared" si="1"/>
        <v>1477.48</v>
      </c>
      <c r="P10" s="8">
        <f t="shared" si="2"/>
        <v>1477.48</v>
      </c>
      <c r="Q10" s="8">
        <f t="shared" si="3"/>
        <v>0</v>
      </c>
      <c r="R10" s="9">
        <f t="shared" si="4"/>
        <v>1477.48</v>
      </c>
      <c r="S10" s="10">
        <f t="shared" si="5"/>
        <v>123.12333333333333</v>
      </c>
      <c r="T10">
        <v>165</v>
      </c>
      <c r="U10">
        <f t="shared" si="6"/>
        <v>51.7</v>
      </c>
    </row>
    <row r="11" spans="1:22" ht="14.25" customHeight="1" x14ac:dyDescent="0.35">
      <c r="A11" s="6" t="s">
        <v>68</v>
      </c>
      <c r="B11" s="6" t="s">
        <v>69</v>
      </c>
      <c r="C11" s="6" t="s">
        <v>70</v>
      </c>
      <c r="D11" s="6" t="s">
        <v>71</v>
      </c>
      <c r="E11" s="7" t="s">
        <v>23</v>
      </c>
      <c r="F11" s="6">
        <v>85345</v>
      </c>
      <c r="G11" s="6" t="s">
        <v>72</v>
      </c>
      <c r="H11" s="6" t="s">
        <v>73</v>
      </c>
      <c r="I11" s="6" t="s">
        <v>26</v>
      </c>
      <c r="J11" s="6" t="b">
        <v>0</v>
      </c>
      <c r="K11" s="6" t="s">
        <v>27</v>
      </c>
      <c r="L11" s="6">
        <v>40</v>
      </c>
      <c r="M11" s="6">
        <v>119</v>
      </c>
      <c r="N11" s="8" t="str">
        <f t="shared" si="0"/>
        <v>0</v>
      </c>
      <c r="O11" s="8">
        <f t="shared" si="1"/>
        <v>1468</v>
      </c>
      <c r="P11" s="8">
        <f t="shared" si="2"/>
        <v>1468</v>
      </c>
      <c r="Q11" s="8">
        <f t="shared" si="3"/>
        <v>0</v>
      </c>
      <c r="R11" s="9">
        <f t="shared" si="4"/>
        <v>1468</v>
      </c>
      <c r="S11" s="10">
        <f t="shared" si="5"/>
        <v>122.33333333333333</v>
      </c>
      <c r="T11">
        <v>165</v>
      </c>
      <c r="U11">
        <f t="shared" si="6"/>
        <v>46</v>
      </c>
    </row>
    <row r="12" spans="1:22" ht="14.25" customHeight="1" x14ac:dyDescent="0.35">
      <c r="A12" s="6" t="s">
        <v>74</v>
      </c>
      <c r="B12" s="6" t="s">
        <v>75</v>
      </c>
      <c r="C12" s="6" t="s">
        <v>76</v>
      </c>
      <c r="D12" s="6" t="s">
        <v>77</v>
      </c>
      <c r="E12" s="7" t="s">
        <v>23</v>
      </c>
      <c r="F12" s="6">
        <v>85308</v>
      </c>
      <c r="G12" s="6" t="s">
        <v>78</v>
      </c>
      <c r="H12" s="6" t="s">
        <v>79</v>
      </c>
      <c r="I12" s="6" t="s">
        <v>26</v>
      </c>
      <c r="J12" s="6" t="b">
        <v>0</v>
      </c>
      <c r="K12" s="6" t="s">
        <v>27</v>
      </c>
      <c r="L12" s="6">
        <v>41.2</v>
      </c>
      <c r="M12" s="6">
        <v>119</v>
      </c>
      <c r="N12" s="8" t="str">
        <f t="shared" si="0"/>
        <v>0</v>
      </c>
      <c r="O12" s="8">
        <f t="shared" si="1"/>
        <v>1469.2</v>
      </c>
      <c r="P12" s="8">
        <f t="shared" si="2"/>
        <v>1469.2</v>
      </c>
      <c r="Q12" s="8">
        <f t="shared" si="3"/>
        <v>0</v>
      </c>
      <c r="R12" s="9">
        <f t="shared" si="4"/>
        <v>1469.2</v>
      </c>
      <c r="S12" s="10">
        <f t="shared" si="5"/>
        <v>122.43333333333334</v>
      </c>
      <c r="T12">
        <v>165</v>
      </c>
      <c r="U12">
        <f t="shared" si="6"/>
        <v>46</v>
      </c>
    </row>
    <row r="13" spans="1:22" ht="14.25" customHeight="1" x14ac:dyDescent="0.35">
      <c r="A13" s="6" t="s">
        <v>83</v>
      </c>
      <c r="B13" s="6" t="s">
        <v>84</v>
      </c>
      <c r="C13" s="6" t="s">
        <v>85</v>
      </c>
      <c r="D13" s="6" t="s">
        <v>86</v>
      </c>
      <c r="E13" s="7" t="s">
        <v>23</v>
      </c>
      <c r="F13" s="6">
        <v>85123</v>
      </c>
      <c r="G13" s="6" t="s">
        <v>87</v>
      </c>
      <c r="H13" s="6" t="s">
        <v>88</v>
      </c>
      <c r="I13" s="6" t="s">
        <v>40</v>
      </c>
      <c r="J13" s="6" t="b">
        <v>0</v>
      </c>
      <c r="K13" s="6" t="s">
        <v>89</v>
      </c>
      <c r="L13" s="6">
        <v>40</v>
      </c>
      <c r="M13" s="6">
        <v>119</v>
      </c>
      <c r="N13" s="8" t="str">
        <f t="shared" si="0"/>
        <v>0</v>
      </c>
      <c r="O13" s="8">
        <f t="shared" si="1"/>
        <v>1468</v>
      </c>
      <c r="P13" s="8">
        <f t="shared" si="2"/>
        <v>1423.96</v>
      </c>
      <c r="Q13" s="8">
        <f t="shared" si="3"/>
        <v>-44.039999999999964</v>
      </c>
      <c r="R13" s="9">
        <f t="shared" si="4"/>
        <v>1512.04</v>
      </c>
      <c r="S13" s="10">
        <f t="shared" si="5"/>
        <v>126.00333333333333</v>
      </c>
      <c r="T13">
        <v>165</v>
      </c>
      <c r="U13">
        <f t="shared" si="6"/>
        <v>46</v>
      </c>
    </row>
    <row r="14" spans="1:22" ht="14.25" customHeight="1" x14ac:dyDescent="0.35">
      <c r="A14" s="6" t="s">
        <v>90</v>
      </c>
      <c r="B14" s="6" t="s">
        <v>91</v>
      </c>
      <c r="C14" s="6" t="s">
        <v>92</v>
      </c>
      <c r="D14" s="6" t="s">
        <v>44</v>
      </c>
      <c r="E14" s="7" t="s">
        <v>23</v>
      </c>
      <c r="F14" s="6">
        <v>85053</v>
      </c>
      <c r="G14" s="6" t="s">
        <v>72</v>
      </c>
      <c r="H14" s="6" t="s">
        <v>93</v>
      </c>
      <c r="I14" s="6" t="s">
        <v>26</v>
      </c>
      <c r="J14" s="6" t="b">
        <v>0</v>
      </c>
      <c r="K14" s="6" t="s">
        <v>94</v>
      </c>
      <c r="L14" s="6">
        <v>40</v>
      </c>
      <c r="M14" s="6">
        <v>119</v>
      </c>
      <c r="N14" s="8" t="str">
        <f t="shared" si="0"/>
        <v>0</v>
      </c>
      <c r="O14" s="8">
        <f t="shared" si="1"/>
        <v>1468</v>
      </c>
      <c r="P14" s="8">
        <f t="shared" si="2"/>
        <v>1423.96</v>
      </c>
      <c r="Q14" s="8">
        <f t="shared" si="3"/>
        <v>-44.039999999999964</v>
      </c>
      <c r="R14" s="9">
        <f t="shared" si="4"/>
        <v>1512.04</v>
      </c>
      <c r="S14" s="10">
        <f t="shared" si="5"/>
        <v>126.00333333333333</v>
      </c>
      <c r="T14">
        <v>165</v>
      </c>
      <c r="U14">
        <f t="shared" si="6"/>
        <v>46</v>
      </c>
    </row>
    <row r="15" spans="1:22" ht="14.25" customHeight="1" x14ac:dyDescent="0.35">
      <c r="A15" s="6" t="s">
        <v>103</v>
      </c>
      <c r="B15" s="6" t="s">
        <v>104</v>
      </c>
      <c r="C15" s="6" t="s">
        <v>105</v>
      </c>
      <c r="D15" s="6" t="s">
        <v>31</v>
      </c>
      <c r="E15" s="7" t="s">
        <v>23</v>
      </c>
      <c r="F15" s="6">
        <v>85250</v>
      </c>
      <c r="G15" s="6" t="s">
        <v>49</v>
      </c>
      <c r="H15" s="6" t="s">
        <v>50</v>
      </c>
      <c r="I15" s="6" t="s">
        <v>26</v>
      </c>
      <c r="J15" s="6" t="b">
        <v>1</v>
      </c>
      <c r="K15" s="6" t="s">
        <v>27</v>
      </c>
      <c r="L15" s="6">
        <v>41.2</v>
      </c>
      <c r="M15" s="6">
        <v>119</v>
      </c>
      <c r="N15" s="8">
        <f t="shared" si="0"/>
        <v>76.679999999999993</v>
      </c>
      <c r="O15" s="8">
        <f t="shared" si="1"/>
        <v>1545.88</v>
      </c>
      <c r="P15" s="8">
        <f t="shared" si="2"/>
        <v>1545.88</v>
      </c>
      <c r="Q15" s="8">
        <f t="shared" si="3"/>
        <v>0</v>
      </c>
      <c r="R15" s="9">
        <f t="shared" si="4"/>
        <v>1545.88</v>
      </c>
      <c r="S15" s="10">
        <f t="shared" si="5"/>
        <v>128.82333333333335</v>
      </c>
      <c r="T15">
        <v>165</v>
      </c>
      <c r="U15">
        <f t="shared" si="6"/>
        <v>46</v>
      </c>
    </row>
    <row r="16" spans="1:22" ht="14.25" customHeight="1" x14ac:dyDescent="0.35">
      <c r="A16" s="6" t="s">
        <v>122</v>
      </c>
      <c r="B16" s="6" t="s">
        <v>123</v>
      </c>
      <c r="C16" s="6" t="s">
        <v>124</v>
      </c>
      <c r="D16" s="6" t="s">
        <v>22</v>
      </c>
      <c r="E16" s="7" t="s">
        <v>23</v>
      </c>
      <c r="F16" s="6">
        <v>85248</v>
      </c>
      <c r="G16" s="6" t="s">
        <v>125</v>
      </c>
      <c r="H16" s="6" t="s">
        <v>126</v>
      </c>
      <c r="I16" s="6" t="s">
        <v>26</v>
      </c>
      <c r="J16" s="6" t="b">
        <v>1</v>
      </c>
      <c r="K16" s="6" t="s">
        <v>27</v>
      </c>
      <c r="L16" s="6">
        <v>41.2</v>
      </c>
      <c r="M16" s="6">
        <v>120.9</v>
      </c>
      <c r="N16" s="8">
        <f t="shared" si="0"/>
        <v>76.679999999999993</v>
      </c>
      <c r="O16" s="8">
        <f t="shared" si="1"/>
        <v>1568.6800000000003</v>
      </c>
      <c r="P16" s="8">
        <f t="shared" si="2"/>
        <v>1568.6800000000003</v>
      </c>
      <c r="Q16" s="8">
        <f t="shared" si="3"/>
        <v>0</v>
      </c>
      <c r="R16" s="9">
        <f t="shared" si="4"/>
        <v>1568.6800000000003</v>
      </c>
      <c r="S16" s="10">
        <f t="shared" si="5"/>
        <v>130.72333333333336</v>
      </c>
      <c r="T16">
        <v>165</v>
      </c>
      <c r="U16">
        <f t="shared" si="6"/>
        <v>44.099999999999994</v>
      </c>
    </row>
    <row r="17" spans="1:21" ht="14.25" customHeight="1" x14ac:dyDescent="0.35">
      <c r="A17" s="6" t="s">
        <v>100</v>
      </c>
      <c r="B17" s="6" t="s">
        <v>101</v>
      </c>
      <c r="C17" s="6" t="s">
        <v>102</v>
      </c>
      <c r="D17" s="6" t="s">
        <v>98</v>
      </c>
      <c r="E17" s="7" t="s">
        <v>23</v>
      </c>
      <c r="F17" s="6">
        <v>85122</v>
      </c>
      <c r="G17" s="6" t="s">
        <v>87</v>
      </c>
      <c r="H17" s="6" t="s">
        <v>88</v>
      </c>
      <c r="J17" s="6" t="b">
        <v>1</v>
      </c>
      <c r="K17" s="6" t="s">
        <v>94</v>
      </c>
      <c r="L17" s="6">
        <v>41.2</v>
      </c>
      <c r="M17" s="6">
        <v>121.54</v>
      </c>
      <c r="N17" s="8">
        <f t="shared" si="0"/>
        <v>76.679999999999993</v>
      </c>
      <c r="O17" s="8">
        <f t="shared" si="1"/>
        <v>1576.3600000000001</v>
      </c>
      <c r="P17" s="8">
        <f t="shared" si="2"/>
        <v>1529.0692000000001</v>
      </c>
      <c r="Q17" s="8">
        <f t="shared" si="3"/>
        <v>-47.29079999999999</v>
      </c>
      <c r="R17" s="9">
        <f t="shared" si="4"/>
        <v>1623.6508000000001</v>
      </c>
      <c r="S17" s="10">
        <f t="shared" si="5"/>
        <v>135.30423333333334</v>
      </c>
      <c r="T17">
        <v>165</v>
      </c>
      <c r="U17">
        <f t="shared" si="6"/>
        <v>43.459999999999994</v>
      </c>
    </row>
    <row r="18" spans="1:21" ht="14.25" customHeight="1" x14ac:dyDescent="0.35">
      <c r="A18" s="6" t="s">
        <v>127</v>
      </c>
      <c r="B18" s="6" t="s">
        <v>128</v>
      </c>
      <c r="C18" s="6" t="s">
        <v>129</v>
      </c>
      <c r="D18" s="6" t="s">
        <v>130</v>
      </c>
      <c r="E18" s="7" t="s">
        <v>23</v>
      </c>
      <c r="F18" s="6">
        <v>85143</v>
      </c>
      <c r="G18" s="6" t="s">
        <v>87</v>
      </c>
      <c r="H18" s="6" t="s">
        <v>109</v>
      </c>
      <c r="I18" s="6" t="s">
        <v>26</v>
      </c>
      <c r="J18" s="6" t="b">
        <v>1</v>
      </c>
      <c r="K18" s="6" t="s">
        <v>27</v>
      </c>
      <c r="L18" s="6">
        <v>41.2</v>
      </c>
      <c r="M18" s="6">
        <v>121.54</v>
      </c>
      <c r="N18" s="8">
        <f t="shared" si="0"/>
        <v>76.679999999999993</v>
      </c>
      <c r="O18" s="8">
        <f t="shared" si="1"/>
        <v>1576.3600000000001</v>
      </c>
      <c r="P18" s="8">
        <f t="shared" si="2"/>
        <v>1576.3600000000001</v>
      </c>
      <c r="Q18" s="8">
        <f t="shared" si="3"/>
        <v>0</v>
      </c>
      <c r="R18" s="9">
        <f t="shared" si="4"/>
        <v>1576.3600000000001</v>
      </c>
      <c r="S18" s="10">
        <f t="shared" si="5"/>
        <v>131.36333333333334</v>
      </c>
      <c r="T18">
        <v>165</v>
      </c>
      <c r="U18">
        <f t="shared" si="6"/>
        <v>43.459999999999994</v>
      </c>
    </row>
    <row r="19" spans="1:21" ht="14.25" customHeight="1" x14ac:dyDescent="0.35">
      <c r="A19" s="6" t="s">
        <v>131</v>
      </c>
      <c r="B19" s="6" t="s">
        <v>132</v>
      </c>
      <c r="C19" s="6" t="s">
        <v>133</v>
      </c>
      <c r="D19" s="6" t="s">
        <v>117</v>
      </c>
      <c r="E19" s="7" t="s">
        <v>23</v>
      </c>
      <c r="F19" s="6">
        <v>85138</v>
      </c>
      <c r="G19" s="6" t="s">
        <v>87</v>
      </c>
      <c r="H19" s="6" t="s">
        <v>88</v>
      </c>
      <c r="I19" s="6" t="s">
        <v>26</v>
      </c>
      <c r="J19" s="6" t="b">
        <v>1</v>
      </c>
      <c r="K19" s="6" t="s">
        <v>27</v>
      </c>
      <c r="L19" s="6">
        <v>41.2</v>
      </c>
      <c r="M19" s="6">
        <v>121.54</v>
      </c>
      <c r="N19" s="8">
        <f t="shared" si="0"/>
        <v>76.679999999999993</v>
      </c>
      <c r="O19" s="8">
        <f t="shared" si="1"/>
        <v>1576.3600000000001</v>
      </c>
      <c r="P19" s="8">
        <f t="shared" si="2"/>
        <v>1576.3600000000001</v>
      </c>
      <c r="Q19" s="8">
        <f t="shared" si="3"/>
        <v>0</v>
      </c>
      <c r="R19" s="9">
        <f t="shared" si="4"/>
        <v>1576.3600000000001</v>
      </c>
      <c r="S19" s="10">
        <f t="shared" si="5"/>
        <v>131.36333333333334</v>
      </c>
      <c r="T19">
        <v>165</v>
      </c>
      <c r="U19">
        <f t="shared" si="6"/>
        <v>43.459999999999994</v>
      </c>
    </row>
    <row r="20" spans="1:21" ht="14.25" customHeight="1" x14ac:dyDescent="0.35">
      <c r="A20" s="6" t="s">
        <v>134</v>
      </c>
      <c r="B20" s="6" t="s">
        <v>135</v>
      </c>
      <c r="C20" s="6" t="s">
        <v>136</v>
      </c>
      <c r="D20" s="6" t="s">
        <v>117</v>
      </c>
      <c r="E20" s="7" t="s">
        <v>23</v>
      </c>
      <c r="F20" s="6">
        <v>85138</v>
      </c>
      <c r="G20" s="6" t="s">
        <v>87</v>
      </c>
      <c r="H20" s="6" t="s">
        <v>88</v>
      </c>
      <c r="I20" s="6" t="s">
        <v>26</v>
      </c>
      <c r="J20" s="6" t="b">
        <v>1</v>
      </c>
      <c r="K20" s="6" t="s">
        <v>27</v>
      </c>
      <c r="L20" s="6">
        <v>41.2</v>
      </c>
      <c r="M20" s="6">
        <v>121.54</v>
      </c>
      <c r="N20" s="8">
        <f t="shared" si="0"/>
        <v>76.679999999999993</v>
      </c>
      <c r="O20" s="8">
        <f t="shared" si="1"/>
        <v>1576.3600000000001</v>
      </c>
      <c r="P20" s="8">
        <f t="shared" si="2"/>
        <v>1576.3600000000001</v>
      </c>
      <c r="Q20" s="8">
        <f t="shared" si="3"/>
        <v>0</v>
      </c>
      <c r="R20" s="9">
        <f t="shared" si="4"/>
        <v>1576.3600000000001</v>
      </c>
      <c r="S20" s="10">
        <f t="shared" si="5"/>
        <v>131.36333333333334</v>
      </c>
      <c r="T20">
        <v>165</v>
      </c>
      <c r="U20">
        <f t="shared" si="6"/>
        <v>43.459999999999994</v>
      </c>
    </row>
    <row r="21" spans="1:21" ht="14.25" customHeight="1" x14ac:dyDescent="0.35">
      <c r="A21" s="6" t="s">
        <v>155</v>
      </c>
      <c r="B21" s="6" t="s">
        <v>156</v>
      </c>
      <c r="C21" s="6" t="s">
        <v>157</v>
      </c>
      <c r="D21" s="6" t="s">
        <v>117</v>
      </c>
      <c r="E21" s="7" t="s">
        <v>23</v>
      </c>
      <c r="F21" s="6">
        <v>85139</v>
      </c>
      <c r="G21" s="6" t="s">
        <v>87</v>
      </c>
      <c r="H21" s="6" t="s">
        <v>88</v>
      </c>
      <c r="I21" s="6" t="s">
        <v>26</v>
      </c>
      <c r="J21" s="6" t="b">
        <v>1</v>
      </c>
      <c r="K21" s="6" t="s">
        <v>94</v>
      </c>
      <c r="L21" s="6">
        <v>40</v>
      </c>
      <c r="M21" s="6">
        <v>121.54</v>
      </c>
      <c r="N21" s="8">
        <f t="shared" si="0"/>
        <v>76.679999999999993</v>
      </c>
      <c r="O21" s="8">
        <f t="shared" si="1"/>
        <v>1575.16</v>
      </c>
      <c r="P21" s="8">
        <f t="shared" si="2"/>
        <v>1527.9052000000001</v>
      </c>
      <c r="Q21" s="8">
        <f t="shared" si="3"/>
        <v>-47.254799999999932</v>
      </c>
      <c r="R21" s="9">
        <f t="shared" si="4"/>
        <v>1622.4148</v>
      </c>
      <c r="S21" s="10">
        <f t="shared" si="5"/>
        <v>135.20123333333333</v>
      </c>
      <c r="T21">
        <v>165</v>
      </c>
      <c r="U21">
        <f t="shared" si="6"/>
        <v>43.459999999999994</v>
      </c>
    </row>
    <row r="22" spans="1:21" ht="14.25" customHeight="1" x14ac:dyDescent="0.35">
      <c r="A22" s="6" t="s">
        <v>146</v>
      </c>
      <c r="B22" s="6" t="s">
        <v>147</v>
      </c>
      <c r="C22" s="6" t="s">
        <v>148</v>
      </c>
      <c r="D22" s="6" t="s">
        <v>54</v>
      </c>
      <c r="E22" s="7" t="s">
        <v>23</v>
      </c>
      <c r="F22" s="6">
        <v>85742</v>
      </c>
      <c r="G22" s="6" t="s">
        <v>55</v>
      </c>
      <c r="H22" s="6" t="s">
        <v>56</v>
      </c>
      <c r="I22" s="6" t="s">
        <v>40</v>
      </c>
      <c r="J22" s="6" t="b">
        <v>1</v>
      </c>
      <c r="K22" s="6" t="s">
        <v>27</v>
      </c>
      <c r="L22" s="6">
        <v>41.2</v>
      </c>
      <c r="M22" s="6">
        <v>123.6</v>
      </c>
      <c r="N22" s="8">
        <f t="shared" si="0"/>
        <v>76.679999999999993</v>
      </c>
      <c r="O22" s="8">
        <f t="shared" si="1"/>
        <v>1601.08</v>
      </c>
      <c r="P22" s="8">
        <f t="shared" si="2"/>
        <v>1601.08</v>
      </c>
      <c r="Q22" s="8">
        <f t="shared" si="3"/>
        <v>0</v>
      </c>
      <c r="R22" s="9">
        <f t="shared" si="4"/>
        <v>1601.08</v>
      </c>
      <c r="S22" s="10">
        <f t="shared" si="5"/>
        <v>133.42333333333332</v>
      </c>
      <c r="T22">
        <v>165</v>
      </c>
      <c r="U22">
        <f t="shared" si="6"/>
        <v>41.400000000000006</v>
      </c>
    </row>
    <row r="23" spans="1:21" ht="14.25" customHeight="1" x14ac:dyDescent="0.35">
      <c r="A23" s="6" t="s">
        <v>95</v>
      </c>
      <c r="B23" s="6" t="s">
        <v>96</v>
      </c>
      <c r="C23" s="6" t="s">
        <v>97</v>
      </c>
      <c r="D23" s="6" t="s">
        <v>98</v>
      </c>
      <c r="E23" s="7" t="s">
        <v>23</v>
      </c>
      <c r="F23" s="6">
        <v>85193</v>
      </c>
      <c r="G23" s="6" t="s">
        <v>87</v>
      </c>
      <c r="H23" s="6" t="s">
        <v>99</v>
      </c>
      <c r="I23" s="6" t="s">
        <v>26</v>
      </c>
      <c r="J23" s="6" t="b">
        <v>0</v>
      </c>
      <c r="K23" s="6" t="s">
        <v>27</v>
      </c>
      <c r="L23" s="6">
        <v>0</v>
      </c>
      <c r="M23" s="6">
        <v>126.29</v>
      </c>
      <c r="N23" s="8" t="str">
        <f t="shared" si="0"/>
        <v>0</v>
      </c>
      <c r="O23" s="8">
        <f t="shared" si="1"/>
        <v>1515.48</v>
      </c>
      <c r="P23" s="8">
        <f t="shared" si="2"/>
        <v>1515.48</v>
      </c>
      <c r="Q23" s="8">
        <f t="shared" si="3"/>
        <v>0</v>
      </c>
      <c r="R23" s="9">
        <f t="shared" si="4"/>
        <v>1515.48</v>
      </c>
      <c r="S23" s="10">
        <f t="shared" si="5"/>
        <v>126.29</v>
      </c>
      <c r="T23">
        <v>165</v>
      </c>
      <c r="U23">
        <f t="shared" si="6"/>
        <v>38.709999999999994</v>
      </c>
    </row>
    <row r="24" spans="1:21" ht="14.25" customHeight="1" x14ac:dyDescent="0.35">
      <c r="A24" s="6" t="s">
        <v>106</v>
      </c>
      <c r="B24" s="6" t="s">
        <v>107</v>
      </c>
      <c r="C24" s="6" t="s">
        <v>108</v>
      </c>
      <c r="D24" s="6" t="s">
        <v>98</v>
      </c>
      <c r="E24" s="7" t="s">
        <v>23</v>
      </c>
      <c r="F24" s="6">
        <v>85122</v>
      </c>
      <c r="G24" s="6" t="s">
        <v>87</v>
      </c>
      <c r="H24" s="6" t="s">
        <v>109</v>
      </c>
      <c r="I24" s="6" t="s">
        <v>110</v>
      </c>
      <c r="J24" s="6" t="b">
        <v>0</v>
      </c>
      <c r="K24" s="6" t="s">
        <v>27</v>
      </c>
      <c r="L24" s="6">
        <v>41.2</v>
      </c>
      <c r="M24" s="6">
        <v>126.29</v>
      </c>
      <c r="N24" s="8" t="str">
        <f t="shared" si="0"/>
        <v>0</v>
      </c>
      <c r="O24" s="8">
        <f t="shared" si="1"/>
        <v>1556.68</v>
      </c>
      <c r="P24" s="8">
        <f t="shared" si="2"/>
        <v>1556.68</v>
      </c>
      <c r="Q24" s="8">
        <f t="shared" si="3"/>
        <v>0</v>
      </c>
      <c r="R24" s="9">
        <f t="shared" si="4"/>
        <v>1556.68</v>
      </c>
      <c r="S24" s="10">
        <f t="shared" si="5"/>
        <v>129.72333333333333</v>
      </c>
      <c r="T24">
        <v>165</v>
      </c>
      <c r="U24">
        <f t="shared" si="6"/>
        <v>38.709999999999994</v>
      </c>
    </row>
    <row r="25" spans="1:21" ht="14.25" customHeight="1" x14ac:dyDescent="0.35">
      <c r="A25" s="6" t="s">
        <v>137</v>
      </c>
      <c r="B25" s="6" t="s">
        <v>138</v>
      </c>
      <c r="C25" s="6" t="s">
        <v>139</v>
      </c>
      <c r="D25" s="6" t="s">
        <v>77</v>
      </c>
      <c r="E25" s="7" t="s">
        <v>23</v>
      </c>
      <c r="F25" s="6">
        <v>85308</v>
      </c>
      <c r="G25" s="6" t="s">
        <v>78</v>
      </c>
      <c r="H25" s="6" t="s">
        <v>79</v>
      </c>
      <c r="I25" s="6" t="s">
        <v>26</v>
      </c>
      <c r="J25" s="6" t="b">
        <v>1</v>
      </c>
      <c r="K25" s="6" t="s">
        <v>27</v>
      </c>
      <c r="L25" s="6">
        <v>41.2</v>
      </c>
      <c r="M25" s="6">
        <v>128.75</v>
      </c>
      <c r="N25" s="8">
        <f t="shared" si="0"/>
        <v>76.679999999999993</v>
      </c>
      <c r="O25" s="8">
        <f t="shared" si="1"/>
        <v>1662.88</v>
      </c>
      <c r="P25" s="8">
        <f t="shared" si="2"/>
        <v>1662.88</v>
      </c>
      <c r="Q25" s="8">
        <f t="shared" si="3"/>
        <v>0</v>
      </c>
      <c r="R25" s="9">
        <f t="shared" si="4"/>
        <v>1662.88</v>
      </c>
      <c r="S25" s="10">
        <f t="shared" si="5"/>
        <v>138.57333333333335</v>
      </c>
      <c r="T25">
        <v>165</v>
      </c>
      <c r="U25">
        <f t="shared" si="6"/>
        <v>36.25</v>
      </c>
    </row>
    <row r="26" spans="1:21" ht="14.25" customHeight="1" x14ac:dyDescent="0.35">
      <c r="A26" s="6" t="s">
        <v>140</v>
      </c>
      <c r="B26" s="6" t="s">
        <v>141</v>
      </c>
      <c r="C26" s="6" t="s">
        <v>142</v>
      </c>
      <c r="D26" s="6" t="s">
        <v>65</v>
      </c>
      <c r="E26" s="7" t="s">
        <v>23</v>
      </c>
      <c r="F26" s="6">
        <v>85204</v>
      </c>
      <c r="G26" s="6" t="s">
        <v>66</v>
      </c>
      <c r="H26" s="6" t="s">
        <v>67</v>
      </c>
      <c r="I26" s="6" t="s">
        <v>26</v>
      </c>
      <c r="J26" s="6" t="b">
        <v>1</v>
      </c>
      <c r="K26" s="6" t="s">
        <v>27</v>
      </c>
      <c r="L26" s="6">
        <v>41.2</v>
      </c>
      <c r="M26" s="6">
        <v>128.75</v>
      </c>
      <c r="N26" s="8">
        <f t="shared" si="0"/>
        <v>76.679999999999993</v>
      </c>
      <c r="O26" s="8">
        <f t="shared" si="1"/>
        <v>1662.88</v>
      </c>
      <c r="P26" s="8">
        <f t="shared" si="2"/>
        <v>1662.88</v>
      </c>
      <c r="Q26" s="8">
        <f t="shared" si="3"/>
        <v>0</v>
      </c>
      <c r="R26" s="9">
        <f t="shared" si="4"/>
        <v>1662.88</v>
      </c>
      <c r="S26" s="10">
        <f t="shared" si="5"/>
        <v>138.57333333333335</v>
      </c>
      <c r="T26">
        <v>165</v>
      </c>
      <c r="U26">
        <f t="shared" si="6"/>
        <v>36.25</v>
      </c>
    </row>
    <row r="27" spans="1:21" ht="14.25" customHeight="1" x14ac:dyDescent="0.35">
      <c r="A27" s="6" t="s">
        <v>143</v>
      </c>
      <c r="B27" s="6" t="s">
        <v>144</v>
      </c>
      <c r="C27" s="6" t="s">
        <v>145</v>
      </c>
      <c r="D27" s="6" t="s">
        <v>31</v>
      </c>
      <c r="E27" s="7" t="s">
        <v>23</v>
      </c>
      <c r="F27" s="6">
        <v>85250</v>
      </c>
      <c r="G27" s="6" t="s">
        <v>49</v>
      </c>
      <c r="H27" s="6" t="s">
        <v>50</v>
      </c>
      <c r="I27" s="6" t="s">
        <v>26</v>
      </c>
      <c r="J27" s="6" t="b">
        <v>1</v>
      </c>
      <c r="K27" s="6" t="s">
        <v>27</v>
      </c>
      <c r="L27" s="6">
        <v>41.2</v>
      </c>
      <c r="M27" s="6">
        <v>128.75</v>
      </c>
      <c r="N27" s="8">
        <f t="shared" si="0"/>
        <v>76.679999999999993</v>
      </c>
      <c r="O27" s="8">
        <f t="shared" si="1"/>
        <v>1662.88</v>
      </c>
      <c r="P27" s="8">
        <f t="shared" si="2"/>
        <v>1662.88</v>
      </c>
      <c r="Q27" s="8">
        <f t="shared" si="3"/>
        <v>0</v>
      </c>
      <c r="R27" s="9">
        <f t="shared" si="4"/>
        <v>1662.88</v>
      </c>
      <c r="S27" s="10">
        <f t="shared" si="5"/>
        <v>138.57333333333335</v>
      </c>
      <c r="T27">
        <v>165</v>
      </c>
      <c r="U27">
        <f t="shared" si="6"/>
        <v>36.25</v>
      </c>
    </row>
    <row r="28" spans="1:21" ht="14.25" customHeight="1" x14ac:dyDescent="0.35">
      <c r="A28" s="6" t="s">
        <v>158</v>
      </c>
      <c r="B28" s="6" t="s">
        <v>159</v>
      </c>
      <c r="C28" s="6" t="s">
        <v>160</v>
      </c>
      <c r="D28" s="6" t="s">
        <v>44</v>
      </c>
      <c r="E28" s="7" t="s">
        <v>23</v>
      </c>
      <c r="F28" s="6">
        <v>85045</v>
      </c>
      <c r="G28" s="6" t="s">
        <v>24</v>
      </c>
      <c r="H28" s="6" t="s">
        <v>161</v>
      </c>
      <c r="I28" s="6" t="s">
        <v>26</v>
      </c>
      <c r="J28" s="6" t="b">
        <v>1</v>
      </c>
      <c r="K28" s="6" t="s">
        <v>27</v>
      </c>
      <c r="L28" s="6">
        <v>41.2</v>
      </c>
      <c r="M28" s="6">
        <v>128.75</v>
      </c>
      <c r="N28" s="8">
        <f t="shared" si="0"/>
        <v>76.679999999999993</v>
      </c>
      <c r="O28" s="8">
        <f t="shared" si="1"/>
        <v>1662.88</v>
      </c>
      <c r="P28" s="8">
        <f t="shared" si="2"/>
        <v>1662.88</v>
      </c>
      <c r="Q28" s="8">
        <f t="shared" si="3"/>
        <v>0</v>
      </c>
      <c r="R28" s="9">
        <f t="shared" si="4"/>
        <v>1662.88</v>
      </c>
      <c r="S28" s="10">
        <f t="shared" si="5"/>
        <v>138.57333333333335</v>
      </c>
      <c r="T28">
        <v>165</v>
      </c>
      <c r="U28">
        <f t="shared" si="6"/>
        <v>36.25</v>
      </c>
    </row>
    <row r="29" spans="1:21" ht="14.25" customHeight="1" x14ac:dyDescent="0.35">
      <c r="A29" s="6" t="s">
        <v>162</v>
      </c>
      <c r="B29" s="6" t="s">
        <v>163</v>
      </c>
      <c r="C29" s="6" t="s">
        <v>164</v>
      </c>
      <c r="D29" s="6" t="s">
        <v>165</v>
      </c>
      <c r="E29" s="7" t="s">
        <v>23</v>
      </c>
      <c r="F29" s="6">
        <v>85233</v>
      </c>
      <c r="G29" s="6" t="s">
        <v>125</v>
      </c>
      <c r="H29" s="6" t="s">
        <v>25</v>
      </c>
      <c r="I29" s="6" t="s">
        <v>26</v>
      </c>
      <c r="J29" s="6" t="b">
        <v>1</v>
      </c>
      <c r="K29" s="6" t="s">
        <v>27</v>
      </c>
      <c r="L29" s="6">
        <v>41.2</v>
      </c>
      <c r="M29" s="6">
        <v>128.75</v>
      </c>
      <c r="N29" s="8">
        <f t="shared" si="0"/>
        <v>76.679999999999993</v>
      </c>
      <c r="O29" s="8">
        <f t="shared" si="1"/>
        <v>1662.88</v>
      </c>
      <c r="P29" s="8">
        <f t="shared" si="2"/>
        <v>1662.88</v>
      </c>
      <c r="Q29" s="8">
        <f t="shared" si="3"/>
        <v>0</v>
      </c>
      <c r="R29" s="9">
        <f t="shared" si="4"/>
        <v>1662.88</v>
      </c>
      <c r="S29" s="10">
        <f t="shared" si="5"/>
        <v>138.57333333333335</v>
      </c>
      <c r="T29">
        <v>165</v>
      </c>
      <c r="U29">
        <f t="shared" si="6"/>
        <v>36.25</v>
      </c>
    </row>
    <row r="30" spans="1:21" ht="14.25" customHeight="1" x14ac:dyDescent="0.35">
      <c r="A30" s="6" t="s">
        <v>166</v>
      </c>
      <c r="B30" s="6" t="s">
        <v>167</v>
      </c>
      <c r="C30" s="6" t="s">
        <v>168</v>
      </c>
      <c r="D30" s="6" t="s">
        <v>31</v>
      </c>
      <c r="E30" s="7" t="s">
        <v>23</v>
      </c>
      <c r="F30" s="6">
        <v>85259</v>
      </c>
      <c r="G30" s="6" t="s">
        <v>45</v>
      </c>
      <c r="H30" s="6" t="s">
        <v>169</v>
      </c>
      <c r="I30" s="6" t="s">
        <v>26</v>
      </c>
      <c r="J30" s="6" t="b">
        <v>1</v>
      </c>
      <c r="K30" s="6" t="s">
        <v>27</v>
      </c>
      <c r="L30" s="6">
        <v>41.2</v>
      </c>
      <c r="M30" s="6">
        <v>128.75</v>
      </c>
      <c r="N30" s="8">
        <f t="shared" si="0"/>
        <v>76.679999999999993</v>
      </c>
      <c r="O30" s="8">
        <f t="shared" si="1"/>
        <v>1662.88</v>
      </c>
      <c r="P30" s="8">
        <f t="shared" si="2"/>
        <v>1662.88</v>
      </c>
      <c r="Q30" s="8">
        <f t="shared" si="3"/>
        <v>0</v>
      </c>
      <c r="R30" s="9">
        <f t="shared" si="4"/>
        <v>1662.88</v>
      </c>
      <c r="S30" s="10">
        <f t="shared" si="5"/>
        <v>138.57333333333335</v>
      </c>
      <c r="T30">
        <v>165</v>
      </c>
      <c r="U30">
        <f t="shared" si="6"/>
        <v>36.25</v>
      </c>
    </row>
    <row r="31" spans="1:21" ht="14.25" customHeight="1" x14ac:dyDescent="0.35">
      <c r="A31" s="6" t="s">
        <v>170</v>
      </c>
      <c r="B31" s="6" t="s">
        <v>171</v>
      </c>
      <c r="C31" s="6" t="s">
        <v>172</v>
      </c>
      <c r="D31" s="6" t="s">
        <v>44</v>
      </c>
      <c r="E31" s="7" t="s">
        <v>23</v>
      </c>
      <c r="F31" s="6">
        <v>85014</v>
      </c>
      <c r="G31" s="6" t="s">
        <v>173</v>
      </c>
      <c r="H31" s="6" t="s">
        <v>79</v>
      </c>
      <c r="I31" s="6" t="s">
        <v>26</v>
      </c>
      <c r="J31" s="6" t="b">
        <v>1</v>
      </c>
      <c r="K31" s="6" t="s">
        <v>27</v>
      </c>
      <c r="L31" s="6">
        <v>41.2</v>
      </c>
      <c r="M31" s="6">
        <v>128.75</v>
      </c>
      <c r="N31" s="8">
        <f t="shared" si="0"/>
        <v>76.679999999999993</v>
      </c>
      <c r="O31" s="8">
        <f t="shared" si="1"/>
        <v>1662.88</v>
      </c>
      <c r="P31" s="8">
        <f t="shared" si="2"/>
        <v>1662.88</v>
      </c>
      <c r="Q31" s="8">
        <f t="shared" si="3"/>
        <v>0</v>
      </c>
      <c r="R31" s="9">
        <f t="shared" si="4"/>
        <v>1662.88</v>
      </c>
      <c r="S31" s="10">
        <f t="shared" si="5"/>
        <v>138.57333333333335</v>
      </c>
      <c r="T31">
        <v>165</v>
      </c>
      <c r="U31">
        <f t="shared" si="6"/>
        <v>36.25</v>
      </c>
    </row>
    <row r="32" spans="1:21" ht="14.25" customHeight="1" x14ac:dyDescent="0.35">
      <c r="A32" s="6" t="s">
        <v>174</v>
      </c>
      <c r="B32" s="6" t="s">
        <v>175</v>
      </c>
      <c r="C32" s="6" t="s">
        <v>176</v>
      </c>
      <c r="D32" s="6" t="s">
        <v>22</v>
      </c>
      <c r="E32" s="7" t="s">
        <v>23</v>
      </c>
      <c r="F32" s="6">
        <v>85225</v>
      </c>
      <c r="G32" s="6" t="s">
        <v>24</v>
      </c>
      <c r="H32" s="6" t="s">
        <v>25</v>
      </c>
      <c r="I32" s="6" t="s">
        <v>26</v>
      </c>
      <c r="J32" s="6" t="b">
        <v>1</v>
      </c>
      <c r="K32" s="6" t="s">
        <v>27</v>
      </c>
      <c r="L32" s="6">
        <v>41.2</v>
      </c>
      <c r="M32" s="6">
        <v>128.75</v>
      </c>
      <c r="N32" s="8">
        <f t="shared" si="0"/>
        <v>76.679999999999993</v>
      </c>
      <c r="O32" s="8">
        <f t="shared" si="1"/>
        <v>1662.88</v>
      </c>
      <c r="P32" s="8">
        <f t="shared" si="2"/>
        <v>1662.88</v>
      </c>
      <c r="Q32" s="8">
        <f t="shared" si="3"/>
        <v>0</v>
      </c>
      <c r="R32" s="9">
        <f t="shared" si="4"/>
        <v>1662.88</v>
      </c>
      <c r="S32" s="10">
        <f t="shared" si="5"/>
        <v>138.57333333333335</v>
      </c>
      <c r="T32">
        <v>165</v>
      </c>
      <c r="U32">
        <f t="shared" si="6"/>
        <v>36.25</v>
      </c>
    </row>
    <row r="33" spans="1:21" ht="14.25" customHeight="1" x14ac:dyDescent="0.35">
      <c r="A33" s="6" t="s">
        <v>177</v>
      </c>
      <c r="B33" s="6" t="s">
        <v>178</v>
      </c>
      <c r="C33" s="6" t="s">
        <v>179</v>
      </c>
      <c r="D33" s="6" t="s">
        <v>65</v>
      </c>
      <c r="E33" s="7" t="s">
        <v>23</v>
      </c>
      <c r="F33" s="6">
        <v>85212</v>
      </c>
      <c r="G33" s="6" t="s">
        <v>125</v>
      </c>
      <c r="H33" s="6" t="s">
        <v>180</v>
      </c>
      <c r="I33" s="6" t="s">
        <v>26</v>
      </c>
      <c r="J33" s="6" t="b">
        <v>1</v>
      </c>
      <c r="K33" s="6" t="s">
        <v>27</v>
      </c>
      <c r="L33" s="6">
        <v>41.2</v>
      </c>
      <c r="M33" s="6">
        <v>128.75</v>
      </c>
      <c r="N33" s="8">
        <f t="shared" si="0"/>
        <v>76.679999999999993</v>
      </c>
      <c r="O33" s="8">
        <f t="shared" si="1"/>
        <v>1662.88</v>
      </c>
      <c r="P33" s="8">
        <f t="shared" si="2"/>
        <v>1662.88</v>
      </c>
      <c r="Q33" s="8">
        <f t="shared" si="3"/>
        <v>0</v>
      </c>
      <c r="R33" s="9">
        <f t="shared" si="4"/>
        <v>1662.88</v>
      </c>
      <c r="S33" s="10">
        <f t="shared" si="5"/>
        <v>138.57333333333335</v>
      </c>
      <c r="T33">
        <v>165</v>
      </c>
      <c r="U33">
        <f t="shared" si="6"/>
        <v>36.25</v>
      </c>
    </row>
    <row r="34" spans="1:21" ht="14.25" customHeight="1" x14ac:dyDescent="0.35">
      <c r="A34" s="6" t="s">
        <v>187</v>
      </c>
      <c r="B34" s="6" t="s">
        <v>188</v>
      </c>
      <c r="C34" s="6" t="s">
        <v>189</v>
      </c>
      <c r="D34" s="6" t="s">
        <v>22</v>
      </c>
      <c r="E34" s="7" t="s">
        <v>23</v>
      </c>
      <c r="F34" s="6">
        <v>85249</v>
      </c>
      <c r="G34" s="6" t="s">
        <v>125</v>
      </c>
      <c r="H34" s="6" t="s">
        <v>126</v>
      </c>
      <c r="I34" s="6" t="s">
        <v>26</v>
      </c>
      <c r="J34" s="6" t="b">
        <v>1</v>
      </c>
      <c r="K34" s="6" t="s">
        <v>94</v>
      </c>
      <c r="L34" s="6">
        <v>41.2</v>
      </c>
      <c r="M34" s="6">
        <v>128.75</v>
      </c>
      <c r="N34" s="8">
        <f t="shared" si="0"/>
        <v>76.679999999999993</v>
      </c>
      <c r="O34" s="8">
        <f t="shared" si="1"/>
        <v>1662.88</v>
      </c>
      <c r="P34" s="8">
        <f t="shared" si="2"/>
        <v>1612.9936</v>
      </c>
      <c r="Q34" s="8">
        <f t="shared" si="3"/>
        <v>-49.886400000000094</v>
      </c>
      <c r="R34" s="9">
        <f t="shared" si="4"/>
        <v>1712.7664000000002</v>
      </c>
      <c r="S34" s="10">
        <f t="shared" si="5"/>
        <v>142.73053333333334</v>
      </c>
      <c r="T34">
        <v>165</v>
      </c>
      <c r="U34">
        <f t="shared" si="6"/>
        <v>36.25</v>
      </c>
    </row>
    <row r="35" spans="1:21" ht="14.25" customHeight="1" x14ac:dyDescent="0.35">
      <c r="A35" s="6" t="s">
        <v>111</v>
      </c>
      <c r="B35" s="6" t="s">
        <v>112</v>
      </c>
      <c r="C35" s="6" t="s">
        <v>113</v>
      </c>
      <c r="D35" s="6" t="s">
        <v>54</v>
      </c>
      <c r="E35" s="7" t="s">
        <v>23</v>
      </c>
      <c r="F35" s="6">
        <v>85739</v>
      </c>
      <c r="G35" s="6" t="s">
        <v>55</v>
      </c>
      <c r="H35" s="6" t="s">
        <v>56</v>
      </c>
      <c r="I35" s="6" t="s">
        <v>26</v>
      </c>
      <c r="J35" s="6" t="b">
        <v>0</v>
      </c>
      <c r="K35" s="6" t="s">
        <v>27</v>
      </c>
      <c r="L35" s="6">
        <v>0</v>
      </c>
      <c r="M35" s="6">
        <v>130</v>
      </c>
      <c r="N35" s="8" t="str">
        <f t="shared" si="0"/>
        <v>0</v>
      </c>
      <c r="O35" s="8">
        <f t="shared" si="1"/>
        <v>1560</v>
      </c>
      <c r="P35" s="8">
        <f t="shared" si="2"/>
        <v>1560</v>
      </c>
      <c r="Q35" s="8">
        <f t="shared" si="3"/>
        <v>0</v>
      </c>
      <c r="R35" s="9">
        <f t="shared" si="4"/>
        <v>1560</v>
      </c>
      <c r="S35" s="10">
        <f t="shared" si="5"/>
        <v>130</v>
      </c>
      <c r="T35">
        <v>165</v>
      </c>
      <c r="U35">
        <f t="shared" si="6"/>
        <v>35</v>
      </c>
    </row>
    <row r="36" spans="1:21" ht="14.25" customHeight="1" x14ac:dyDescent="0.35">
      <c r="A36" s="6" t="s">
        <v>114</v>
      </c>
      <c r="B36" s="6" t="s">
        <v>115</v>
      </c>
      <c r="C36" s="6" t="s">
        <v>116</v>
      </c>
      <c r="D36" s="6" t="s">
        <v>117</v>
      </c>
      <c r="E36" s="7" t="s">
        <v>23</v>
      </c>
      <c r="F36" s="6">
        <v>85138</v>
      </c>
      <c r="G36" s="6" t="s">
        <v>87</v>
      </c>
      <c r="H36" s="6" t="s">
        <v>88</v>
      </c>
      <c r="I36" s="6" t="s">
        <v>110</v>
      </c>
      <c r="J36" s="6" t="b">
        <v>0</v>
      </c>
      <c r="K36" s="6" t="s">
        <v>27</v>
      </c>
      <c r="L36" s="6">
        <v>0</v>
      </c>
      <c r="M36" s="6">
        <v>130</v>
      </c>
      <c r="N36" s="8" t="str">
        <f t="shared" si="0"/>
        <v>0</v>
      </c>
      <c r="O36" s="8">
        <f t="shared" si="1"/>
        <v>1560</v>
      </c>
      <c r="P36" s="8">
        <f t="shared" si="2"/>
        <v>1560</v>
      </c>
      <c r="Q36" s="8">
        <f t="shared" si="3"/>
        <v>0</v>
      </c>
      <c r="R36" s="9">
        <f t="shared" si="4"/>
        <v>1560</v>
      </c>
      <c r="S36" s="10">
        <f t="shared" si="5"/>
        <v>130</v>
      </c>
      <c r="T36">
        <v>165</v>
      </c>
      <c r="U36">
        <f t="shared" si="6"/>
        <v>35</v>
      </c>
    </row>
    <row r="37" spans="1:21" ht="14.25" customHeight="1" x14ac:dyDescent="0.35">
      <c r="A37" s="6" t="s">
        <v>118</v>
      </c>
      <c r="B37" s="6" t="s">
        <v>119</v>
      </c>
      <c r="C37" s="6" t="s">
        <v>120</v>
      </c>
      <c r="D37" s="6" t="s">
        <v>117</v>
      </c>
      <c r="E37" s="7" t="s">
        <v>23</v>
      </c>
      <c r="F37" s="6">
        <v>85139</v>
      </c>
      <c r="G37" s="6" t="s">
        <v>87</v>
      </c>
      <c r="H37" s="6" t="s">
        <v>88</v>
      </c>
      <c r="I37" s="6" t="s">
        <v>121</v>
      </c>
      <c r="J37" s="6" t="b">
        <v>0</v>
      </c>
      <c r="K37" s="6" t="s">
        <v>27</v>
      </c>
      <c r="L37" s="6">
        <v>0</v>
      </c>
      <c r="M37" s="6">
        <v>130</v>
      </c>
      <c r="N37" s="8" t="str">
        <f t="shared" si="0"/>
        <v>0</v>
      </c>
      <c r="O37" s="8">
        <f t="shared" si="1"/>
        <v>1560</v>
      </c>
      <c r="P37" s="8">
        <f t="shared" si="2"/>
        <v>1560</v>
      </c>
      <c r="Q37" s="8">
        <f t="shared" si="3"/>
        <v>0</v>
      </c>
      <c r="R37" s="9">
        <f t="shared" si="4"/>
        <v>1560</v>
      </c>
      <c r="S37" s="10">
        <f t="shared" si="5"/>
        <v>130</v>
      </c>
      <c r="T37">
        <v>165</v>
      </c>
      <c r="U37">
        <f t="shared" si="6"/>
        <v>35</v>
      </c>
    </row>
    <row r="38" spans="1:21" ht="14.25" customHeight="1" x14ac:dyDescent="0.35">
      <c r="A38" s="6" t="s">
        <v>149</v>
      </c>
      <c r="B38" s="6" t="s">
        <v>150</v>
      </c>
      <c r="C38" s="6" t="s">
        <v>151</v>
      </c>
      <c r="D38" s="6" t="s">
        <v>98</v>
      </c>
      <c r="E38" s="7" t="s">
        <v>23</v>
      </c>
      <c r="F38" s="6">
        <v>85122</v>
      </c>
      <c r="G38" s="6" t="s">
        <v>87</v>
      </c>
      <c r="H38" s="6" t="s">
        <v>88</v>
      </c>
      <c r="I38" s="6" t="s">
        <v>57</v>
      </c>
      <c r="J38" s="6" t="b">
        <v>0</v>
      </c>
      <c r="K38" s="6" t="s">
        <v>27</v>
      </c>
      <c r="L38" s="6">
        <v>41.2</v>
      </c>
      <c r="M38" s="6">
        <v>130</v>
      </c>
      <c r="N38" s="8" t="str">
        <f t="shared" si="0"/>
        <v>0</v>
      </c>
      <c r="O38" s="8">
        <f t="shared" si="1"/>
        <v>1601.2</v>
      </c>
      <c r="P38" s="8">
        <f t="shared" si="2"/>
        <v>1601.2</v>
      </c>
      <c r="Q38" s="8">
        <f t="shared" si="3"/>
        <v>0</v>
      </c>
      <c r="R38" s="9">
        <f t="shared" si="4"/>
        <v>1601.2</v>
      </c>
      <c r="S38" s="10">
        <f t="shared" si="5"/>
        <v>133.43333333333334</v>
      </c>
      <c r="T38">
        <v>165</v>
      </c>
      <c r="U38">
        <f t="shared" si="6"/>
        <v>35</v>
      </c>
    </row>
    <row r="39" spans="1:21" ht="14.25" customHeight="1" x14ac:dyDescent="0.35">
      <c r="A39" s="6" t="s">
        <v>184</v>
      </c>
      <c r="B39" s="6" t="s">
        <v>185</v>
      </c>
      <c r="C39" s="6" t="s">
        <v>186</v>
      </c>
      <c r="D39" s="6" t="s">
        <v>65</v>
      </c>
      <c r="E39" s="7" t="s">
        <v>23</v>
      </c>
      <c r="F39" s="6">
        <v>85204</v>
      </c>
      <c r="G39" s="6" t="s">
        <v>66</v>
      </c>
      <c r="H39" s="6" t="s">
        <v>67</v>
      </c>
      <c r="I39" s="6" t="s">
        <v>26</v>
      </c>
      <c r="J39" s="6" t="b">
        <v>1</v>
      </c>
      <c r="K39" s="6" t="s">
        <v>27</v>
      </c>
      <c r="L39" s="6">
        <v>41.2</v>
      </c>
      <c r="M39" s="6">
        <v>132.65</v>
      </c>
      <c r="N39" s="8">
        <f t="shared" si="0"/>
        <v>76.679999999999993</v>
      </c>
      <c r="O39" s="8">
        <f t="shared" si="1"/>
        <v>1709.6800000000003</v>
      </c>
      <c r="P39" s="8">
        <f t="shared" si="2"/>
        <v>1709.6800000000003</v>
      </c>
      <c r="Q39" s="8">
        <f t="shared" si="3"/>
        <v>0</v>
      </c>
      <c r="R39" s="9">
        <f t="shared" si="4"/>
        <v>1709.6800000000003</v>
      </c>
      <c r="S39" s="10">
        <f t="shared" si="5"/>
        <v>142.47333333333336</v>
      </c>
      <c r="T39">
        <v>165</v>
      </c>
      <c r="U39">
        <f t="shared" si="6"/>
        <v>32.349999999999994</v>
      </c>
    </row>
    <row r="40" spans="1:21" ht="14.25" customHeight="1" x14ac:dyDescent="0.35">
      <c r="A40" s="6" t="s">
        <v>193</v>
      </c>
      <c r="B40" s="6" t="s">
        <v>194</v>
      </c>
      <c r="C40" s="6" t="s">
        <v>195</v>
      </c>
      <c r="D40" s="6" t="s">
        <v>31</v>
      </c>
      <c r="E40" s="7" t="s">
        <v>23</v>
      </c>
      <c r="F40" s="6">
        <v>85266</v>
      </c>
      <c r="G40" s="6" t="s">
        <v>32</v>
      </c>
      <c r="H40" s="6" t="s">
        <v>169</v>
      </c>
      <c r="I40" s="6" t="s">
        <v>26</v>
      </c>
      <c r="J40" s="6" t="b">
        <v>1</v>
      </c>
      <c r="K40" s="6" t="s">
        <v>27</v>
      </c>
      <c r="L40" s="6">
        <v>40</v>
      </c>
      <c r="M40" s="6">
        <v>133.9</v>
      </c>
      <c r="N40" s="8">
        <f t="shared" si="0"/>
        <v>76.679999999999993</v>
      </c>
      <c r="O40" s="8">
        <f t="shared" si="1"/>
        <v>1723.4800000000002</v>
      </c>
      <c r="P40" s="8">
        <f t="shared" si="2"/>
        <v>1723.4800000000002</v>
      </c>
      <c r="Q40" s="8">
        <f t="shared" si="3"/>
        <v>0</v>
      </c>
      <c r="R40" s="9">
        <f t="shared" si="4"/>
        <v>1723.4800000000002</v>
      </c>
      <c r="S40" s="10">
        <f t="shared" si="5"/>
        <v>143.62333333333336</v>
      </c>
      <c r="T40">
        <v>165</v>
      </c>
      <c r="U40">
        <f t="shared" si="6"/>
        <v>31.099999999999994</v>
      </c>
    </row>
    <row r="41" spans="1:21" ht="14.25" customHeight="1" x14ac:dyDescent="0.35">
      <c r="A41" s="6" t="s">
        <v>196</v>
      </c>
      <c r="B41" s="6" t="s">
        <v>197</v>
      </c>
      <c r="C41" s="6" t="s">
        <v>198</v>
      </c>
      <c r="D41" s="6" t="s">
        <v>54</v>
      </c>
      <c r="E41" s="7" t="s">
        <v>23</v>
      </c>
      <c r="F41" s="6">
        <v>85745</v>
      </c>
      <c r="G41" s="6" t="s">
        <v>55</v>
      </c>
      <c r="H41" s="6" t="s">
        <v>56</v>
      </c>
      <c r="I41" s="6" t="s">
        <v>61</v>
      </c>
      <c r="J41" s="6" t="b">
        <v>1</v>
      </c>
      <c r="K41" s="6" t="s">
        <v>27</v>
      </c>
      <c r="L41" s="6">
        <v>41.2</v>
      </c>
      <c r="M41" s="6">
        <v>133.9</v>
      </c>
      <c r="N41" s="8">
        <f t="shared" si="0"/>
        <v>76.679999999999993</v>
      </c>
      <c r="O41" s="8">
        <f t="shared" si="1"/>
        <v>1724.6800000000003</v>
      </c>
      <c r="P41" s="8">
        <f t="shared" si="2"/>
        <v>1724.6800000000003</v>
      </c>
      <c r="Q41" s="8">
        <f t="shared" si="3"/>
        <v>0</v>
      </c>
      <c r="R41" s="9">
        <f t="shared" si="4"/>
        <v>1724.6800000000003</v>
      </c>
      <c r="S41" s="10">
        <f t="shared" si="5"/>
        <v>143.72333333333336</v>
      </c>
      <c r="T41">
        <v>165</v>
      </c>
      <c r="U41">
        <f t="shared" si="6"/>
        <v>31.099999999999994</v>
      </c>
    </row>
    <row r="42" spans="1:21" ht="14.25" customHeight="1" x14ac:dyDescent="0.35">
      <c r="A42" s="6" t="s">
        <v>199</v>
      </c>
      <c r="B42" s="6" t="s">
        <v>200</v>
      </c>
      <c r="C42" s="6" t="s">
        <v>201</v>
      </c>
      <c r="D42" s="6" t="s">
        <v>44</v>
      </c>
      <c r="E42" s="7" t="s">
        <v>23</v>
      </c>
      <c r="F42" s="6">
        <v>85016</v>
      </c>
      <c r="G42" s="6" t="s">
        <v>49</v>
      </c>
      <c r="H42" s="6" t="s">
        <v>202</v>
      </c>
      <c r="I42" s="6" t="s">
        <v>26</v>
      </c>
      <c r="J42" s="6" t="b">
        <v>1</v>
      </c>
      <c r="K42" s="6" t="s">
        <v>27</v>
      </c>
      <c r="L42" s="6">
        <v>41.2</v>
      </c>
      <c r="M42" s="6">
        <v>133.9</v>
      </c>
      <c r="N42" s="8">
        <f t="shared" si="0"/>
        <v>76.679999999999993</v>
      </c>
      <c r="O42" s="8">
        <f t="shared" si="1"/>
        <v>1724.6800000000003</v>
      </c>
      <c r="P42" s="8">
        <f t="shared" si="2"/>
        <v>1724.6800000000003</v>
      </c>
      <c r="Q42" s="8">
        <f t="shared" si="3"/>
        <v>0</v>
      </c>
      <c r="R42" s="9">
        <f t="shared" si="4"/>
        <v>1724.6800000000003</v>
      </c>
      <c r="S42" s="10">
        <f t="shared" si="5"/>
        <v>143.72333333333336</v>
      </c>
      <c r="T42">
        <v>165</v>
      </c>
      <c r="U42">
        <f t="shared" si="6"/>
        <v>31.099999999999994</v>
      </c>
    </row>
    <row r="43" spans="1:21" ht="14.25" customHeight="1" x14ac:dyDescent="0.35">
      <c r="A43" s="6" t="s">
        <v>203</v>
      </c>
      <c r="B43" s="6" t="s">
        <v>204</v>
      </c>
      <c r="C43" s="6" t="s">
        <v>205</v>
      </c>
      <c r="D43" s="6" t="s">
        <v>206</v>
      </c>
      <c r="E43" s="7" t="s">
        <v>23</v>
      </c>
      <c r="F43" s="6">
        <v>85119</v>
      </c>
      <c r="G43" s="6" t="s">
        <v>66</v>
      </c>
      <c r="H43" s="6" t="s">
        <v>67</v>
      </c>
      <c r="I43" s="6" t="s">
        <v>26</v>
      </c>
      <c r="J43" s="6" t="b">
        <v>1</v>
      </c>
      <c r="K43" s="6" t="s">
        <v>27</v>
      </c>
      <c r="L43" s="6">
        <v>41.2</v>
      </c>
      <c r="M43" s="6">
        <v>133.9</v>
      </c>
      <c r="N43" s="8">
        <f t="shared" si="0"/>
        <v>76.679999999999993</v>
      </c>
      <c r="O43" s="8">
        <f t="shared" si="1"/>
        <v>1724.6800000000003</v>
      </c>
      <c r="P43" s="8">
        <f t="shared" si="2"/>
        <v>1724.6800000000003</v>
      </c>
      <c r="Q43" s="8">
        <f t="shared" si="3"/>
        <v>0</v>
      </c>
      <c r="R43" s="9">
        <f t="shared" si="4"/>
        <v>1724.6800000000003</v>
      </c>
      <c r="S43" s="10">
        <f t="shared" si="5"/>
        <v>143.72333333333336</v>
      </c>
      <c r="T43">
        <v>165</v>
      </c>
      <c r="U43">
        <f t="shared" si="6"/>
        <v>31.099999999999994</v>
      </c>
    </row>
    <row r="44" spans="1:21" ht="14.25" customHeight="1" x14ac:dyDescent="0.35">
      <c r="A44" s="6" t="s">
        <v>210</v>
      </c>
      <c r="B44" s="6" t="s">
        <v>211</v>
      </c>
      <c r="C44" s="6" t="s">
        <v>212</v>
      </c>
      <c r="D44" s="6" t="s">
        <v>44</v>
      </c>
      <c r="E44" s="7" t="s">
        <v>23</v>
      </c>
      <c r="F44" s="6">
        <v>85009</v>
      </c>
      <c r="G44" s="6" t="s">
        <v>213</v>
      </c>
      <c r="H44" s="6" t="s">
        <v>214</v>
      </c>
      <c r="J44" s="6" t="b">
        <v>1</v>
      </c>
      <c r="K44" s="6" t="s">
        <v>89</v>
      </c>
      <c r="L44" s="6">
        <v>0</v>
      </c>
      <c r="M44" s="6">
        <v>133.9</v>
      </c>
      <c r="N44" s="8">
        <f t="shared" si="0"/>
        <v>76.679999999999993</v>
      </c>
      <c r="O44" s="8">
        <f t="shared" si="1"/>
        <v>1683.4800000000002</v>
      </c>
      <c r="P44" s="8">
        <f t="shared" si="2"/>
        <v>1632.9756000000002</v>
      </c>
      <c r="Q44" s="8">
        <f t="shared" si="3"/>
        <v>-50.504400000000032</v>
      </c>
      <c r="R44" s="9">
        <f t="shared" si="4"/>
        <v>1733.9844000000003</v>
      </c>
      <c r="S44" s="10">
        <f t="shared" si="5"/>
        <v>144.49870000000001</v>
      </c>
      <c r="T44">
        <v>165</v>
      </c>
      <c r="U44">
        <f t="shared" si="6"/>
        <v>31.099999999999994</v>
      </c>
    </row>
    <row r="45" spans="1:21" ht="14.25" customHeight="1" x14ac:dyDescent="0.35">
      <c r="A45" s="6" t="s">
        <v>207</v>
      </c>
      <c r="B45" s="6" t="s">
        <v>208</v>
      </c>
      <c r="C45" s="6" t="s">
        <v>209</v>
      </c>
      <c r="D45" s="6" t="s">
        <v>65</v>
      </c>
      <c r="E45" s="7" t="s">
        <v>23</v>
      </c>
      <c r="F45" s="6">
        <v>85207</v>
      </c>
      <c r="G45" s="6" t="s">
        <v>66</v>
      </c>
      <c r="H45" s="6" t="s">
        <v>67</v>
      </c>
      <c r="I45" s="6" t="s">
        <v>26</v>
      </c>
      <c r="J45" s="6" t="b">
        <v>1</v>
      </c>
      <c r="K45" s="6" t="s">
        <v>27</v>
      </c>
      <c r="L45" s="6">
        <v>41.2</v>
      </c>
      <c r="M45" s="6">
        <v>134.27000000000001</v>
      </c>
      <c r="N45" s="8">
        <f t="shared" si="0"/>
        <v>76.679999999999993</v>
      </c>
      <c r="O45" s="8">
        <f t="shared" si="1"/>
        <v>1729.1200000000003</v>
      </c>
      <c r="P45" s="8">
        <f t="shared" si="2"/>
        <v>1729.1200000000003</v>
      </c>
      <c r="Q45" s="8">
        <f t="shared" si="3"/>
        <v>0</v>
      </c>
      <c r="R45" s="9">
        <f t="shared" si="4"/>
        <v>1729.1200000000003</v>
      </c>
      <c r="S45" s="10">
        <f t="shared" si="5"/>
        <v>144.09333333333336</v>
      </c>
      <c r="T45">
        <v>165</v>
      </c>
      <c r="U45">
        <f t="shared" si="6"/>
        <v>30.72999999999999</v>
      </c>
    </row>
    <row r="46" spans="1:21" ht="14.25" customHeight="1" x14ac:dyDescent="0.35">
      <c r="A46" s="6" t="s">
        <v>215</v>
      </c>
      <c r="B46" s="6" t="s">
        <v>216</v>
      </c>
      <c r="C46" s="6" t="s">
        <v>217</v>
      </c>
      <c r="D46" s="6" t="s">
        <v>117</v>
      </c>
      <c r="E46" s="7" t="s">
        <v>23</v>
      </c>
      <c r="F46" s="6">
        <v>85138</v>
      </c>
      <c r="G46" s="6" t="s">
        <v>87</v>
      </c>
      <c r="H46" s="6" t="s">
        <v>88</v>
      </c>
      <c r="I46" s="6" t="s">
        <v>26</v>
      </c>
      <c r="J46" s="6" t="b">
        <v>1</v>
      </c>
      <c r="K46" s="6" t="s">
        <v>27</v>
      </c>
      <c r="L46" s="6">
        <v>41.2</v>
      </c>
      <c r="M46" s="6">
        <v>134.97999999999999</v>
      </c>
      <c r="N46" s="8">
        <f t="shared" si="0"/>
        <v>76.679999999999993</v>
      </c>
      <c r="O46" s="8">
        <f t="shared" si="1"/>
        <v>1737.6399999999999</v>
      </c>
      <c r="P46" s="8">
        <f t="shared" si="2"/>
        <v>1737.6399999999999</v>
      </c>
      <c r="Q46" s="8">
        <f t="shared" si="3"/>
        <v>0</v>
      </c>
      <c r="R46" s="9">
        <f t="shared" si="4"/>
        <v>1737.6399999999999</v>
      </c>
      <c r="S46" s="10">
        <f t="shared" si="5"/>
        <v>144.80333333333331</v>
      </c>
      <c r="T46">
        <v>165</v>
      </c>
      <c r="U46">
        <f t="shared" si="6"/>
        <v>30.02000000000001</v>
      </c>
    </row>
    <row r="47" spans="1:21" ht="14.25" customHeight="1" x14ac:dyDescent="0.35">
      <c r="A47" s="6" t="s">
        <v>152</v>
      </c>
      <c r="B47" s="6" t="s">
        <v>153</v>
      </c>
      <c r="C47" s="6" t="s">
        <v>154</v>
      </c>
      <c r="D47" s="6" t="s">
        <v>44</v>
      </c>
      <c r="E47" s="7" t="s">
        <v>23</v>
      </c>
      <c r="F47" s="6">
        <v>85021</v>
      </c>
      <c r="G47" s="6" t="s">
        <v>72</v>
      </c>
      <c r="H47" s="6" t="s">
        <v>93</v>
      </c>
      <c r="I47" s="6" t="s">
        <v>26</v>
      </c>
      <c r="J47" s="6" t="b">
        <v>0</v>
      </c>
      <c r="K47" s="6" t="s">
        <v>27</v>
      </c>
      <c r="L47" s="6">
        <v>0</v>
      </c>
      <c r="M47" s="6">
        <v>135</v>
      </c>
      <c r="N47" s="8" t="str">
        <f t="shared" si="0"/>
        <v>0</v>
      </c>
      <c r="O47" s="8">
        <f t="shared" si="1"/>
        <v>1620</v>
      </c>
      <c r="P47" s="8">
        <f t="shared" si="2"/>
        <v>1620</v>
      </c>
      <c r="Q47" s="8">
        <f t="shared" si="3"/>
        <v>0</v>
      </c>
      <c r="R47" s="9">
        <f t="shared" si="4"/>
        <v>1620</v>
      </c>
      <c r="S47" s="10">
        <f t="shared" si="5"/>
        <v>135</v>
      </c>
      <c r="T47">
        <v>165</v>
      </c>
      <c r="U47">
        <f t="shared" si="6"/>
        <v>30</v>
      </c>
    </row>
    <row r="48" spans="1:21" ht="14.25" customHeight="1" x14ac:dyDescent="0.35">
      <c r="A48" s="6" t="s">
        <v>221</v>
      </c>
      <c r="B48" s="6" t="s">
        <v>222</v>
      </c>
      <c r="C48" s="6" t="s">
        <v>223</v>
      </c>
      <c r="D48" s="6" t="s">
        <v>224</v>
      </c>
      <c r="E48" s="7" t="s">
        <v>23</v>
      </c>
      <c r="F48" s="6">
        <v>85248</v>
      </c>
      <c r="G48" s="6" t="s">
        <v>125</v>
      </c>
      <c r="H48" s="6" t="s">
        <v>225</v>
      </c>
      <c r="I48" s="6" t="s">
        <v>26</v>
      </c>
      <c r="J48" s="6" t="b">
        <v>1</v>
      </c>
      <c r="K48" s="6" t="s">
        <v>27</v>
      </c>
      <c r="L48" s="6">
        <v>41.2</v>
      </c>
      <c r="M48" s="6">
        <v>136.13999999999999</v>
      </c>
      <c r="N48" s="8">
        <f t="shared" si="0"/>
        <v>76.679999999999993</v>
      </c>
      <c r="O48" s="8">
        <f t="shared" si="1"/>
        <v>1751.56</v>
      </c>
      <c r="P48" s="8">
        <f t="shared" si="2"/>
        <v>1751.56</v>
      </c>
      <c r="Q48" s="8">
        <f t="shared" si="3"/>
        <v>0</v>
      </c>
      <c r="R48" s="9">
        <f t="shared" si="4"/>
        <v>1751.56</v>
      </c>
      <c r="S48" s="10">
        <f t="shared" si="5"/>
        <v>145.96333333333334</v>
      </c>
      <c r="T48">
        <v>165</v>
      </c>
      <c r="U48">
        <f t="shared" si="6"/>
        <v>28.860000000000014</v>
      </c>
    </row>
    <row r="49" spans="1:21" ht="14.25" customHeight="1" x14ac:dyDescent="0.35">
      <c r="A49" s="6" t="s">
        <v>229</v>
      </c>
      <c r="B49" s="6" t="s">
        <v>230</v>
      </c>
      <c r="C49" s="6" t="s">
        <v>231</v>
      </c>
      <c r="D49" s="6" t="s">
        <v>98</v>
      </c>
      <c r="E49" s="7" t="s">
        <v>23</v>
      </c>
      <c r="F49" s="6">
        <v>85122</v>
      </c>
      <c r="G49" s="6" t="s">
        <v>87</v>
      </c>
      <c r="H49" s="6" t="s">
        <v>88</v>
      </c>
      <c r="I49" s="6" t="s">
        <v>57</v>
      </c>
      <c r="J49" s="6" t="b">
        <v>1</v>
      </c>
      <c r="K49" s="6" t="s">
        <v>27</v>
      </c>
      <c r="L49" s="6">
        <v>40</v>
      </c>
      <c r="M49" s="6">
        <v>136.99</v>
      </c>
      <c r="N49" s="8">
        <f t="shared" si="0"/>
        <v>76.679999999999993</v>
      </c>
      <c r="O49" s="8">
        <f t="shared" si="1"/>
        <v>1760.5600000000002</v>
      </c>
      <c r="P49" s="8">
        <f t="shared" si="2"/>
        <v>1760.5600000000002</v>
      </c>
      <c r="Q49" s="8">
        <f t="shared" si="3"/>
        <v>0</v>
      </c>
      <c r="R49" s="9">
        <f t="shared" si="4"/>
        <v>1760.5600000000002</v>
      </c>
      <c r="S49" s="10">
        <f t="shared" si="5"/>
        <v>146.71333333333334</v>
      </c>
      <c r="T49">
        <v>165</v>
      </c>
      <c r="U49">
        <f t="shared" si="6"/>
        <v>28.009999999999991</v>
      </c>
    </row>
    <row r="50" spans="1:21" ht="14.25" customHeight="1" x14ac:dyDescent="0.35">
      <c r="A50" s="6" t="s">
        <v>232</v>
      </c>
      <c r="B50" s="6" t="s">
        <v>233</v>
      </c>
      <c r="C50" s="6" t="s">
        <v>234</v>
      </c>
      <c r="D50" s="6" t="s">
        <v>117</v>
      </c>
      <c r="E50" s="7" t="s">
        <v>23</v>
      </c>
      <c r="F50" s="6">
        <v>85139</v>
      </c>
      <c r="G50" s="6" t="s">
        <v>87</v>
      </c>
      <c r="H50" s="6" t="s">
        <v>88</v>
      </c>
      <c r="I50" s="6" t="s">
        <v>26</v>
      </c>
      <c r="J50" s="6" t="b">
        <v>1</v>
      </c>
      <c r="K50" s="6" t="s">
        <v>27</v>
      </c>
      <c r="L50" s="6">
        <v>41.2</v>
      </c>
      <c r="M50" s="6">
        <v>136.99</v>
      </c>
      <c r="N50" s="8">
        <f t="shared" si="0"/>
        <v>76.679999999999993</v>
      </c>
      <c r="O50" s="8">
        <f t="shared" si="1"/>
        <v>1761.7600000000002</v>
      </c>
      <c r="P50" s="8">
        <f t="shared" si="2"/>
        <v>1761.7600000000002</v>
      </c>
      <c r="Q50" s="8">
        <f t="shared" si="3"/>
        <v>0</v>
      </c>
      <c r="R50" s="9">
        <f t="shared" si="4"/>
        <v>1761.7600000000002</v>
      </c>
      <c r="S50" s="10">
        <f t="shared" si="5"/>
        <v>146.81333333333336</v>
      </c>
      <c r="T50">
        <v>165</v>
      </c>
      <c r="U50">
        <f t="shared" si="6"/>
        <v>28.009999999999991</v>
      </c>
    </row>
    <row r="51" spans="1:21" ht="14.25" customHeight="1" x14ac:dyDescent="0.35">
      <c r="A51" s="6" t="s">
        <v>235</v>
      </c>
      <c r="B51" s="6" t="s">
        <v>236</v>
      </c>
      <c r="C51" s="6" t="s">
        <v>237</v>
      </c>
      <c r="D51" s="6" t="s">
        <v>98</v>
      </c>
      <c r="E51" s="7" t="s">
        <v>23</v>
      </c>
      <c r="F51" s="6">
        <v>85122</v>
      </c>
      <c r="G51" s="6" t="s">
        <v>87</v>
      </c>
      <c r="H51" s="6" t="s">
        <v>99</v>
      </c>
      <c r="I51" s="6" t="s">
        <v>26</v>
      </c>
      <c r="J51" s="6" t="b">
        <v>1</v>
      </c>
      <c r="K51" s="6" t="s">
        <v>27</v>
      </c>
      <c r="L51" s="6">
        <v>41.2</v>
      </c>
      <c r="M51" s="6">
        <v>136.99</v>
      </c>
      <c r="N51" s="8">
        <f t="shared" si="0"/>
        <v>76.679999999999993</v>
      </c>
      <c r="O51" s="8">
        <f t="shared" si="1"/>
        <v>1761.7600000000002</v>
      </c>
      <c r="P51" s="8">
        <f t="shared" si="2"/>
        <v>1761.7600000000002</v>
      </c>
      <c r="Q51" s="8">
        <f t="shared" si="3"/>
        <v>0</v>
      </c>
      <c r="R51" s="9">
        <f t="shared" si="4"/>
        <v>1761.7600000000002</v>
      </c>
      <c r="S51" s="10">
        <f t="shared" si="5"/>
        <v>146.81333333333336</v>
      </c>
      <c r="T51">
        <v>165</v>
      </c>
      <c r="U51">
        <f t="shared" si="6"/>
        <v>28.009999999999991</v>
      </c>
    </row>
    <row r="52" spans="1:21" ht="14.25" customHeight="1" x14ac:dyDescent="0.35">
      <c r="A52" s="6" t="s">
        <v>181</v>
      </c>
      <c r="B52" s="6" t="s">
        <v>182</v>
      </c>
      <c r="C52" s="6" t="s">
        <v>183</v>
      </c>
      <c r="D52" s="6" t="s">
        <v>65</v>
      </c>
      <c r="E52" s="7" t="s">
        <v>23</v>
      </c>
      <c r="F52" s="6">
        <v>85212</v>
      </c>
      <c r="G52" s="6" t="s">
        <v>125</v>
      </c>
      <c r="H52" s="6" t="s">
        <v>180</v>
      </c>
      <c r="I52" s="6" t="s">
        <v>26</v>
      </c>
      <c r="J52" s="6" t="b">
        <v>1</v>
      </c>
      <c r="K52" s="6" t="s">
        <v>27</v>
      </c>
      <c r="L52" s="6">
        <v>41.2</v>
      </c>
      <c r="M52" s="6">
        <v>137.51</v>
      </c>
      <c r="N52" s="8">
        <f t="shared" si="0"/>
        <v>76.679999999999993</v>
      </c>
      <c r="O52" s="8">
        <f t="shared" si="1"/>
        <v>1768</v>
      </c>
      <c r="P52" s="8">
        <f t="shared" si="2"/>
        <v>1768</v>
      </c>
      <c r="Q52" s="8">
        <f t="shared" si="3"/>
        <v>0</v>
      </c>
      <c r="R52" s="9">
        <f t="shared" si="4"/>
        <v>1768</v>
      </c>
      <c r="S52" s="10">
        <f t="shared" si="5"/>
        <v>147.33333333333334</v>
      </c>
      <c r="T52">
        <v>165</v>
      </c>
      <c r="U52">
        <f t="shared" si="6"/>
        <v>27.490000000000009</v>
      </c>
    </row>
    <row r="53" spans="1:21" ht="14.25" customHeight="1" x14ac:dyDescent="0.35">
      <c r="A53" s="6" t="s">
        <v>238</v>
      </c>
      <c r="B53" s="6" t="s">
        <v>239</v>
      </c>
      <c r="C53" s="6" t="s">
        <v>240</v>
      </c>
      <c r="D53" s="6" t="s">
        <v>241</v>
      </c>
      <c r="E53" s="7" t="s">
        <v>23</v>
      </c>
      <c r="F53" s="6">
        <v>85331</v>
      </c>
      <c r="G53" s="6" t="s">
        <v>32</v>
      </c>
      <c r="H53" s="6" t="s">
        <v>33</v>
      </c>
      <c r="I53" s="6" t="s">
        <v>26</v>
      </c>
      <c r="J53" s="6" t="b">
        <v>1</v>
      </c>
      <c r="K53" s="6" t="s">
        <v>27</v>
      </c>
      <c r="L53" s="6">
        <v>41.2</v>
      </c>
      <c r="M53" s="6">
        <v>137.51</v>
      </c>
      <c r="N53" s="8">
        <f t="shared" si="0"/>
        <v>76.679999999999993</v>
      </c>
      <c r="O53" s="8">
        <f t="shared" si="1"/>
        <v>1768</v>
      </c>
      <c r="P53" s="8">
        <f t="shared" si="2"/>
        <v>1768</v>
      </c>
      <c r="Q53" s="8">
        <f t="shared" si="3"/>
        <v>0</v>
      </c>
      <c r="R53" s="9">
        <f t="shared" si="4"/>
        <v>1768</v>
      </c>
      <c r="S53" s="10">
        <f t="shared" si="5"/>
        <v>147.33333333333334</v>
      </c>
      <c r="T53">
        <v>165</v>
      </c>
      <c r="U53">
        <f t="shared" si="6"/>
        <v>27.490000000000009</v>
      </c>
    </row>
    <row r="54" spans="1:21" ht="14.25" customHeight="1" x14ac:dyDescent="0.35">
      <c r="A54" s="6" t="s">
        <v>242</v>
      </c>
      <c r="B54" s="6" t="s">
        <v>243</v>
      </c>
      <c r="C54" s="6" t="s">
        <v>244</v>
      </c>
      <c r="D54" s="6" t="s">
        <v>22</v>
      </c>
      <c r="E54" s="7" t="s">
        <v>23</v>
      </c>
      <c r="F54" s="6">
        <v>85286</v>
      </c>
      <c r="G54" s="6" t="s">
        <v>125</v>
      </c>
      <c r="H54" s="6" t="s">
        <v>126</v>
      </c>
      <c r="I54" s="6" t="s">
        <v>26</v>
      </c>
      <c r="J54" s="6" t="b">
        <v>1</v>
      </c>
      <c r="K54" s="6" t="s">
        <v>27</v>
      </c>
      <c r="L54" s="6">
        <v>41.2</v>
      </c>
      <c r="M54" s="6">
        <v>137.51</v>
      </c>
      <c r="N54" s="8">
        <f t="shared" si="0"/>
        <v>76.679999999999993</v>
      </c>
      <c r="O54" s="8">
        <f t="shared" si="1"/>
        <v>1768</v>
      </c>
      <c r="P54" s="8">
        <f t="shared" si="2"/>
        <v>1768</v>
      </c>
      <c r="Q54" s="8">
        <f t="shared" si="3"/>
        <v>0</v>
      </c>
      <c r="R54" s="9">
        <f t="shared" si="4"/>
        <v>1768</v>
      </c>
      <c r="S54" s="10">
        <f t="shared" si="5"/>
        <v>147.33333333333334</v>
      </c>
      <c r="T54">
        <v>165</v>
      </c>
      <c r="U54">
        <f t="shared" si="6"/>
        <v>27.490000000000009</v>
      </c>
    </row>
    <row r="55" spans="1:21" ht="14.25" customHeight="1" x14ac:dyDescent="0.35">
      <c r="A55" s="6" t="s">
        <v>245</v>
      </c>
      <c r="B55" s="6" t="s">
        <v>246</v>
      </c>
      <c r="C55" s="6" t="s">
        <v>247</v>
      </c>
      <c r="D55" s="6" t="s">
        <v>248</v>
      </c>
      <c r="E55" s="7" t="s">
        <v>23</v>
      </c>
      <c r="F55" s="6">
        <v>85339</v>
      </c>
      <c r="G55" s="6" t="s">
        <v>213</v>
      </c>
      <c r="H55" s="6" t="s">
        <v>39</v>
      </c>
      <c r="I55" s="6" t="s">
        <v>26</v>
      </c>
      <c r="J55" s="6" t="b">
        <v>1</v>
      </c>
      <c r="K55" s="6" t="s">
        <v>27</v>
      </c>
      <c r="L55" s="6">
        <v>41.2</v>
      </c>
      <c r="M55" s="6">
        <v>137.51</v>
      </c>
      <c r="N55" s="8">
        <f t="shared" si="0"/>
        <v>76.679999999999993</v>
      </c>
      <c r="O55" s="8">
        <f t="shared" si="1"/>
        <v>1768</v>
      </c>
      <c r="P55" s="8">
        <f t="shared" si="2"/>
        <v>1768</v>
      </c>
      <c r="Q55" s="8">
        <f t="shared" si="3"/>
        <v>0</v>
      </c>
      <c r="R55" s="9">
        <f t="shared" si="4"/>
        <v>1768</v>
      </c>
      <c r="S55" s="10">
        <f t="shared" si="5"/>
        <v>147.33333333333334</v>
      </c>
      <c r="T55">
        <v>165</v>
      </c>
      <c r="U55">
        <f t="shared" si="6"/>
        <v>27.490000000000009</v>
      </c>
    </row>
    <row r="56" spans="1:21" ht="14.25" customHeight="1" x14ac:dyDescent="0.35">
      <c r="A56" s="6" t="s">
        <v>249</v>
      </c>
      <c r="B56" s="6" t="s">
        <v>250</v>
      </c>
      <c r="C56" s="6" t="s">
        <v>251</v>
      </c>
      <c r="D56" s="6" t="s">
        <v>31</v>
      </c>
      <c r="E56" s="7" t="s">
        <v>23</v>
      </c>
      <c r="F56" s="6">
        <v>85258</v>
      </c>
      <c r="G56" s="6" t="s">
        <v>45</v>
      </c>
      <c r="H56" s="6" t="s">
        <v>50</v>
      </c>
      <c r="I56" s="6" t="s">
        <v>26</v>
      </c>
      <c r="J56" s="6" t="b">
        <v>1</v>
      </c>
      <c r="K56" s="6" t="s">
        <v>27</v>
      </c>
      <c r="L56" s="6">
        <v>41.2</v>
      </c>
      <c r="M56" s="6">
        <v>137.51</v>
      </c>
      <c r="N56" s="8">
        <f t="shared" si="0"/>
        <v>76.679999999999993</v>
      </c>
      <c r="O56" s="8">
        <f t="shared" si="1"/>
        <v>1768</v>
      </c>
      <c r="P56" s="8">
        <f t="shared" si="2"/>
        <v>1768</v>
      </c>
      <c r="Q56" s="8">
        <f t="shared" si="3"/>
        <v>0</v>
      </c>
      <c r="R56" s="9">
        <f t="shared" si="4"/>
        <v>1768</v>
      </c>
      <c r="S56" s="10">
        <f t="shared" si="5"/>
        <v>147.33333333333334</v>
      </c>
      <c r="T56">
        <v>165</v>
      </c>
      <c r="U56">
        <f t="shared" si="6"/>
        <v>27.490000000000009</v>
      </c>
    </row>
    <row r="57" spans="1:21" ht="14.25" customHeight="1" x14ac:dyDescent="0.35">
      <c r="A57" s="6" t="s">
        <v>252</v>
      </c>
      <c r="B57" s="6" t="s">
        <v>253</v>
      </c>
      <c r="C57" s="6" t="s">
        <v>254</v>
      </c>
      <c r="D57" s="6" t="s">
        <v>248</v>
      </c>
      <c r="E57" s="7" t="s">
        <v>23</v>
      </c>
      <c r="F57" s="6">
        <v>85339</v>
      </c>
      <c r="G57" s="6" t="s">
        <v>213</v>
      </c>
      <c r="H57" s="6" t="s">
        <v>39</v>
      </c>
      <c r="I57" s="6" t="s">
        <v>26</v>
      </c>
      <c r="J57" s="6" t="b">
        <v>1</v>
      </c>
      <c r="K57" s="6" t="s">
        <v>27</v>
      </c>
      <c r="L57" s="6">
        <v>41.2</v>
      </c>
      <c r="M57" s="6">
        <v>137.51</v>
      </c>
      <c r="N57" s="8">
        <f t="shared" si="0"/>
        <v>76.679999999999993</v>
      </c>
      <c r="O57" s="8">
        <f t="shared" si="1"/>
        <v>1768</v>
      </c>
      <c r="P57" s="8">
        <f t="shared" si="2"/>
        <v>1768</v>
      </c>
      <c r="Q57" s="8">
        <f t="shared" si="3"/>
        <v>0</v>
      </c>
      <c r="R57" s="9">
        <f t="shared" si="4"/>
        <v>1768</v>
      </c>
      <c r="S57" s="10">
        <f t="shared" si="5"/>
        <v>147.33333333333334</v>
      </c>
      <c r="T57">
        <v>165</v>
      </c>
      <c r="U57">
        <f t="shared" si="6"/>
        <v>27.490000000000009</v>
      </c>
    </row>
    <row r="58" spans="1:21" ht="14.25" customHeight="1" x14ac:dyDescent="0.35">
      <c r="A58" s="6" t="s">
        <v>255</v>
      </c>
      <c r="B58" s="6" t="s">
        <v>256</v>
      </c>
      <c r="C58" s="6" t="s">
        <v>257</v>
      </c>
      <c r="D58" s="6" t="s">
        <v>31</v>
      </c>
      <c r="E58" s="7" t="s">
        <v>23</v>
      </c>
      <c r="F58" s="6">
        <v>85260</v>
      </c>
      <c r="G58" s="6" t="s">
        <v>45</v>
      </c>
      <c r="H58" s="6" t="s">
        <v>169</v>
      </c>
      <c r="I58" s="6" t="s">
        <v>26</v>
      </c>
      <c r="J58" s="6" t="b">
        <v>1</v>
      </c>
      <c r="K58" s="6" t="s">
        <v>27</v>
      </c>
      <c r="L58" s="6">
        <v>41.2</v>
      </c>
      <c r="M58" s="6">
        <v>137.51</v>
      </c>
      <c r="N58" s="8">
        <f t="shared" si="0"/>
        <v>76.679999999999993</v>
      </c>
      <c r="O58" s="8">
        <f t="shared" si="1"/>
        <v>1768</v>
      </c>
      <c r="P58" s="8">
        <f t="shared" si="2"/>
        <v>1768</v>
      </c>
      <c r="Q58" s="8">
        <f t="shared" si="3"/>
        <v>0</v>
      </c>
      <c r="R58" s="9">
        <f t="shared" si="4"/>
        <v>1768</v>
      </c>
      <c r="S58" s="10">
        <f t="shared" si="5"/>
        <v>147.33333333333334</v>
      </c>
      <c r="T58">
        <v>165</v>
      </c>
      <c r="U58">
        <f t="shared" si="6"/>
        <v>27.490000000000009</v>
      </c>
    </row>
    <row r="59" spans="1:21" ht="14.25" customHeight="1" x14ac:dyDescent="0.35">
      <c r="A59" s="6" t="s">
        <v>258</v>
      </c>
      <c r="B59" s="6" t="s">
        <v>259</v>
      </c>
      <c r="C59" s="6" t="s">
        <v>260</v>
      </c>
      <c r="D59" s="6" t="s">
        <v>22</v>
      </c>
      <c r="E59" s="7" t="s">
        <v>23</v>
      </c>
      <c r="F59" s="6">
        <v>85249</v>
      </c>
      <c r="G59" s="6" t="s">
        <v>125</v>
      </c>
      <c r="H59" s="6" t="s">
        <v>126</v>
      </c>
      <c r="I59" s="6" t="s">
        <v>26</v>
      </c>
      <c r="J59" s="6" t="b">
        <v>1</v>
      </c>
      <c r="K59" s="6" t="s">
        <v>27</v>
      </c>
      <c r="L59" s="6">
        <v>41.2</v>
      </c>
      <c r="M59" s="6">
        <v>137.51</v>
      </c>
      <c r="N59" s="8">
        <f t="shared" si="0"/>
        <v>76.679999999999993</v>
      </c>
      <c r="O59" s="8">
        <f t="shared" si="1"/>
        <v>1768</v>
      </c>
      <c r="P59" s="8">
        <f t="shared" si="2"/>
        <v>1768</v>
      </c>
      <c r="Q59" s="8">
        <f t="shared" si="3"/>
        <v>0</v>
      </c>
      <c r="R59" s="9">
        <f t="shared" si="4"/>
        <v>1768</v>
      </c>
      <c r="S59" s="10">
        <f t="shared" si="5"/>
        <v>147.33333333333334</v>
      </c>
      <c r="T59">
        <v>165</v>
      </c>
      <c r="U59">
        <f t="shared" si="6"/>
        <v>27.490000000000009</v>
      </c>
    </row>
    <row r="60" spans="1:21" ht="14.25" customHeight="1" x14ac:dyDescent="0.35">
      <c r="A60" s="6" t="s">
        <v>261</v>
      </c>
      <c r="B60" s="6" t="s">
        <v>262</v>
      </c>
      <c r="C60" s="6" t="s">
        <v>263</v>
      </c>
      <c r="D60" s="6" t="s">
        <v>65</v>
      </c>
      <c r="E60" s="7" t="s">
        <v>23</v>
      </c>
      <c r="F60" s="6">
        <v>85207</v>
      </c>
      <c r="G60" s="6" t="s">
        <v>66</v>
      </c>
      <c r="H60" s="6" t="s">
        <v>67</v>
      </c>
      <c r="I60" s="6" t="s">
        <v>26</v>
      </c>
      <c r="J60" s="6" t="b">
        <v>1</v>
      </c>
      <c r="K60" s="6" t="s">
        <v>27</v>
      </c>
      <c r="L60" s="6">
        <v>41.2</v>
      </c>
      <c r="M60" s="6">
        <v>137.51</v>
      </c>
      <c r="N60" s="8">
        <f t="shared" si="0"/>
        <v>76.679999999999993</v>
      </c>
      <c r="O60" s="8">
        <f t="shared" si="1"/>
        <v>1768</v>
      </c>
      <c r="P60" s="8">
        <f t="shared" si="2"/>
        <v>1768</v>
      </c>
      <c r="Q60" s="8">
        <f t="shared" si="3"/>
        <v>0</v>
      </c>
      <c r="R60" s="9">
        <f t="shared" si="4"/>
        <v>1768</v>
      </c>
      <c r="S60" s="10">
        <f t="shared" si="5"/>
        <v>147.33333333333334</v>
      </c>
      <c r="T60">
        <v>165</v>
      </c>
      <c r="U60">
        <f t="shared" si="6"/>
        <v>27.490000000000009</v>
      </c>
    </row>
    <row r="61" spans="1:21" ht="14.25" customHeight="1" x14ac:dyDescent="0.35">
      <c r="A61" s="6" t="s">
        <v>264</v>
      </c>
      <c r="B61" s="6" t="s">
        <v>265</v>
      </c>
      <c r="C61" s="6" t="s">
        <v>266</v>
      </c>
      <c r="D61" s="6" t="s">
        <v>267</v>
      </c>
      <c r="E61" s="7" t="s">
        <v>23</v>
      </c>
      <c r="F61" s="6">
        <v>85379</v>
      </c>
      <c r="G61" s="6" t="s">
        <v>78</v>
      </c>
      <c r="H61" s="6" t="s">
        <v>268</v>
      </c>
      <c r="I61" s="6" t="s">
        <v>57</v>
      </c>
      <c r="J61" s="6" t="b">
        <v>1</v>
      </c>
      <c r="K61" s="6" t="s">
        <v>27</v>
      </c>
      <c r="L61" s="6">
        <v>41.2</v>
      </c>
      <c r="M61" s="6">
        <v>137.51</v>
      </c>
      <c r="N61" s="8">
        <f t="shared" si="0"/>
        <v>76.679999999999993</v>
      </c>
      <c r="O61" s="8">
        <f t="shared" si="1"/>
        <v>1768</v>
      </c>
      <c r="P61" s="8">
        <f t="shared" si="2"/>
        <v>1768</v>
      </c>
      <c r="Q61" s="8">
        <f t="shared" si="3"/>
        <v>0</v>
      </c>
      <c r="R61" s="9">
        <f t="shared" si="4"/>
        <v>1768</v>
      </c>
      <c r="S61" s="10">
        <f t="shared" si="5"/>
        <v>147.33333333333334</v>
      </c>
      <c r="T61">
        <v>165</v>
      </c>
      <c r="U61">
        <f t="shared" si="6"/>
        <v>27.490000000000009</v>
      </c>
    </row>
    <row r="62" spans="1:21" ht="14.25" customHeight="1" x14ac:dyDescent="0.35">
      <c r="A62" s="6" t="s">
        <v>269</v>
      </c>
      <c r="B62" s="6" t="s">
        <v>270</v>
      </c>
      <c r="C62" s="6" t="s">
        <v>271</v>
      </c>
      <c r="D62" s="6" t="s">
        <v>65</v>
      </c>
      <c r="E62" s="7" t="s">
        <v>23</v>
      </c>
      <c r="F62" s="6">
        <v>85209</v>
      </c>
      <c r="G62" s="6" t="s">
        <v>125</v>
      </c>
      <c r="H62" s="6" t="s">
        <v>180</v>
      </c>
      <c r="I62" s="6" t="s">
        <v>26</v>
      </c>
      <c r="J62" s="6" t="b">
        <v>1</v>
      </c>
      <c r="K62" s="6" t="s">
        <v>27</v>
      </c>
      <c r="L62" s="6">
        <v>41.2</v>
      </c>
      <c r="M62" s="6">
        <v>137.51</v>
      </c>
      <c r="N62" s="8">
        <f t="shared" si="0"/>
        <v>76.679999999999993</v>
      </c>
      <c r="O62" s="8">
        <f t="shared" si="1"/>
        <v>1768</v>
      </c>
      <c r="P62" s="8">
        <f t="shared" si="2"/>
        <v>1768</v>
      </c>
      <c r="Q62" s="8">
        <f t="shared" si="3"/>
        <v>0</v>
      </c>
      <c r="R62" s="9">
        <f t="shared" si="4"/>
        <v>1768</v>
      </c>
      <c r="S62" s="10">
        <f t="shared" si="5"/>
        <v>147.33333333333334</v>
      </c>
      <c r="T62">
        <v>165</v>
      </c>
      <c r="U62">
        <f t="shared" si="6"/>
        <v>27.490000000000009</v>
      </c>
    </row>
    <row r="63" spans="1:21" ht="14.25" customHeight="1" x14ac:dyDescent="0.35">
      <c r="A63" s="6" t="s">
        <v>272</v>
      </c>
      <c r="B63" s="6" t="s">
        <v>273</v>
      </c>
      <c r="C63" s="6" t="s">
        <v>274</v>
      </c>
      <c r="D63" s="6" t="s">
        <v>267</v>
      </c>
      <c r="E63" s="7" t="s">
        <v>23</v>
      </c>
      <c r="F63" s="6">
        <v>85379</v>
      </c>
      <c r="G63" s="6" t="s">
        <v>78</v>
      </c>
      <c r="H63" s="6" t="s">
        <v>268</v>
      </c>
      <c r="I63" s="6" t="s">
        <v>57</v>
      </c>
      <c r="J63" s="6" t="b">
        <v>1</v>
      </c>
      <c r="K63" s="6" t="s">
        <v>27</v>
      </c>
      <c r="L63" s="6">
        <v>41.2</v>
      </c>
      <c r="M63" s="6">
        <v>137.51</v>
      </c>
      <c r="N63" s="8">
        <f t="shared" si="0"/>
        <v>76.679999999999993</v>
      </c>
      <c r="O63" s="8">
        <f t="shared" si="1"/>
        <v>1768</v>
      </c>
      <c r="P63" s="8">
        <f t="shared" si="2"/>
        <v>1768</v>
      </c>
      <c r="Q63" s="8">
        <f t="shared" si="3"/>
        <v>0</v>
      </c>
      <c r="R63" s="9">
        <f t="shared" si="4"/>
        <v>1768</v>
      </c>
      <c r="S63" s="10">
        <f t="shared" si="5"/>
        <v>147.33333333333334</v>
      </c>
      <c r="T63">
        <v>165</v>
      </c>
      <c r="U63">
        <f t="shared" si="6"/>
        <v>27.490000000000009</v>
      </c>
    </row>
    <row r="64" spans="1:21" ht="14.25" customHeight="1" x14ac:dyDescent="0.35">
      <c r="A64" s="6" t="s">
        <v>369</v>
      </c>
      <c r="B64" s="6" t="s">
        <v>370</v>
      </c>
      <c r="C64" s="6" t="s">
        <v>371</v>
      </c>
      <c r="D64" s="6" t="s">
        <v>54</v>
      </c>
      <c r="E64" s="7" t="s">
        <v>23</v>
      </c>
      <c r="F64" s="6">
        <v>85750</v>
      </c>
      <c r="G64" s="6" t="s">
        <v>55</v>
      </c>
      <c r="H64" s="6" t="s">
        <v>56</v>
      </c>
      <c r="I64" s="6" t="s">
        <v>110</v>
      </c>
      <c r="J64" s="6" t="b">
        <v>1</v>
      </c>
      <c r="K64" s="6" t="s">
        <v>27</v>
      </c>
      <c r="L64" s="6">
        <v>41.2</v>
      </c>
      <c r="M64" s="6">
        <v>139.05000000000001</v>
      </c>
      <c r="N64" s="8">
        <f t="shared" si="0"/>
        <v>76.679999999999993</v>
      </c>
      <c r="O64" s="8">
        <f t="shared" si="1"/>
        <v>1786.4800000000002</v>
      </c>
      <c r="P64" s="8">
        <f t="shared" si="2"/>
        <v>1786.4800000000002</v>
      </c>
      <c r="Q64" s="8">
        <f t="shared" si="3"/>
        <v>0</v>
      </c>
      <c r="R64" s="9">
        <f t="shared" si="4"/>
        <v>1786.4800000000002</v>
      </c>
      <c r="S64" s="10">
        <f t="shared" si="5"/>
        <v>148.87333333333336</v>
      </c>
      <c r="T64">
        <v>165</v>
      </c>
      <c r="U64">
        <f t="shared" si="6"/>
        <v>25.949999999999989</v>
      </c>
    </row>
    <row r="65" spans="1:21" ht="14.25" customHeight="1" x14ac:dyDescent="0.35">
      <c r="A65" s="6" t="s">
        <v>372</v>
      </c>
      <c r="B65" s="6" t="s">
        <v>373</v>
      </c>
      <c r="C65" s="6" t="s">
        <v>374</v>
      </c>
      <c r="D65" s="6" t="s">
        <v>77</v>
      </c>
      <c r="E65" s="7" t="s">
        <v>23</v>
      </c>
      <c r="F65" s="6">
        <v>85303</v>
      </c>
      <c r="G65" s="6" t="s">
        <v>72</v>
      </c>
      <c r="H65" s="6" t="s">
        <v>73</v>
      </c>
      <c r="I65" s="6" t="s">
        <v>26</v>
      </c>
      <c r="J65" s="6" t="b">
        <v>1</v>
      </c>
      <c r="K65" s="6" t="s">
        <v>27</v>
      </c>
      <c r="L65" s="6">
        <v>41.2</v>
      </c>
      <c r="M65" s="6">
        <v>139.05000000000001</v>
      </c>
      <c r="N65" s="8">
        <f t="shared" si="0"/>
        <v>76.679999999999993</v>
      </c>
      <c r="O65" s="8">
        <f t="shared" si="1"/>
        <v>1786.4800000000002</v>
      </c>
      <c r="P65" s="8">
        <f t="shared" si="2"/>
        <v>1786.4800000000002</v>
      </c>
      <c r="Q65" s="8">
        <f t="shared" si="3"/>
        <v>0</v>
      </c>
      <c r="R65" s="9">
        <f t="shared" si="4"/>
        <v>1786.4800000000002</v>
      </c>
      <c r="S65" s="10">
        <f t="shared" si="5"/>
        <v>148.87333333333336</v>
      </c>
      <c r="T65">
        <v>165</v>
      </c>
      <c r="U65">
        <f t="shared" si="6"/>
        <v>25.949999999999989</v>
      </c>
    </row>
    <row r="66" spans="1:21" ht="14.25" customHeight="1" x14ac:dyDescent="0.35">
      <c r="A66" s="6" t="s">
        <v>190</v>
      </c>
      <c r="B66" s="6" t="s">
        <v>191</v>
      </c>
      <c r="C66" s="6" t="s">
        <v>192</v>
      </c>
      <c r="D66" s="6" t="s">
        <v>44</v>
      </c>
      <c r="E66" s="7" t="s">
        <v>23</v>
      </c>
      <c r="F66" s="6">
        <v>85022</v>
      </c>
      <c r="G66" s="6" t="s">
        <v>173</v>
      </c>
      <c r="H66" s="6" t="s">
        <v>79</v>
      </c>
      <c r="I66" s="6" t="s">
        <v>26</v>
      </c>
      <c r="J66" s="6" t="b">
        <v>0</v>
      </c>
      <c r="K66" s="6" t="s">
        <v>27</v>
      </c>
      <c r="L66" s="6">
        <v>40</v>
      </c>
      <c r="M66" s="6">
        <v>140</v>
      </c>
      <c r="N66" s="8" t="str">
        <f t="shared" ref="N66:N129" si="7">IF(J66=TRUE, 6.39*12, "0")</f>
        <v>0</v>
      </c>
      <c r="O66" s="8">
        <f t="shared" ref="O66:O129" si="8">L66+(M66*12)+N66</f>
        <v>1720</v>
      </c>
      <c r="P66" s="8">
        <f t="shared" ref="P66:P129" si="9">IF(OR(K66="Check",K66="ACH"), O66*0.97, O66)</f>
        <v>1720</v>
      </c>
      <c r="Q66" s="8">
        <f t="shared" ref="Q66:Q129" si="10">P66-O66</f>
        <v>0</v>
      </c>
      <c r="R66" s="9">
        <f t="shared" ref="R66:R129" si="11">O66-Q66</f>
        <v>1720</v>
      </c>
      <c r="S66" s="10">
        <f t="shared" ref="S66:S129" si="12">R66/12</f>
        <v>143.33333333333334</v>
      </c>
      <c r="T66">
        <v>165</v>
      </c>
      <c r="U66">
        <f t="shared" si="6"/>
        <v>25</v>
      </c>
    </row>
    <row r="67" spans="1:21" ht="14.25" customHeight="1" x14ac:dyDescent="0.35">
      <c r="A67" s="6" t="s">
        <v>226</v>
      </c>
      <c r="B67" s="6" t="s">
        <v>227</v>
      </c>
      <c r="C67" s="6" t="s">
        <v>228</v>
      </c>
      <c r="D67" s="6" t="s">
        <v>44</v>
      </c>
      <c r="E67" s="7" t="s">
        <v>23</v>
      </c>
      <c r="F67" s="6">
        <v>85085</v>
      </c>
      <c r="G67" s="6" t="s">
        <v>32</v>
      </c>
      <c r="H67" s="6" t="s">
        <v>79</v>
      </c>
      <c r="I67" s="6" t="s">
        <v>40</v>
      </c>
      <c r="J67" s="6" t="b">
        <v>1</v>
      </c>
      <c r="K67" s="6" t="s">
        <v>27</v>
      </c>
      <c r="L67" s="6">
        <v>0</v>
      </c>
      <c r="M67" s="6">
        <v>140</v>
      </c>
      <c r="N67" s="8">
        <f t="shared" si="7"/>
        <v>76.679999999999993</v>
      </c>
      <c r="O67" s="8">
        <f t="shared" si="8"/>
        <v>1756.68</v>
      </c>
      <c r="P67" s="8">
        <f t="shared" si="9"/>
        <v>1756.68</v>
      </c>
      <c r="Q67" s="8">
        <f t="shared" si="10"/>
        <v>0</v>
      </c>
      <c r="R67" s="9">
        <f t="shared" si="11"/>
        <v>1756.68</v>
      </c>
      <c r="S67" s="10">
        <f t="shared" si="12"/>
        <v>146.39000000000001</v>
      </c>
      <c r="T67">
        <v>165</v>
      </c>
      <c r="U67">
        <f t="shared" si="6"/>
        <v>25</v>
      </c>
    </row>
    <row r="68" spans="1:21" ht="14.25" customHeight="1" x14ac:dyDescent="0.35">
      <c r="A68" s="6" t="s">
        <v>375</v>
      </c>
      <c r="B68" s="6" t="s">
        <v>376</v>
      </c>
      <c r="C68" s="6" t="s">
        <v>377</v>
      </c>
      <c r="D68" s="6" t="s">
        <v>37</v>
      </c>
      <c r="E68" s="7" t="s">
        <v>23</v>
      </c>
      <c r="F68" s="6">
        <v>85323</v>
      </c>
      <c r="G68" s="6" t="s">
        <v>38</v>
      </c>
      <c r="H68" s="6" t="s">
        <v>378</v>
      </c>
      <c r="I68" s="6" t="s">
        <v>61</v>
      </c>
      <c r="J68" s="6" t="b">
        <v>1</v>
      </c>
      <c r="K68" s="6" t="s">
        <v>27</v>
      </c>
      <c r="L68" s="6">
        <v>40</v>
      </c>
      <c r="M68" s="6">
        <v>140</v>
      </c>
      <c r="N68" s="8">
        <f t="shared" si="7"/>
        <v>76.679999999999993</v>
      </c>
      <c r="O68" s="8">
        <f t="shared" si="8"/>
        <v>1796.68</v>
      </c>
      <c r="P68" s="8">
        <f t="shared" si="9"/>
        <v>1796.68</v>
      </c>
      <c r="Q68" s="8">
        <f t="shared" si="10"/>
        <v>0</v>
      </c>
      <c r="R68" s="9">
        <f t="shared" si="11"/>
        <v>1796.68</v>
      </c>
      <c r="S68" s="10">
        <f t="shared" si="12"/>
        <v>149.72333333333333</v>
      </c>
      <c r="T68">
        <v>165</v>
      </c>
      <c r="U68">
        <f t="shared" ref="U68:U131" si="13">SUM(T68-M68)</f>
        <v>25</v>
      </c>
    </row>
    <row r="69" spans="1:21" ht="14.25" customHeight="1" x14ac:dyDescent="0.35">
      <c r="A69" s="6" t="s">
        <v>379</v>
      </c>
      <c r="B69" s="6" t="s">
        <v>380</v>
      </c>
      <c r="C69" s="6" t="s">
        <v>381</v>
      </c>
      <c r="D69" s="6" t="s">
        <v>44</v>
      </c>
      <c r="E69" s="7" t="s">
        <v>23</v>
      </c>
      <c r="F69" s="6">
        <v>85028</v>
      </c>
      <c r="G69" s="6" t="s">
        <v>45</v>
      </c>
      <c r="H69" s="6" t="s">
        <v>169</v>
      </c>
      <c r="I69" s="6" t="s">
        <v>26</v>
      </c>
      <c r="J69" s="6" t="b">
        <v>1</v>
      </c>
      <c r="K69" s="6" t="s">
        <v>27</v>
      </c>
      <c r="L69" s="6">
        <v>40</v>
      </c>
      <c r="M69" s="6">
        <v>140</v>
      </c>
      <c r="N69" s="8">
        <f t="shared" si="7"/>
        <v>76.679999999999993</v>
      </c>
      <c r="O69" s="8">
        <f t="shared" si="8"/>
        <v>1796.68</v>
      </c>
      <c r="P69" s="8">
        <f t="shared" si="9"/>
        <v>1796.68</v>
      </c>
      <c r="Q69" s="8">
        <f t="shared" si="10"/>
        <v>0</v>
      </c>
      <c r="R69" s="9">
        <f t="shared" si="11"/>
        <v>1796.68</v>
      </c>
      <c r="S69" s="10">
        <f t="shared" si="12"/>
        <v>149.72333333333333</v>
      </c>
      <c r="T69">
        <v>165</v>
      </c>
      <c r="U69">
        <f t="shared" si="13"/>
        <v>25</v>
      </c>
    </row>
    <row r="70" spans="1:21" ht="14.25" customHeight="1" x14ac:dyDescent="0.35">
      <c r="A70" s="6" t="s">
        <v>461</v>
      </c>
      <c r="B70" s="6" t="s">
        <v>462</v>
      </c>
      <c r="C70" s="6" t="s">
        <v>463</v>
      </c>
      <c r="D70" s="6" t="s">
        <v>165</v>
      </c>
      <c r="E70" s="7" t="s">
        <v>23</v>
      </c>
      <c r="F70" s="6">
        <v>85234</v>
      </c>
      <c r="G70" s="6" t="s">
        <v>125</v>
      </c>
      <c r="H70" s="6" t="s">
        <v>25</v>
      </c>
      <c r="I70" s="6" t="s">
        <v>26</v>
      </c>
      <c r="J70" s="6" t="b">
        <v>1</v>
      </c>
      <c r="K70" s="6" t="s">
        <v>27</v>
      </c>
      <c r="L70" s="6">
        <v>41.2</v>
      </c>
      <c r="M70" s="6">
        <v>143.16999999999999</v>
      </c>
      <c r="N70" s="8">
        <f t="shared" si="7"/>
        <v>76.679999999999993</v>
      </c>
      <c r="O70" s="8">
        <f t="shared" si="8"/>
        <v>1835.92</v>
      </c>
      <c r="P70" s="8">
        <f t="shared" si="9"/>
        <v>1835.92</v>
      </c>
      <c r="Q70" s="8">
        <f t="shared" si="10"/>
        <v>0</v>
      </c>
      <c r="R70" s="9">
        <f t="shared" si="11"/>
        <v>1835.92</v>
      </c>
      <c r="S70" s="10">
        <f t="shared" si="12"/>
        <v>152.99333333333334</v>
      </c>
      <c r="T70">
        <v>165</v>
      </c>
      <c r="U70">
        <f t="shared" si="13"/>
        <v>21.830000000000013</v>
      </c>
    </row>
    <row r="71" spans="1:21" ht="14.25" customHeight="1" x14ac:dyDescent="0.35">
      <c r="A71" s="6" t="s">
        <v>464</v>
      </c>
      <c r="B71" s="6" t="s">
        <v>465</v>
      </c>
      <c r="C71" s="6" t="s">
        <v>466</v>
      </c>
      <c r="D71" s="6" t="s">
        <v>44</v>
      </c>
      <c r="E71" s="7" t="s">
        <v>23</v>
      </c>
      <c r="F71" s="6">
        <v>85022</v>
      </c>
      <c r="G71" s="6" t="s">
        <v>173</v>
      </c>
      <c r="H71" s="6" t="s">
        <v>79</v>
      </c>
      <c r="I71" s="6" t="s">
        <v>26</v>
      </c>
      <c r="J71" s="6" t="b">
        <v>1</v>
      </c>
      <c r="K71" s="6" t="s">
        <v>27</v>
      </c>
      <c r="L71" s="6">
        <v>41.2</v>
      </c>
      <c r="M71" s="6">
        <v>143.16999999999999</v>
      </c>
      <c r="N71" s="8">
        <f t="shared" si="7"/>
        <v>76.679999999999993</v>
      </c>
      <c r="O71" s="8">
        <f t="shared" si="8"/>
        <v>1835.92</v>
      </c>
      <c r="P71" s="8">
        <f t="shared" si="9"/>
        <v>1835.92</v>
      </c>
      <c r="Q71" s="8">
        <f t="shared" si="10"/>
        <v>0</v>
      </c>
      <c r="R71" s="9">
        <f t="shared" si="11"/>
        <v>1835.92</v>
      </c>
      <c r="S71" s="10">
        <f t="shared" si="12"/>
        <v>152.99333333333334</v>
      </c>
      <c r="T71">
        <v>165</v>
      </c>
      <c r="U71">
        <f t="shared" si="13"/>
        <v>21.830000000000013</v>
      </c>
    </row>
    <row r="72" spans="1:21" ht="14.25" customHeight="1" x14ac:dyDescent="0.35">
      <c r="A72" s="6" t="s">
        <v>467</v>
      </c>
      <c r="B72" s="6" t="s">
        <v>468</v>
      </c>
      <c r="C72" s="6" t="s">
        <v>469</v>
      </c>
      <c r="D72" s="6" t="s">
        <v>54</v>
      </c>
      <c r="E72" s="7" t="s">
        <v>23</v>
      </c>
      <c r="F72" s="6">
        <v>85743</v>
      </c>
      <c r="G72" s="6" t="s">
        <v>55</v>
      </c>
      <c r="H72" s="6" t="s">
        <v>56</v>
      </c>
      <c r="I72" s="6" t="s">
        <v>26</v>
      </c>
      <c r="J72" s="6" t="b">
        <v>1</v>
      </c>
      <c r="K72" s="6" t="s">
        <v>27</v>
      </c>
      <c r="L72" s="6">
        <v>41.2</v>
      </c>
      <c r="M72" s="6">
        <v>143.16999999999999</v>
      </c>
      <c r="N72" s="8">
        <f t="shared" si="7"/>
        <v>76.679999999999993</v>
      </c>
      <c r="O72" s="8">
        <f t="shared" si="8"/>
        <v>1835.92</v>
      </c>
      <c r="P72" s="8">
        <f t="shared" si="9"/>
        <v>1835.92</v>
      </c>
      <c r="Q72" s="8">
        <f t="shared" si="10"/>
        <v>0</v>
      </c>
      <c r="R72" s="9">
        <f t="shared" si="11"/>
        <v>1835.92</v>
      </c>
      <c r="S72" s="10">
        <f t="shared" si="12"/>
        <v>152.99333333333334</v>
      </c>
      <c r="T72">
        <v>165</v>
      </c>
      <c r="U72">
        <f t="shared" si="13"/>
        <v>21.830000000000013</v>
      </c>
    </row>
    <row r="73" spans="1:21" ht="14.25" customHeight="1" x14ac:dyDescent="0.35">
      <c r="A73" s="6" t="s">
        <v>470</v>
      </c>
      <c r="B73" s="6" t="s">
        <v>471</v>
      </c>
      <c r="C73" s="6" t="s">
        <v>472</v>
      </c>
      <c r="D73" s="6" t="s">
        <v>44</v>
      </c>
      <c r="E73" s="7" t="s">
        <v>23</v>
      </c>
      <c r="F73" s="6">
        <v>85028</v>
      </c>
      <c r="G73" s="6" t="s">
        <v>173</v>
      </c>
      <c r="H73" s="6" t="s">
        <v>79</v>
      </c>
      <c r="I73" s="6" t="s">
        <v>26</v>
      </c>
      <c r="J73" s="6" t="b">
        <v>1</v>
      </c>
      <c r="K73" s="6" t="s">
        <v>27</v>
      </c>
      <c r="L73" s="6">
        <v>41.2</v>
      </c>
      <c r="M73" s="6">
        <v>143.16999999999999</v>
      </c>
      <c r="N73" s="8">
        <f t="shared" si="7"/>
        <v>76.679999999999993</v>
      </c>
      <c r="O73" s="8">
        <f t="shared" si="8"/>
        <v>1835.92</v>
      </c>
      <c r="P73" s="8">
        <f t="shared" si="9"/>
        <v>1835.92</v>
      </c>
      <c r="Q73" s="8">
        <f t="shared" si="10"/>
        <v>0</v>
      </c>
      <c r="R73" s="9">
        <f t="shared" si="11"/>
        <v>1835.92</v>
      </c>
      <c r="S73" s="10">
        <f t="shared" si="12"/>
        <v>152.99333333333334</v>
      </c>
      <c r="T73">
        <v>165</v>
      </c>
      <c r="U73">
        <f t="shared" si="13"/>
        <v>21.830000000000013</v>
      </c>
    </row>
    <row r="74" spans="1:21" ht="14.25" customHeight="1" x14ac:dyDescent="0.35">
      <c r="A74" s="6" t="s">
        <v>473</v>
      </c>
      <c r="B74" s="6" t="s">
        <v>474</v>
      </c>
      <c r="C74" s="6" t="s">
        <v>475</v>
      </c>
      <c r="D74" s="6" t="s">
        <v>454</v>
      </c>
      <c r="E74" s="7" t="s">
        <v>23</v>
      </c>
      <c r="F74" s="6">
        <v>85395</v>
      </c>
      <c r="G74" s="6" t="s">
        <v>38</v>
      </c>
      <c r="H74" s="6" t="s">
        <v>378</v>
      </c>
      <c r="I74" s="6" t="s">
        <v>26</v>
      </c>
      <c r="J74" s="6" t="b">
        <v>1</v>
      </c>
      <c r="K74" s="6" t="s">
        <v>27</v>
      </c>
      <c r="L74" s="6">
        <v>41.2</v>
      </c>
      <c r="M74" s="6">
        <v>143.16999999999999</v>
      </c>
      <c r="N74" s="8">
        <f t="shared" si="7"/>
        <v>76.679999999999993</v>
      </c>
      <c r="O74" s="8">
        <f t="shared" si="8"/>
        <v>1835.92</v>
      </c>
      <c r="P74" s="8">
        <f t="shared" si="9"/>
        <v>1835.92</v>
      </c>
      <c r="Q74" s="8">
        <f t="shared" si="10"/>
        <v>0</v>
      </c>
      <c r="R74" s="9">
        <f t="shared" si="11"/>
        <v>1835.92</v>
      </c>
      <c r="S74" s="10">
        <f t="shared" si="12"/>
        <v>152.99333333333334</v>
      </c>
      <c r="T74">
        <v>165</v>
      </c>
      <c r="U74">
        <f t="shared" si="13"/>
        <v>21.830000000000013</v>
      </c>
    </row>
    <row r="75" spans="1:21" ht="14.25" customHeight="1" x14ac:dyDescent="0.35">
      <c r="A75" s="6" t="s">
        <v>275</v>
      </c>
      <c r="B75" s="6" t="s">
        <v>276</v>
      </c>
      <c r="C75" s="6" t="s">
        <v>277</v>
      </c>
      <c r="D75" s="6" t="s">
        <v>44</v>
      </c>
      <c r="E75" s="7" t="s">
        <v>23</v>
      </c>
      <c r="F75" s="6">
        <v>85041</v>
      </c>
      <c r="G75" s="6" t="s">
        <v>213</v>
      </c>
      <c r="H75" s="6" t="s">
        <v>39</v>
      </c>
      <c r="I75" s="6" t="s">
        <v>26</v>
      </c>
      <c r="J75" s="6" t="b">
        <v>1</v>
      </c>
      <c r="K75" s="6" t="s">
        <v>27</v>
      </c>
      <c r="L75" s="6">
        <v>41.2</v>
      </c>
      <c r="M75" s="6">
        <v>143.91</v>
      </c>
      <c r="N75" s="8">
        <f t="shared" si="7"/>
        <v>76.679999999999993</v>
      </c>
      <c r="O75" s="8">
        <f t="shared" si="8"/>
        <v>1844.8000000000002</v>
      </c>
      <c r="P75" s="8">
        <f t="shared" si="9"/>
        <v>1844.8000000000002</v>
      </c>
      <c r="Q75" s="8">
        <f t="shared" si="10"/>
        <v>0</v>
      </c>
      <c r="R75" s="9">
        <f t="shared" si="11"/>
        <v>1844.8000000000002</v>
      </c>
      <c r="S75" s="10">
        <f t="shared" si="12"/>
        <v>153.73333333333335</v>
      </c>
      <c r="T75">
        <v>165</v>
      </c>
      <c r="U75">
        <f t="shared" si="13"/>
        <v>21.090000000000003</v>
      </c>
    </row>
    <row r="76" spans="1:21" ht="14.25" customHeight="1" x14ac:dyDescent="0.35">
      <c r="A76" s="6" t="s">
        <v>278</v>
      </c>
      <c r="B76" s="6" t="s">
        <v>279</v>
      </c>
      <c r="C76" s="6" t="s">
        <v>280</v>
      </c>
      <c r="D76" s="6" t="s">
        <v>71</v>
      </c>
      <c r="E76" s="7" t="s">
        <v>23</v>
      </c>
      <c r="F76" s="6">
        <v>85383</v>
      </c>
      <c r="G76" s="6" t="s">
        <v>78</v>
      </c>
      <c r="H76" s="6" t="s">
        <v>281</v>
      </c>
      <c r="I76" s="6" t="s">
        <v>26</v>
      </c>
      <c r="J76" s="6" t="b">
        <v>0</v>
      </c>
      <c r="K76" s="6" t="s">
        <v>27</v>
      </c>
      <c r="L76" s="6">
        <v>41.2</v>
      </c>
      <c r="M76" s="6">
        <v>144.19999999999999</v>
      </c>
      <c r="N76" s="8" t="str">
        <f t="shared" si="7"/>
        <v>0</v>
      </c>
      <c r="O76" s="8">
        <f t="shared" si="8"/>
        <v>1771.6</v>
      </c>
      <c r="P76" s="8">
        <f t="shared" si="9"/>
        <v>1771.6</v>
      </c>
      <c r="Q76" s="8">
        <f t="shared" si="10"/>
        <v>0</v>
      </c>
      <c r="R76" s="9">
        <f t="shared" si="11"/>
        <v>1771.6</v>
      </c>
      <c r="S76" s="10">
        <f t="shared" si="12"/>
        <v>147.63333333333333</v>
      </c>
      <c r="T76">
        <v>165</v>
      </c>
      <c r="U76">
        <f t="shared" si="13"/>
        <v>20.800000000000011</v>
      </c>
    </row>
    <row r="77" spans="1:21" ht="14.25" customHeight="1" x14ac:dyDescent="0.35">
      <c r="A77" s="6" t="s">
        <v>282</v>
      </c>
      <c r="B77" s="6" t="s">
        <v>283</v>
      </c>
      <c r="C77" s="6" t="s">
        <v>284</v>
      </c>
      <c r="D77" s="6" t="s">
        <v>44</v>
      </c>
      <c r="E77" s="7" t="s">
        <v>23</v>
      </c>
      <c r="F77" s="6">
        <v>85018</v>
      </c>
      <c r="G77" s="6" t="s">
        <v>49</v>
      </c>
      <c r="H77" s="6" t="s">
        <v>202</v>
      </c>
      <c r="I77" s="6" t="s">
        <v>26</v>
      </c>
      <c r="J77" s="6" t="b">
        <v>0</v>
      </c>
      <c r="K77" s="6" t="s">
        <v>27</v>
      </c>
      <c r="L77" s="6">
        <v>41.2</v>
      </c>
      <c r="M77" s="6">
        <v>144.19999999999999</v>
      </c>
      <c r="N77" s="8" t="str">
        <f t="shared" si="7"/>
        <v>0</v>
      </c>
      <c r="O77" s="8">
        <f t="shared" si="8"/>
        <v>1771.6</v>
      </c>
      <c r="P77" s="8">
        <f t="shared" si="9"/>
        <v>1771.6</v>
      </c>
      <c r="Q77" s="8">
        <f t="shared" si="10"/>
        <v>0</v>
      </c>
      <c r="R77" s="9">
        <f t="shared" si="11"/>
        <v>1771.6</v>
      </c>
      <c r="S77" s="10">
        <f t="shared" si="12"/>
        <v>147.63333333333333</v>
      </c>
      <c r="T77">
        <v>165</v>
      </c>
      <c r="U77">
        <f t="shared" si="13"/>
        <v>20.800000000000011</v>
      </c>
    </row>
    <row r="78" spans="1:21" ht="14.25" customHeight="1" x14ac:dyDescent="0.35">
      <c r="A78" s="6" t="s">
        <v>285</v>
      </c>
      <c r="B78" s="6" t="s">
        <v>286</v>
      </c>
      <c r="C78" s="6" t="s">
        <v>287</v>
      </c>
      <c r="D78" s="6" t="s">
        <v>44</v>
      </c>
      <c r="E78" s="7" t="s">
        <v>23</v>
      </c>
      <c r="F78" s="6">
        <v>85016</v>
      </c>
      <c r="G78" s="6" t="s">
        <v>49</v>
      </c>
      <c r="H78" s="6" t="s">
        <v>202</v>
      </c>
      <c r="I78" s="6" t="s">
        <v>26</v>
      </c>
      <c r="J78" s="6" t="b">
        <v>0</v>
      </c>
      <c r="K78" s="6" t="s">
        <v>27</v>
      </c>
      <c r="L78" s="6">
        <v>41.2</v>
      </c>
      <c r="M78" s="6">
        <v>144.19999999999999</v>
      </c>
      <c r="N78" s="8" t="str">
        <f t="shared" si="7"/>
        <v>0</v>
      </c>
      <c r="O78" s="8">
        <f t="shared" si="8"/>
        <v>1771.6</v>
      </c>
      <c r="P78" s="8">
        <f t="shared" si="9"/>
        <v>1771.6</v>
      </c>
      <c r="Q78" s="8">
        <f t="shared" si="10"/>
        <v>0</v>
      </c>
      <c r="R78" s="9">
        <f t="shared" si="11"/>
        <v>1771.6</v>
      </c>
      <c r="S78" s="10">
        <f t="shared" si="12"/>
        <v>147.63333333333333</v>
      </c>
      <c r="T78">
        <v>165</v>
      </c>
      <c r="U78">
        <f t="shared" si="13"/>
        <v>20.800000000000011</v>
      </c>
    </row>
    <row r="79" spans="1:21" ht="14.25" customHeight="1" x14ac:dyDescent="0.35">
      <c r="A79" s="6" t="s">
        <v>288</v>
      </c>
      <c r="B79" s="6" t="s">
        <v>289</v>
      </c>
      <c r="C79" s="6" t="s">
        <v>290</v>
      </c>
      <c r="D79" s="6" t="s">
        <v>31</v>
      </c>
      <c r="E79" s="7" t="s">
        <v>23</v>
      </c>
      <c r="F79" s="6">
        <v>85260</v>
      </c>
      <c r="G79" s="6" t="s">
        <v>45</v>
      </c>
      <c r="H79" s="6" t="s">
        <v>291</v>
      </c>
      <c r="I79" s="6" t="s">
        <v>26</v>
      </c>
      <c r="J79" s="6" t="b">
        <v>0</v>
      </c>
      <c r="K79" s="6" t="s">
        <v>27</v>
      </c>
      <c r="L79" s="6">
        <v>41.2</v>
      </c>
      <c r="M79" s="6">
        <v>144.19999999999999</v>
      </c>
      <c r="N79" s="8" t="str">
        <f t="shared" si="7"/>
        <v>0</v>
      </c>
      <c r="O79" s="8">
        <f t="shared" si="8"/>
        <v>1771.6</v>
      </c>
      <c r="P79" s="8">
        <f t="shared" si="9"/>
        <v>1771.6</v>
      </c>
      <c r="Q79" s="8">
        <f t="shared" si="10"/>
        <v>0</v>
      </c>
      <c r="R79" s="9">
        <f t="shared" si="11"/>
        <v>1771.6</v>
      </c>
      <c r="S79" s="10">
        <f t="shared" si="12"/>
        <v>147.63333333333333</v>
      </c>
      <c r="T79">
        <v>165</v>
      </c>
      <c r="U79">
        <f t="shared" si="13"/>
        <v>20.800000000000011</v>
      </c>
    </row>
    <row r="80" spans="1:21" ht="14.25" customHeight="1" x14ac:dyDescent="0.35">
      <c r="A80" s="6" t="s">
        <v>292</v>
      </c>
      <c r="B80" s="6" t="s">
        <v>293</v>
      </c>
      <c r="C80" s="6" t="s">
        <v>294</v>
      </c>
      <c r="D80" s="6" t="s">
        <v>31</v>
      </c>
      <c r="E80" s="7" t="s">
        <v>23</v>
      </c>
      <c r="F80" s="6">
        <v>85257</v>
      </c>
      <c r="G80" s="6" t="s">
        <v>49</v>
      </c>
      <c r="H80" s="6" t="s">
        <v>50</v>
      </c>
      <c r="I80" s="6" t="s">
        <v>26</v>
      </c>
      <c r="J80" s="6" t="b">
        <v>0</v>
      </c>
      <c r="K80" s="6" t="s">
        <v>27</v>
      </c>
      <c r="L80" s="6">
        <v>41.2</v>
      </c>
      <c r="M80" s="6">
        <v>144.19999999999999</v>
      </c>
      <c r="N80" s="8" t="str">
        <f t="shared" si="7"/>
        <v>0</v>
      </c>
      <c r="O80" s="8">
        <f t="shared" si="8"/>
        <v>1771.6</v>
      </c>
      <c r="P80" s="8">
        <f t="shared" si="9"/>
        <v>1771.6</v>
      </c>
      <c r="Q80" s="8">
        <f t="shared" si="10"/>
        <v>0</v>
      </c>
      <c r="R80" s="9">
        <f t="shared" si="11"/>
        <v>1771.6</v>
      </c>
      <c r="S80" s="10">
        <f t="shared" si="12"/>
        <v>147.63333333333333</v>
      </c>
      <c r="T80">
        <v>165</v>
      </c>
      <c r="U80">
        <f t="shared" si="13"/>
        <v>20.800000000000011</v>
      </c>
    </row>
    <row r="81" spans="1:21" ht="14.25" customHeight="1" x14ac:dyDescent="0.35">
      <c r="A81" s="6" t="s">
        <v>295</v>
      </c>
      <c r="B81" s="6" t="s">
        <v>296</v>
      </c>
      <c r="C81" s="6" t="s">
        <v>297</v>
      </c>
      <c r="D81" s="6" t="s">
        <v>65</v>
      </c>
      <c r="E81" s="7" t="s">
        <v>23</v>
      </c>
      <c r="F81" s="6">
        <v>85212</v>
      </c>
      <c r="G81" s="6" t="s">
        <v>125</v>
      </c>
      <c r="H81" s="6" t="s">
        <v>180</v>
      </c>
      <c r="I81" s="6" t="s">
        <v>26</v>
      </c>
      <c r="J81" s="6" t="b">
        <v>0</v>
      </c>
      <c r="K81" s="6" t="s">
        <v>27</v>
      </c>
      <c r="L81" s="6">
        <v>41.2</v>
      </c>
      <c r="M81" s="6">
        <v>144.19999999999999</v>
      </c>
      <c r="N81" s="8" t="str">
        <f t="shared" si="7"/>
        <v>0</v>
      </c>
      <c r="O81" s="8">
        <f t="shared" si="8"/>
        <v>1771.6</v>
      </c>
      <c r="P81" s="8">
        <f t="shared" si="9"/>
        <v>1771.6</v>
      </c>
      <c r="Q81" s="8">
        <f t="shared" si="10"/>
        <v>0</v>
      </c>
      <c r="R81" s="9">
        <f t="shared" si="11"/>
        <v>1771.6</v>
      </c>
      <c r="S81" s="10">
        <f t="shared" si="12"/>
        <v>147.63333333333333</v>
      </c>
      <c r="T81">
        <v>165</v>
      </c>
      <c r="U81">
        <f t="shared" si="13"/>
        <v>20.800000000000011</v>
      </c>
    </row>
    <row r="82" spans="1:21" ht="14.25" customHeight="1" x14ac:dyDescent="0.35">
      <c r="A82" s="6" t="s">
        <v>298</v>
      </c>
      <c r="B82" s="6" t="s">
        <v>299</v>
      </c>
      <c r="C82" s="6" t="s">
        <v>300</v>
      </c>
      <c r="D82" s="6" t="s">
        <v>31</v>
      </c>
      <c r="E82" s="7" t="s">
        <v>23</v>
      </c>
      <c r="F82" s="6">
        <v>85254</v>
      </c>
      <c r="G82" s="6" t="s">
        <v>45</v>
      </c>
      <c r="H82" s="6" t="s">
        <v>33</v>
      </c>
      <c r="I82" s="6" t="s">
        <v>26</v>
      </c>
      <c r="J82" s="6" t="b">
        <v>0</v>
      </c>
      <c r="K82" s="6" t="s">
        <v>27</v>
      </c>
      <c r="L82" s="6">
        <v>41.2</v>
      </c>
      <c r="M82" s="6">
        <v>144.19999999999999</v>
      </c>
      <c r="N82" s="8" t="str">
        <f t="shared" si="7"/>
        <v>0</v>
      </c>
      <c r="O82" s="8">
        <f t="shared" si="8"/>
        <v>1771.6</v>
      </c>
      <c r="P82" s="8">
        <f t="shared" si="9"/>
        <v>1771.6</v>
      </c>
      <c r="Q82" s="8">
        <f t="shared" si="10"/>
        <v>0</v>
      </c>
      <c r="R82" s="9">
        <f t="shared" si="11"/>
        <v>1771.6</v>
      </c>
      <c r="S82" s="10">
        <f t="shared" si="12"/>
        <v>147.63333333333333</v>
      </c>
      <c r="T82">
        <v>165</v>
      </c>
      <c r="U82">
        <f t="shared" si="13"/>
        <v>20.800000000000011</v>
      </c>
    </row>
    <row r="83" spans="1:21" ht="14.25" customHeight="1" x14ac:dyDescent="0.35">
      <c r="A83" s="6" t="s">
        <v>301</v>
      </c>
      <c r="B83" s="6" t="s">
        <v>302</v>
      </c>
      <c r="C83" s="6" t="s">
        <v>303</v>
      </c>
      <c r="D83" s="6" t="s">
        <v>44</v>
      </c>
      <c r="E83" s="7" t="s">
        <v>23</v>
      </c>
      <c r="F83" s="6">
        <v>85021</v>
      </c>
      <c r="G83" s="6" t="s">
        <v>72</v>
      </c>
      <c r="H83" s="6" t="s">
        <v>93</v>
      </c>
      <c r="I83" s="6" t="s">
        <v>26</v>
      </c>
      <c r="J83" s="6" t="b">
        <v>0</v>
      </c>
      <c r="K83" s="6" t="s">
        <v>27</v>
      </c>
      <c r="L83" s="6">
        <v>41.2</v>
      </c>
      <c r="M83" s="6">
        <v>144.19999999999999</v>
      </c>
      <c r="N83" s="8" t="str">
        <f t="shared" si="7"/>
        <v>0</v>
      </c>
      <c r="O83" s="8">
        <f t="shared" si="8"/>
        <v>1771.6</v>
      </c>
      <c r="P83" s="8">
        <f t="shared" si="9"/>
        <v>1771.6</v>
      </c>
      <c r="Q83" s="8">
        <f t="shared" si="10"/>
        <v>0</v>
      </c>
      <c r="R83" s="9">
        <f t="shared" si="11"/>
        <v>1771.6</v>
      </c>
      <c r="S83" s="10">
        <f t="shared" si="12"/>
        <v>147.63333333333333</v>
      </c>
      <c r="T83">
        <v>165</v>
      </c>
      <c r="U83">
        <f t="shared" si="13"/>
        <v>20.800000000000011</v>
      </c>
    </row>
    <row r="84" spans="1:21" ht="14.25" customHeight="1" x14ac:dyDescent="0.35">
      <c r="A84" s="6" t="s">
        <v>304</v>
      </c>
      <c r="B84" s="6" t="s">
        <v>305</v>
      </c>
      <c r="C84" s="6" t="s">
        <v>306</v>
      </c>
      <c r="D84" s="6" t="s">
        <v>22</v>
      </c>
      <c r="E84" s="7" t="s">
        <v>23</v>
      </c>
      <c r="F84" s="6">
        <v>85248</v>
      </c>
      <c r="G84" s="6" t="s">
        <v>125</v>
      </c>
      <c r="H84" s="6" t="s">
        <v>126</v>
      </c>
      <c r="I84" s="6" t="s">
        <v>26</v>
      </c>
      <c r="J84" s="6" t="b">
        <v>0</v>
      </c>
      <c r="K84" s="6" t="s">
        <v>27</v>
      </c>
      <c r="L84" s="6">
        <v>41.2</v>
      </c>
      <c r="M84" s="6">
        <v>144.19999999999999</v>
      </c>
      <c r="N84" s="8" t="str">
        <f t="shared" si="7"/>
        <v>0</v>
      </c>
      <c r="O84" s="8">
        <f t="shared" si="8"/>
        <v>1771.6</v>
      </c>
      <c r="P84" s="8">
        <f t="shared" si="9"/>
        <v>1771.6</v>
      </c>
      <c r="Q84" s="8">
        <f t="shared" si="10"/>
        <v>0</v>
      </c>
      <c r="R84" s="9">
        <f t="shared" si="11"/>
        <v>1771.6</v>
      </c>
      <c r="S84" s="10">
        <f t="shared" si="12"/>
        <v>147.63333333333333</v>
      </c>
      <c r="T84">
        <v>165</v>
      </c>
      <c r="U84">
        <f t="shared" si="13"/>
        <v>20.800000000000011</v>
      </c>
    </row>
    <row r="85" spans="1:21" ht="14.25" customHeight="1" x14ac:dyDescent="0.35">
      <c r="A85" s="6" t="s">
        <v>307</v>
      </c>
      <c r="B85" s="6" t="s">
        <v>308</v>
      </c>
      <c r="C85" s="6" t="s">
        <v>309</v>
      </c>
      <c r="D85" s="6" t="s">
        <v>310</v>
      </c>
      <c r="E85" s="7" t="s">
        <v>23</v>
      </c>
      <c r="F85" s="6">
        <v>85353</v>
      </c>
      <c r="G85" s="6" t="s">
        <v>213</v>
      </c>
      <c r="H85" s="6" t="s">
        <v>39</v>
      </c>
      <c r="I85" s="6" t="s">
        <v>26</v>
      </c>
      <c r="J85" s="6" t="b">
        <v>1</v>
      </c>
      <c r="K85" s="6" t="s">
        <v>27</v>
      </c>
      <c r="L85" s="6">
        <v>41.2</v>
      </c>
      <c r="M85" s="6">
        <v>144.19999999999999</v>
      </c>
      <c r="N85" s="8">
        <f t="shared" si="7"/>
        <v>76.679999999999993</v>
      </c>
      <c r="O85" s="8">
        <f t="shared" si="8"/>
        <v>1848.28</v>
      </c>
      <c r="P85" s="8">
        <f t="shared" si="9"/>
        <v>1848.28</v>
      </c>
      <c r="Q85" s="8">
        <f t="shared" si="10"/>
        <v>0</v>
      </c>
      <c r="R85" s="9">
        <f t="shared" si="11"/>
        <v>1848.28</v>
      </c>
      <c r="S85" s="10">
        <f t="shared" si="12"/>
        <v>154.02333333333334</v>
      </c>
      <c r="T85">
        <v>165</v>
      </c>
      <c r="U85">
        <f t="shared" si="13"/>
        <v>20.800000000000011</v>
      </c>
    </row>
    <row r="86" spans="1:21" ht="14.25" customHeight="1" x14ac:dyDescent="0.35">
      <c r="A86" s="6" t="s">
        <v>311</v>
      </c>
      <c r="B86" s="6" t="s">
        <v>312</v>
      </c>
      <c r="C86" s="6" t="s">
        <v>313</v>
      </c>
      <c r="D86" s="6" t="s">
        <v>31</v>
      </c>
      <c r="E86" s="7" t="s">
        <v>23</v>
      </c>
      <c r="F86" s="6">
        <v>85258</v>
      </c>
      <c r="G86" s="6" t="s">
        <v>45</v>
      </c>
      <c r="H86" s="6" t="s">
        <v>291</v>
      </c>
      <c r="I86" s="6" t="s">
        <v>26</v>
      </c>
      <c r="J86" s="6" t="b">
        <v>1</v>
      </c>
      <c r="K86" s="6" t="s">
        <v>27</v>
      </c>
      <c r="L86" s="6">
        <v>41.2</v>
      </c>
      <c r="M86" s="6">
        <v>144.19999999999999</v>
      </c>
      <c r="N86" s="8">
        <f t="shared" si="7"/>
        <v>76.679999999999993</v>
      </c>
      <c r="O86" s="8">
        <f t="shared" si="8"/>
        <v>1848.28</v>
      </c>
      <c r="P86" s="8">
        <f t="shared" si="9"/>
        <v>1848.28</v>
      </c>
      <c r="Q86" s="8">
        <f t="shared" si="10"/>
        <v>0</v>
      </c>
      <c r="R86" s="9">
        <f t="shared" si="11"/>
        <v>1848.28</v>
      </c>
      <c r="S86" s="10">
        <f t="shared" si="12"/>
        <v>154.02333333333334</v>
      </c>
      <c r="T86">
        <v>165</v>
      </c>
      <c r="U86">
        <f t="shared" si="13"/>
        <v>20.800000000000011</v>
      </c>
    </row>
    <row r="87" spans="1:21" ht="14.25" customHeight="1" x14ac:dyDescent="0.35">
      <c r="A87" s="6" t="s">
        <v>314</v>
      </c>
      <c r="B87" s="6" t="s">
        <v>315</v>
      </c>
      <c r="C87" s="6" t="s">
        <v>316</v>
      </c>
      <c r="D87" s="6" t="s">
        <v>31</v>
      </c>
      <c r="E87" s="7" t="s">
        <v>23</v>
      </c>
      <c r="F87" s="6">
        <v>85254</v>
      </c>
      <c r="G87" s="6" t="s">
        <v>45</v>
      </c>
      <c r="H87" s="6" t="s">
        <v>33</v>
      </c>
      <c r="I87" s="6" t="s">
        <v>26</v>
      </c>
      <c r="J87" s="6" t="b">
        <v>1</v>
      </c>
      <c r="K87" s="6" t="s">
        <v>27</v>
      </c>
      <c r="L87" s="6">
        <v>41.2</v>
      </c>
      <c r="M87" s="6">
        <v>144.19999999999999</v>
      </c>
      <c r="N87" s="8">
        <f t="shared" si="7"/>
        <v>76.679999999999993</v>
      </c>
      <c r="O87" s="8">
        <f t="shared" si="8"/>
        <v>1848.28</v>
      </c>
      <c r="P87" s="8">
        <f t="shared" si="9"/>
        <v>1848.28</v>
      </c>
      <c r="Q87" s="8">
        <f t="shared" si="10"/>
        <v>0</v>
      </c>
      <c r="R87" s="9">
        <f t="shared" si="11"/>
        <v>1848.28</v>
      </c>
      <c r="S87" s="10">
        <f t="shared" si="12"/>
        <v>154.02333333333334</v>
      </c>
      <c r="T87">
        <v>165</v>
      </c>
      <c r="U87">
        <f t="shared" si="13"/>
        <v>20.800000000000011</v>
      </c>
    </row>
    <row r="88" spans="1:21" ht="14.25" customHeight="1" x14ac:dyDescent="0.35">
      <c r="A88" s="6" t="s">
        <v>317</v>
      </c>
      <c r="B88" s="6" t="s">
        <v>318</v>
      </c>
      <c r="C88" s="6" t="s">
        <v>319</v>
      </c>
      <c r="D88" s="6" t="s">
        <v>22</v>
      </c>
      <c r="E88" s="7" t="s">
        <v>23</v>
      </c>
      <c r="F88" s="6">
        <v>85248</v>
      </c>
      <c r="G88" s="6" t="s">
        <v>125</v>
      </c>
      <c r="H88" s="6" t="s">
        <v>126</v>
      </c>
      <c r="I88" s="6" t="s">
        <v>26</v>
      </c>
      <c r="J88" s="6" t="b">
        <v>1</v>
      </c>
      <c r="K88" s="6" t="s">
        <v>27</v>
      </c>
      <c r="L88" s="6">
        <v>41.2</v>
      </c>
      <c r="M88" s="6">
        <v>144.19999999999999</v>
      </c>
      <c r="N88" s="8">
        <f t="shared" si="7"/>
        <v>76.679999999999993</v>
      </c>
      <c r="O88" s="8">
        <f t="shared" si="8"/>
        <v>1848.28</v>
      </c>
      <c r="P88" s="8">
        <f t="shared" si="9"/>
        <v>1848.28</v>
      </c>
      <c r="Q88" s="8">
        <f t="shared" si="10"/>
        <v>0</v>
      </c>
      <c r="R88" s="9">
        <f t="shared" si="11"/>
        <v>1848.28</v>
      </c>
      <c r="S88" s="10">
        <f t="shared" si="12"/>
        <v>154.02333333333334</v>
      </c>
      <c r="T88">
        <v>165</v>
      </c>
      <c r="U88">
        <f t="shared" si="13"/>
        <v>20.800000000000011</v>
      </c>
    </row>
    <row r="89" spans="1:21" ht="14.25" customHeight="1" x14ac:dyDescent="0.35">
      <c r="A89" s="6" t="s">
        <v>320</v>
      </c>
      <c r="B89" s="6" t="s">
        <v>321</v>
      </c>
      <c r="C89" s="6" t="s">
        <v>322</v>
      </c>
      <c r="D89" s="6" t="s">
        <v>44</v>
      </c>
      <c r="E89" s="7" t="s">
        <v>23</v>
      </c>
      <c r="F89" s="6">
        <v>85014</v>
      </c>
      <c r="G89" s="6" t="s">
        <v>49</v>
      </c>
      <c r="H89" s="6" t="s">
        <v>202</v>
      </c>
      <c r="I89" s="6" t="s">
        <v>26</v>
      </c>
      <c r="J89" s="6" t="b">
        <v>1</v>
      </c>
      <c r="K89" s="6" t="s">
        <v>27</v>
      </c>
      <c r="L89" s="6">
        <v>41.2</v>
      </c>
      <c r="M89" s="6">
        <v>144.19999999999999</v>
      </c>
      <c r="N89" s="8">
        <f t="shared" si="7"/>
        <v>76.679999999999993</v>
      </c>
      <c r="O89" s="8">
        <f t="shared" si="8"/>
        <v>1848.28</v>
      </c>
      <c r="P89" s="8">
        <f t="shared" si="9"/>
        <v>1848.28</v>
      </c>
      <c r="Q89" s="8">
        <f t="shared" si="10"/>
        <v>0</v>
      </c>
      <c r="R89" s="9">
        <f t="shared" si="11"/>
        <v>1848.28</v>
      </c>
      <c r="S89" s="10">
        <f t="shared" si="12"/>
        <v>154.02333333333334</v>
      </c>
      <c r="T89">
        <v>165</v>
      </c>
      <c r="U89">
        <f t="shared" si="13"/>
        <v>20.800000000000011</v>
      </c>
    </row>
    <row r="90" spans="1:21" ht="14.25" customHeight="1" x14ac:dyDescent="0.35">
      <c r="A90" s="6" t="s">
        <v>323</v>
      </c>
      <c r="B90" s="6" t="s">
        <v>324</v>
      </c>
      <c r="C90" s="6" t="s">
        <v>325</v>
      </c>
      <c r="D90" s="6" t="s">
        <v>44</v>
      </c>
      <c r="E90" s="7" t="s">
        <v>23</v>
      </c>
      <c r="F90" s="6">
        <v>85042</v>
      </c>
      <c r="G90" s="6" t="s">
        <v>213</v>
      </c>
      <c r="H90" s="6" t="s">
        <v>39</v>
      </c>
      <c r="I90" s="6" t="s">
        <v>26</v>
      </c>
      <c r="J90" s="6" t="b">
        <v>1</v>
      </c>
      <c r="K90" s="6" t="s">
        <v>27</v>
      </c>
      <c r="L90" s="6">
        <v>41.2</v>
      </c>
      <c r="M90" s="6">
        <v>144.19999999999999</v>
      </c>
      <c r="N90" s="8">
        <f t="shared" si="7"/>
        <v>76.679999999999993</v>
      </c>
      <c r="O90" s="8">
        <f t="shared" si="8"/>
        <v>1848.28</v>
      </c>
      <c r="P90" s="8">
        <f t="shared" si="9"/>
        <v>1848.28</v>
      </c>
      <c r="Q90" s="8">
        <f t="shared" si="10"/>
        <v>0</v>
      </c>
      <c r="R90" s="9">
        <f t="shared" si="11"/>
        <v>1848.28</v>
      </c>
      <c r="S90" s="10">
        <f t="shared" si="12"/>
        <v>154.02333333333334</v>
      </c>
      <c r="T90">
        <v>165</v>
      </c>
      <c r="U90">
        <f t="shared" si="13"/>
        <v>20.800000000000011</v>
      </c>
    </row>
    <row r="91" spans="1:21" ht="14.25" customHeight="1" x14ac:dyDescent="0.35">
      <c r="A91" s="6" t="s">
        <v>326</v>
      </c>
      <c r="B91" s="6" t="s">
        <v>327</v>
      </c>
      <c r="C91" s="6" t="s">
        <v>328</v>
      </c>
      <c r="D91" s="6" t="s">
        <v>31</v>
      </c>
      <c r="E91" s="7" t="s">
        <v>23</v>
      </c>
      <c r="F91" s="6">
        <v>85254</v>
      </c>
      <c r="G91" s="6" t="s">
        <v>45</v>
      </c>
      <c r="H91" s="6" t="s">
        <v>291</v>
      </c>
      <c r="I91" s="6" t="s">
        <v>26</v>
      </c>
      <c r="J91" s="6" t="b">
        <v>1</v>
      </c>
      <c r="K91" s="6" t="s">
        <v>27</v>
      </c>
      <c r="L91" s="6">
        <v>41.2</v>
      </c>
      <c r="M91" s="6">
        <v>144.19999999999999</v>
      </c>
      <c r="N91" s="8">
        <f t="shared" si="7"/>
        <v>76.679999999999993</v>
      </c>
      <c r="O91" s="8">
        <f t="shared" si="8"/>
        <v>1848.28</v>
      </c>
      <c r="P91" s="8">
        <f t="shared" si="9"/>
        <v>1848.28</v>
      </c>
      <c r="Q91" s="8">
        <f t="shared" si="10"/>
        <v>0</v>
      </c>
      <c r="R91" s="9">
        <f t="shared" si="11"/>
        <v>1848.28</v>
      </c>
      <c r="S91" s="10">
        <f t="shared" si="12"/>
        <v>154.02333333333334</v>
      </c>
      <c r="T91">
        <v>165</v>
      </c>
      <c r="U91">
        <f t="shared" si="13"/>
        <v>20.800000000000011</v>
      </c>
    </row>
    <row r="92" spans="1:21" ht="14.25" customHeight="1" x14ac:dyDescent="0.35">
      <c r="A92" s="6" t="s">
        <v>329</v>
      </c>
      <c r="B92" s="6" t="s">
        <v>330</v>
      </c>
      <c r="C92" s="6" t="s">
        <v>331</v>
      </c>
      <c r="D92" s="6" t="s">
        <v>332</v>
      </c>
      <c r="E92" s="7" t="s">
        <v>23</v>
      </c>
      <c r="F92" s="6">
        <v>85339</v>
      </c>
      <c r="G92" s="6" t="s">
        <v>213</v>
      </c>
      <c r="H92" s="6" t="s">
        <v>39</v>
      </c>
      <c r="I92" s="6" t="s">
        <v>26</v>
      </c>
      <c r="J92" s="6" t="b">
        <v>1</v>
      </c>
      <c r="K92" s="6" t="s">
        <v>27</v>
      </c>
      <c r="L92" s="6">
        <v>41.2</v>
      </c>
      <c r="M92" s="6">
        <v>144.19999999999999</v>
      </c>
      <c r="N92" s="8">
        <f t="shared" si="7"/>
        <v>76.679999999999993</v>
      </c>
      <c r="O92" s="8">
        <f t="shared" si="8"/>
        <v>1848.28</v>
      </c>
      <c r="P92" s="8">
        <f t="shared" si="9"/>
        <v>1848.28</v>
      </c>
      <c r="Q92" s="8">
        <f t="shared" si="10"/>
        <v>0</v>
      </c>
      <c r="R92" s="9">
        <f t="shared" si="11"/>
        <v>1848.28</v>
      </c>
      <c r="S92" s="10">
        <f t="shared" si="12"/>
        <v>154.02333333333334</v>
      </c>
      <c r="T92">
        <v>165</v>
      </c>
      <c r="U92">
        <f t="shared" si="13"/>
        <v>20.800000000000011</v>
      </c>
    </row>
    <row r="93" spans="1:21" ht="14.25" customHeight="1" x14ac:dyDescent="0.35">
      <c r="A93" s="6" t="s">
        <v>333</v>
      </c>
      <c r="B93" s="6" t="s">
        <v>334</v>
      </c>
      <c r="C93" s="6" t="s">
        <v>335</v>
      </c>
      <c r="D93" s="6" t="s">
        <v>22</v>
      </c>
      <c r="E93" s="7" t="s">
        <v>23</v>
      </c>
      <c r="F93" s="6">
        <v>85249</v>
      </c>
      <c r="G93" s="6" t="s">
        <v>125</v>
      </c>
      <c r="H93" s="6" t="s">
        <v>126</v>
      </c>
      <c r="I93" s="6" t="s">
        <v>26</v>
      </c>
      <c r="J93" s="6" t="b">
        <v>1</v>
      </c>
      <c r="K93" s="6" t="s">
        <v>27</v>
      </c>
      <c r="L93" s="6">
        <v>41.2</v>
      </c>
      <c r="M93" s="6">
        <v>144.19999999999999</v>
      </c>
      <c r="N93" s="8">
        <f t="shared" si="7"/>
        <v>76.679999999999993</v>
      </c>
      <c r="O93" s="8">
        <f t="shared" si="8"/>
        <v>1848.28</v>
      </c>
      <c r="P93" s="8">
        <f t="shared" si="9"/>
        <v>1848.28</v>
      </c>
      <c r="Q93" s="8">
        <f t="shared" si="10"/>
        <v>0</v>
      </c>
      <c r="R93" s="9">
        <f t="shared" si="11"/>
        <v>1848.28</v>
      </c>
      <c r="S93" s="10">
        <f t="shared" si="12"/>
        <v>154.02333333333334</v>
      </c>
      <c r="T93">
        <v>165</v>
      </c>
      <c r="U93">
        <f t="shared" si="13"/>
        <v>20.800000000000011</v>
      </c>
    </row>
    <row r="94" spans="1:21" ht="14.25" customHeight="1" x14ac:dyDescent="0.35">
      <c r="A94" s="6" t="s">
        <v>336</v>
      </c>
      <c r="B94" s="6" t="s">
        <v>337</v>
      </c>
      <c r="C94" s="6" t="s">
        <v>338</v>
      </c>
      <c r="D94" s="6" t="s">
        <v>310</v>
      </c>
      <c r="E94" s="7" t="s">
        <v>23</v>
      </c>
      <c r="F94" s="6">
        <v>85353</v>
      </c>
      <c r="G94" s="6" t="s">
        <v>38</v>
      </c>
      <c r="H94" s="6" t="s">
        <v>73</v>
      </c>
      <c r="I94" s="6" t="s">
        <v>61</v>
      </c>
      <c r="J94" s="6" t="b">
        <v>1</v>
      </c>
      <c r="K94" s="6" t="s">
        <v>27</v>
      </c>
      <c r="L94" s="6">
        <v>41.2</v>
      </c>
      <c r="M94" s="6">
        <v>144.19999999999999</v>
      </c>
      <c r="N94" s="8">
        <f t="shared" si="7"/>
        <v>76.679999999999993</v>
      </c>
      <c r="O94" s="8">
        <f t="shared" si="8"/>
        <v>1848.28</v>
      </c>
      <c r="P94" s="8">
        <f t="shared" si="9"/>
        <v>1848.28</v>
      </c>
      <c r="Q94" s="8">
        <f t="shared" si="10"/>
        <v>0</v>
      </c>
      <c r="R94" s="9">
        <f t="shared" si="11"/>
        <v>1848.28</v>
      </c>
      <c r="S94" s="10">
        <f t="shared" si="12"/>
        <v>154.02333333333334</v>
      </c>
      <c r="T94">
        <v>165</v>
      </c>
      <c r="U94">
        <f t="shared" si="13"/>
        <v>20.800000000000011</v>
      </c>
    </row>
    <row r="95" spans="1:21" ht="14.25" customHeight="1" x14ac:dyDescent="0.35">
      <c r="A95" s="6" t="s">
        <v>339</v>
      </c>
      <c r="B95" s="6" t="s">
        <v>340</v>
      </c>
      <c r="C95" s="6" t="s">
        <v>341</v>
      </c>
      <c r="D95" s="6" t="s">
        <v>44</v>
      </c>
      <c r="E95" s="7" t="s">
        <v>23</v>
      </c>
      <c r="F95" s="6">
        <v>85018</v>
      </c>
      <c r="G95" s="6" t="s">
        <v>49</v>
      </c>
      <c r="H95" s="6" t="s">
        <v>50</v>
      </c>
      <c r="I95" s="6" t="s">
        <v>26</v>
      </c>
      <c r="J95" s="6" t="b">
        <v>1</v>
      </c>
      <c r="K95" s="6" t="s">
        <v>27</v>
      </c>
      <c r="L95" s="6">
        <v>41.2</v>
      </c>
      <c r="M95" s="6">
        <v>144.19999999999999</v>
      </c>
      <c r="N95" s="8">
        <f t="shared" si="7"/>
        <v>76.679999999999993</v>
      </c>
      <c r="O95" s="8">
        <f t="shared" si="8"/>
        <v>1848.28</v>
      </c>
      <c r="P95" s="8">
        <f t="shared" si="9"/>
        <v>1848.28</v>
      </c>
      <c r="Q95" s="8">
        <f t="shared" si="10"/>
        <v>0</v>
      </c>
      <c r="R95" s="9">
        <f t="shared" si="11"/>
        <v>1848.28</v>
      </c>
      <c r="S95" s="10">
        <f t="shared" si="12"/>
        <v>154.02333333333334</v>
      </c>
      <c r="T95">
        <v>165</v>
      </c>
      <c r="U95">
        <f t="shared" si="13"/>
        <v>20.800000000000011</v>
      </c>
    </row>
    <row r="96" spans="1:21" ht="14.25" customHeight="1" x14ac:dyDescent="0.35">
      <c r="A96" s="6" t="s">
        <v>342</v>
      </c>
      <c r="B96" s="6" t="s">
        <v>343</v>
      </c>
      <c r="C96" s="6" t="s">
        <v>344</v>
      </c>
      <c r="D96" s="6" t="s">
        <v>44</v>
      </c>
      <c r="E96" s="7" t="s">
        <v>23</v>
      </c>
      <c r="F96" s="6">
        <v>85032</v>
      </c>
      <c r="G96" s="6" t="s">
        <v>45</v>
      </c>
      <c r="H96" s="6" t="s">
        <v>33</v>
      </c>
      <c r="I96" s="6" t="s">
        <v>26</v>
      </c>
      <c r="J96" s="6" t="b">
        <v>1</v>
      </c>
      <c r="K96" s="6" t="s">
        <v>27</v>
      </c>
      <c r="L96" s="6">
        <v>41.2</v>
      </c>
      <c r="M96" s="6">
        <v>144.19999999999999</v>
      </c>
      <c r="N96" s="8">
        <f t="shared" si="7"/>
        <v>76.679999999999993</v>
      </c>
      <c r="O96" s="8">
        <f t="shared" si="8"/>
        <v>1848.28</v>
      </c>
      <c r="P96" s="8">
        <f t="shared" si="9"/>
        <v>1848.28</v>
      </c>
      <c r="Q96" s="8">
        <f t="shared" si="10"/>
        <v>0</v>
      </c>
      <c r="R96" s="9">
        <f t="shared" si="11"/>
        <v>1848.28</v>
      </c>
      <c r="S96" s="10">
        <f t="shared" si="12"/>
        <v>154.02333333333334</v>
      </c>
      <c r="T96">
        <v>165</v>
      </c>
      <c r="U96">
        <f t="shared" si="13"/>
        <v>20.800000000000011</v>
      </c>
    </row>
    <row r="97" spans="1:21" ht="14.25" customHeight="1" x14ac:dyDescent="0.35">
      <c r="A97" s="6" t="s">
        <v>345</v>
      </c>
      <c r="B97" s="6" t="s">
        <v>346</v>
      </c>
      <c r="C97" s="6" t="s">
        <v>347</v>
      </c>
      <c r="D97" s="6" t="s">
        <v>310</v>
      </c>
      <c r="E97" s="7" t="s">
        <v>23</v>
      </c>
      <c r="F97" s="6">
        <v>85353</v>
      </c>
      <c r="G97" s="6" t="s">
        <v>38</v>
      </c>
      <c r="H97" s="6" t="s">
        <v>73</v>
      </c>
      <c r="I97" s="6" t="s">
        <v>26</v>
      </c>
      <c r="J97" s="6" t="b">
        <v>1</v>
      </c>
      <c r="K97" s="6" t="s">
        <v>27</v>
      </c>
      <c r="L97" s="6">
        <v>41.2</v>
      </c>
      <c r="M97" s="6">
        <v>144.19999999999999</v>
      </c>
      <c r="N97" s="8">
        <f t="shared" si="7"/>
        <v>76.679999999999993</v>
      </c>
      <c r="O97" s="8">
        <f t="shared" si="8"/>
        <v>1848.28</v>
      </c>
      <c r="P97" s="8">
        <f t="shared" si="9"/>
        <v>1848.28</v>
      </c>
      <c r="Q97" s="8">
        <f t="shared" si="10"/>
        <v>0</v>
      </c>
      <c r="R97" s="9">
        <f t="shared" si="11"/>
        <v>1848.28</v>
      </c>
      <c r="S97" s="10">
        <f t="shared" si="12"/>
        <v>154.02333333333334</v>
      </c>
      <c r="T97">
        <v>165</v>
      </c>
      <c r="U97">
        <f t="shared" si="13"/>
        <v>20.800000000000011</v>
      </c>
    </row>
    <row r="98" spans="1:21" ht="14.25" customHeight="1" x14ac:dyDescent="0.35">
      <c r="A98" s="6" t="s">
        <v>348</v>
      </c>
      <c r="B98" s="6" t="s">
        <v>349</v>
      </c>
      <c r="C98" s="6" t="s">
        <v>350</v>
      </c>
      <c r="D98" s="6" t="s">
        <v>31</v>
      </c>
      <c r="E98" s="7" t="s">
        <v>23</v>
      </c>
      <c r="F98" s="6">
        <v>85250</v>
      </c>
      <c r="G98" s="6" t="s">
        <v>49</v>
      </c>
      <c r="H98" s="6" t="s">
        <v>169</v>
      </c>
      <c r="I98" s="6" t="s">
        <v>26</v>
      </c>
      <c r="J98" s="6" t="b">
        <v>1</v>
      </c>
      <c r="K98" s="6" t="s">
        <v>27</v>
      </c>
      <c r="L98" s="6">
        <v>41.2</v>
      </c>
      <c r="M98" s="6">
        <v>144.19999999999999</v>
      </c>
      <c r="N98" s="8">
        <f t="shared" si="7"/>
        <v>76.679999999999993</v>
      </c>
      <c r="O98" s="8">
        <f t="shared" si="8"/>
        <v>1848.28</v>
      </c>
      <c r="P98" s="8">
        <f t="shared" si="9"/>
        <v>1848.28</v>
      </c>
      <c r="Q98" s="8">
        <f t="shared" si="10"/>
        <v>0</v>
      </c>
      <c r="R98" s="9">
        <f t="shared" si="11"/>
        <v>1848.28</v>
      </c>
      <c r="S98" s="10">
        <f t="shared" si="12"/>
        <v>154.02333333333334</v>
      </c>
      <c r="T98">
        <v>165</v>
      </c>
      <c r="U98">
        <f t="shared" si="13"/>
        <v>20.800000000000011</v>
      </c>
    </row>
    <row r="99" spans="1:21" ht="14.25" customHeight="1" x14ac:dyDescent="0.35">
      <c r="A99" s="6" t="s">
        <v>351</v>
      </c>
      <c r="B99" s="6" t="s">
        <v>352</v>
      </c>
      <c r="C99" s="6" t="s">
        <v>353</v>
      </c>
      <c r="D99" s="6" t="s">
        <v>31</v>
      </c>
      <c r="E99" s="7" t="s">
        <v>23</v>
      </c>
      <c r="F99" s="6">
        <v>85254</v>
      </c>
      <c r="G99" s="6" t="s">
        <v>45</v>
      </c>
      <c r="H99" s="6" t="s">
        <v>291</v>
      </c>
      <c r="I99" s="6" t="s">
        <v>26</v>
      </c>
      <c r="J99" s="6" t="b">
        <v>1</v>
      </c>
      <c r="K99" s="6" t="s">
        <v>27</v>
      </c>
      <c r="L99" s="6">
        <v>41.2</v>
      </c>
      <c r="M99" s="6">
        <v>144.19999999999999</v>
      </c>
      <c r="N99" s="8">
        <f t="shared" si="7"/>
        <v>76.679999999999993</v>
      </c>
      <c r="O99" s="8">
        <f t="shared" si="8"/>
        <v>1848.28</v>
      </c>
      <c r="P99" s="8">
        <f t="shared" si="9"/>
        <v>1848.28</v>
      </c>
      <c r="Q99" s="8">
        <f t="shared" si="10"/>
        <v>0</v>
      </c>
      <c r="R99" s="9">
        <f t="shared" si="11"/>
        <v>1848.28</v>
      </c>
      <c r="S99" s="10">
        <f t="shared" si="12"/>
        <v>154.02333333333334</v>
      </c>
      <c r="T99">
        <v>165</v>
      </c>
      <c r="U99">
        <f t="shared" si="13"/>
        <v>20.800000000000011</v>
      </c>
    </row>
    <row r="100" spans="1:21" ht="14.25" customHeight="1" x14ac:dyDescent="0.35">
      <c r="A100" s="6" t="s">
        <v>354</v>
      </c>
      <c r="B100" s="6" t="s">
        <v>355</v>
      </c>
      <c r="C100" s="6" t="s">
        <v>356</v>
      </c>
      <c r="D100" s="6" t="s">
        <v>44</v>
      </c>
      <c r="E100" s="7" t="s">
        <v>23</v>
      </c>
      <c r="F100" s="6">
        <v>85048</v>
      </c>
      <c r="G100" s="6" t="s">
        <v>24</v>
      </c>
      <c r="H100" s="6" t="s">
        <v>161</v>
      </c>
      <c r="I100" s="6" t="s">
        <v>26</v>
      </c>
      <c r="J100" s="6" t="b">
        <v>1</v>
      </c>
      <c r="K100" s="6" t="s">
        <v>27</v>
      </c>
      <c r="L100" s="6">
        <v>41.2</v>
      </c>
      <c r="M100" s="6">
        <v>144.19999999999999</v>
      </c>
      <c r="N100" s="8">
        <f t="shared" si="7"/>
        <v>76.679999999999993</v>
      </c>
      <c r="O100" s="8">
        <f t="shared" si="8"/>
        <v>1848.28</v>
      </c>
      <c r="P100" s="8">
        <f t="shared" si="9"/>
        <v>1848.28</v>
      </c>
      <c r="Q100" s="8">
        <f t="shared" si="10"/>
        <v>0</v>
      </c>
      <c r="R100" s="9">
        <f t="shared" si="11"/>
        <v>1848.28</v>
      </c>
      <c r="S100" s="10">
        <f t="shared" si="12"/>
        <v>154.02333333333334</v>
      </c>
      <c r="T100">
        <v>165</v>
      </c>
      <c r="U100">
        <f t="shared" si="13"/>
        <v>20.800000000000011</v>
      </c>
    </row>
    <row r="101" spans="1:21" ht="14.25" customHeight="1" x14ac:dyDescent="0.35">
      <c r="A101" s="6" t="s">
        <v>357</v>
      </c>
      <c r="B101" s="6" t="s">
        <v>358</v>
      </c>
      <c r="C101" s="6" t="s">
        <v>359</v>
      </c>
      <c r="D101" s="6" t="s">
        <v>71</v>
      </c>
      <c r="E101" s="7" t="s">
        <v>23</v>
      </c>
      <c r="F101" s="6">
        <v>85383</v>
      </c>
      <c r="G101" s="6" t="s">
        <v>78</v>
      </c>
      <c r="H101" s="6" t="s">
        <v>268</v>
      </c>
      <c r="I101" s="6" t="s">
        <v>61</v>
      </c>
      <c r="J101" s="6" t="b">
        <v>1</v>
      </c>
      <c r="K101" s="6" t="s">
        <v>27</v>
      </c>
      <c r="L101" s="6">
        <v>41.2</v>
      </c>
      <c r="M101" s="6">
        <v>144.19999999999999</v>
      </c>
      <c r="N101" s="8">
        <f t="shared" si="7"/>
        <v>76.679999999999993</v>
      </c>
      <c r="O101" s="8">
        <f t="shared" si="8"/>
        <v>1848.28</v>
      </c>
      <c r="P101" s="8">
        <f t="shared" si="9"/>
        <v>1848.28</v>
      </c>
      <c r="Q101" s="8">
        <f t="shared" si="10"/>
        <v>0</v>
      </c>
      <c r="R101" s="9">
        <f t="shared" si="11"/>
        <v>1848.28</v>
      </c>
      <c r="S101" s="10">
        <f t="shared" si="12"/>
        <v>154.02333333333334</v>
      </c>
      <c r="T101">
        <v>165</v>
      </c>
      <c r="U101">
        <f t="shared" si="13"/>
        <v>20.800000000000011</v>
      </c>
    </row>
    <row r="102" spans="1:21" ht="14.25" customHeight="1" x14ac:dyDescent="0.35">
      <c r="A102" s="6" t="s">
        <v>360</v>
      </c>
      <c r="B102" s="6" t="s">
        <v>361</v>
      </c>
      <c r="C102" s="6" t="s">
        <v>362</v>
      </c>
      <c r="D102" s="6" t="s">
        <v>363</v>
      </c>
      <c r="E102" s="7" t="s">
        <v>23</v>
      </c>
      <c r="F102" s="6">
        <v>85282</v>
      </c>
      <c r="G102" s="6" t="s">
        <v>364</v>
      </c>
      <c r="H102" s="6" t="s">
        <v>365</v>
      </c>
      <c r="I102" s="6" t="s">
        <v>26</v>
      </c>
      <c r="J102" s="6" t="b">
        <v>1</v>
      </c>
      <c r="K102" s="6" t="s">
        <v>27</v>
      </c>
      <c r="L102" s="6">
        <v>41.2</v>
      </c>
      <c r="M102" s="6">
        <v>144.19999999999999</v>
      </c>
      <c r="N102" s="8">
        <f t="shared" si="7"/>
        <v>76.679999999999993</v>
      </c>
      <c r="O102" s="8">
        <f t="shared" si="8"/>
        <v>1848.28</v>
      </c>
      <c r="P102" s="8">
        <f t="shared" si="9"/>
        <v>1848.28</v>
      </c>
      <c r="Q102" s="8">
        <f t="shared" si="10"/>
        <v>0</v>
      </c>
      <c r="R102" s="9">
        <f t="shared" si="11"/>
        <v>1848.28</v>
      </c>
      <c r="S102" s="10">
        <f t="shared" si="12"/>
        <v>154.02333333333334</v>
      </c>
      <c r="T102">
        <v>165</v>
      </c>
      <c r="U102">
        <f t="shared" si="13"/>
        <v>20.800000000000011</v>
      </c>
    </row>
    <row r="103" spans="1:21" ht="14.25" customHeight="1" x14ac:dyDescent="0.35">
      <c r="A103" s="6" t="s">
        <v>366</v>
      </c>
      <c r="B103" s="6" t="s">
        <v>367</v>
      </c>
      <c r="C103" s="6" t="s">
        <v>368</v>
      </c>
      <c r="D103" s="6" t="s">
        <v>77</v>
      </c>
      <c r="E103" s="7" t="s">
        <v>23</v>
      </c>
      <c r="F103" s="6">
        <v>85301</v>
      </c>
      <c r="G103" s="6" t="s">
        <v>72</v>
      </c>
      <c r="H103" s="6" t="s">
        <v>93</v>
      </c>
      <c r="I103" s="6" t="s">
        <v>26</v>
      </c>
      <c r="J103" s="6" t="b">
        <v>1</v>
      </c>
      <c r="K103" s="6" t="s">
        <v>27</v>
      </c>
      <c r="L103" s="6">
        <v>41.2</v>
      </c>
      <c r="M103" s="6">
        <v>144.19999999999999</v>
      </c>
      <c r="N103" s="8">
        <f t="shared" si="7"/>
        <v>76.679999999999993</v>
      </c>
      <c r="O103" s="8">
        <f t="shared" si="8"/>
        <v>1848.28</v>
      </c>
      <c r="P103" s="8">
        <f t="shared" si="9"/>
        <v>1848.28</v>
      </c>
      <c r="Q103" s="8">
        <f t="shared" si="10"/>
        <v>0</v>
      </c>
      <c r="R103" s="9">
        <f t="shared" si="11"/>
        <v>1848.28</v>
      </c>
      <c r="S103" s="10">
        <f t="shared" si="12"/>
        <v>154.02333333333334</v>
      </c>
      <c r="T103">
        <v>165</v>
      </c>
      <c r="U103">
        <f t="shared" si="13"/>
        <v>20.800000000000011</v>
      </c>
    </row>
    <row r="104" spans="1:21" ht="14.25" customHeight="1" x14ac:dyDescent="0.35">
      <c r="A104" s="6" t="s">
        <v>493</v>
      </c>
      <c r="B104" s="6" t="s">
        <v>494</v>
      </c>
      <c r="C104" s="6" t="s">
        <v>495</v>
      </c>
      <c r="D104" s="6" t="s">
        <v>31</v>
      </c>
      <c r="E104" s="7" t="s">
        <v>23</v>
      </c>
      <c r="F104" s="6">
        <v>85260</v>
      </c>
      <c r="G104" s="6" t="s">
        <v>45</v>
      </c>
      <c r="H104" s="6" t="s">
        <v>291</v>
      </c>
      <c r="I104" s="6" t="s">
        <v>26</v>
      </c>
      <c r="J104" s="6" t="b">
        <v>1</v>
      </c>
      <c r="K104" s="6" t="s">
        <v>27</v>
      </c>
      <c r="L104" s="6">
        <v>41.2</v>
      </c>
      <c r="M104" s="6">
        <v>144.19999999999999</v>
      </c>
      <c r="N104" s="8">
        <f t="shared" si="7"/>
        <v>76.679999999999993</v>
      </c>
      <c r="O104" s="8">
        <f t="shared" si="8"/>
        <v>1848.28</v>
      </c>
      <c r="P104" s="8">
        <f t="shared" si="9"/>
        <v>1848.28</v>
      </c>
      <c r="Q104" s="8">
        <f t="shared" si="10"/>
        <v>0</v>
      </c>
      <c r="R104" s="9">
        <f t="shared" si="11"/>
        <v>1848.28</v>
      </c>
      <c r="S104" s="10">
        <f t="shared" si="12"/>
        <v>154.02333333333334</v>
      </c>
      <c r="T104">
        <v>165</v>
      </c>
      <c r="U104">
        <f t="shared" si="13"/>
        <v>20.800000000000011</v>
      </c>
    </row>
    <row r="105" spans="1:21" ht="14.25" customHeight="1" x14ac:dyDescent="0.35">
      <c r="A105" s="6" t="s">
        <v>496</v>
      </c>
      <c r="B105" s="6" t="s">
        <v>497</v>
      </c>
      <c r="C105" s="6" t="s">
        <v>498</v>
      </c>
      <c r="D105" s="6" t="s">
        <v>44</v>
      </c>
      <c r="E105" s="7" t="s">
        <v>23</v>
      </c>
      <c r="F105" s="6">
        <v>85020</v>
      </c>
      <c r="G105" s="6" t="s">
        <v>173</v>
      </c>
      <c r="H105" s="6" t="s">
        <v>79</v>
      </c>
      <c r="I105" s="6" t="s">
        <v>26</v>
      </c>
      <c r="J105" s="6" t="b">
        <v>1</v>
      </c>
      <c r="K105" s="6" t="s">
        <v>27</v>
      </c>
      <c r="L105" s="6">
        <v>41.2</v>
      </c>
      <c r="M105" s="6">
        <v>144.19999999999999</v>
      </c>
      <c r="N105" s="8">
        <f t="shared" si="7"/>
        <v>76.679999999999993</v>
      </c>
      <c r="O105" s="8">
        <f t="shared" si="8"/>
        <v>1848.28</v>
      </c>
      <c r="P105" s="8">
        <f t="shared" si="9"/>
        <v>1848.28</v>
      </c>
      <c r="Q105" s="8">
        <f t="shared" si="10"/>
        <v>0</v>
      </c>
      <c r="R105" s="9">
        <f t="shared" si="11"/>
        <v>1848.28</v>
      </c>
      <c r="S105" s="10">
        <f t="shared" si="12"/>
        <v>154.02333333333334</v>
      </c>
      <c r="T105">
        <v>165</v>
      </c>
      <c r="U105">
        <f t="shared" si="13"/>
        <v>20.800000000000011</v>
      </c>
    </row>
    <row r="106" spans="1:21" ht="14.25" customHeight="1" x14ac:dyDescent="0.35">
      <c r="A106" s="6" t="s">
        <v>499</v>
      </c>
      <c r="B106" s="6" t="s">
        <v>500</v>
      </c>
      <c r="C106" s="6" t="s">
        <v>501</v>
      </c>
      <c r="D106" s="6" t="s">
        <v>44</v>
      </c>
      <c r="E106" s="7" t="s">
        <v>23</v>
      </c>
      <c r="F106" s="6">
        <v>85048</v>
      </c>
      <c r="G106" s="6" t="s">
        <v>24</v>
      </c>
      <c r="H106" s="6" t="s">
        <v>161</v>
      </c>
      <c r="I106" s="6" t="s">
        <v>26</v>
      </c>
      <c r="J106" s="6" t="b">
        <v>1</v>
      </c>
      <c r="K106" s="6" t="s">
        <v>27</v>
      </c>
      <c r="L106" s="6">
        <v>41.2</v>
      </c>
      <c r="M106" s="6">
        <v>144.19999999999999</v>
      </c>
      <c r="N106" s="8">
        <f t="shared" si="7"/>
        <v>76.679999999999993</v>
      </c>
      <c r="O106" s="8">
        <f t="shared" si="8"/>
        <v>1848.28</v>
      </c>
      <c r="P106" s="8">
        <f t="shared" si="9"/>
        <v>1848.28</v>
      </c>
      <c r="Q106" s="8">
        <f t="shared" si="10"/>
        <v>0</v>
      </c>
      <c r="R106" s="9">
        <f t="shared" si="11"/>
        <v>1848.28</v>
      </c>
      <c r="S106" s="10">
        <f t="shared" si="12"/>
        <v>154.02333333333334</v>
      </c>
      <c r="T106">
        <v>165</v>
      </c>
      <c r="U106">
        <f t="shared" si="13"/>
        <v>20.800000000000011</v>
      </c>
    </row>
    <row r="107" spans="1:21" ht="14.25" customHeight="1" x14ac:dyDescent="0.35">
      <c r="A107" s="6" t="s">
        <v>502</v>
      </c>
      <c r="B107" s="6" t="s">
        <v>503</v>
      </c>
      <c r="C107" s="6" t="s">
        <v>504</v>
      </c>
      <c r="D107" s="6" t="s">
        <v>44</v>
      </c>
      <c r="E107" s="7" t="s">
        <v>23</v>
      </c>
      <c r="F107" s="6">
        <v>85018</v>
      </c>
      <c r="G107" s="6" t="s">
        <v>49</v>
      </c>
      <c r="H107" s="6" t="s">
        <v>202</v>
      </c>
      <c r="I107" s="6" t="s">
        <v>26</v>
      </c>
      <c r="J107" s="6" t="b">
        <v>1</v>
      </c>
      <c r="K107" s="6" t="s">
        <v>27</v>
      </c>
      <c r="L107" s="6">
        <v>41.2</v>
      </c>
      <c r="M107" s="6">
        <v>144.19999999999999</v>
      </c>
      <c r="N107" s="8">
        <f t="shared" si="7"/>
        <v>76.679999999999993</v>
      </c>
      <c r="O107" s="8">
        <f t="shared" si="8"/>
        <v>1848.28</v>
      </c>
      <c r="P107" s="8">
        <f t="shared" si="9"/>
        <v>1848.28</v>
      </c>
      <c r="Q107" s="8">
        <f t="shared" si="10"/>
        <v>0</v>
      </c>
      <c r="R107" s="9">
        <f t="shared" si="11"/>
        <v>1848.28</v>
      </c>
      <c r="S107" s="10">
        <f t="shared" si="12"/>
        <v>154.02333333333334</v>
      </c>
      <c r="T107">
        <v>165</v>
      </c>
      <c r="U107">
        <f t="shared" si="13"/>
        <v>20.800000000000011</v>
      </c>
    </row>
    <row r="108" spans="1:21" ht="14.25" customHeight="1" x14ac:dyDescent="0.35">
      <c r="A108" s="6" t="s">
        <v>505</v>
      </c>
      <c r="B108" s="6" t="s">
        <v>506</v>
      </c>
      <c r="C108" s="6" t="s">
        <v>507</v>
      </c>
      <c r="D108" s="6" t="s">
        <v>37</v>
      </c>
      <c r="E108" s="7" t="s">
        <v>23</v>
      </c>
      <c r="F108" s="6">
        <v>85323</v>
      </c>
      <c r="G108" s="6" t="s">
        <v>38</v>
      </c>
      <c r="H108" s="6" t="s">
        <v>378</v>
      </c>
      <c r="I108" s="6" t="s">
        <v>61</v>
      </c>
      <c r="J108" s="6" t="b">
        <v>1</v>
      </c>
      <c r="K108" s="6" t="s">
        <v>27</v>
      </c>
      <c r="L108" s="6">
        <v>41.2</v>
      </c>
      <c r="M108" s="6">
        <v>144.19999999999999</v>
      </c>
      <c r="N108" s="8">
        <f t="shared" si="7"/>
        <v>76.679999999999993</v>
      </c>
      <c r="O108" s="8">
        <f t="shared" si="8"/>
        <v>1848.28</v>
      </c>
      <c r="P108" s="8">
        <f t="shared" si="9"/>
        <v>1848.28</v>
      </c>
      <c r="Q108" s="8">
        <f t="shared" si="10"/>
        <v>0</v>
      </c>
      <c r="R108" s="9">
        <f t="shared" si="11"/>
        <v>1848.28</v>
      </c>
      <c r="S108" s="10">
        <f t="shared" si="12"/>
        <v>154.02333333333334</v>
      </c>
      <c r="T108">
        <v>165</v>
      </c>
      <c r="U108">
        <f t="shared" si="13"/>
        <v>20.800000000000011</v>
      </c>
    </row>
    <row r="109" spans="1:21" ht="14.25" customHeight="1" x14ac:dyDescent="0.35">
      <c r="A109" s="6" t="s">
        <v>508</v>
      </c>
      <c r="B109" s="6" t="s">
        <v>509</v>
      </c>
      <c r="C109" s="6" t="s">
        <v>510</v>
      </c>
      <c r="D109" s="6" t="s">
        <v>37</v>
      </c>
      <c r="E109" s="7" t="s">
        <v>23</v>
      </c>
      <c r="F109" s="6">
        <v>85323</v>
      </c>
      <c r="G109" s="6" t="s">
        <v>38</v>
      </c>
      <c r="H109" s="6" t="s">
        <v>378</v>
      </c>
      <c r="I109" s="6" t="s">
        <v>61</v>
      </c>
      <c r="J109" s="6" t="b">
        <v>1</v>
      </c>
      <c r="K109" s="6" t="s">
        <v>27</v>
      </c>
      <c r="L109" s="6">
        <v>41.2</v>
      </c>
      <c r="M109" s="6">
        <v>144.19999999999999</v>
      </c>
      <c r="N109" s="8">
        <f t="shared" si="7"/>
        <v>76.679999999999993</v>
      </c>
      <c r="O109" s="8">
        <f t="shared" si="8"/>
        <v>1848.28</v>
      </c>
      <c r="P109" s="8">
        <f t="shared" si="9"/>
        <v>1848.28</v>
      </c>
      <c r="Q109" s="8">
        <f t="shared" si="10"/>
        <v>0</v>
      </c>
      <c r="R109" s="9">
        <f t="shared" si="11"/>
        <v>1848.28</v>
      </c>
      <c r="S109" s="10">
        <f t="shared" si="12"/>
        <v>154.02333333333334</v>
      </c>
      <c r="T109">
        <v>165</v>
      </c>
      <c r="U109">
        <f t="shared" si="13"/>
        <v>20.800000000000011</v>
      </c>
    </row>
    <row r="110" spans="1:21" ht="14.25" customHeight="1" x14ac:dyDescent="0.35">
      <c r="A110" s="6" t="s">
        <v>511</v>
      </c>
      <c r="B110" s="6" t="s">
        <v>512</v>
      </c>
      <c r="C110" s="6" t="s">
        <v>513</v>
      </c>
      <c r="D110" s="6" t="s">
        <v>165</v>
      </c>
      <c r="E110" s="7" t="s">
        <v>23</v>
      </c>
      <c r="F110" s="6">
        <v>85233</v>
      </c>
      <c r="G110" s="6" t="s">
        <v>24</v>
      </c>
      <c r="H110" s="6" t="s">
        <v>25</v>
      </c>
      <c r="I110" s="6" t="s">
        <v>26</v>
      </c>
      <c r="J110" s="6" t="b">
        <v>1</v>
      </c>
      <c r="K110" s="6" t="s">
        <v>27</v>
      </c>
      <c r="L110" s="6">
        <v>41.2</v>
      </c>
      <c r="M110" s="6">
        <v>144.19999999999999</v>
      </c>
      <c r="N110" s="8">
        <f t="shared" si="7"/>
        <v>76.679999999999993</v>
      </c>
      <c r="O110" s="8">
        <f t="shared" si="8"/>
        <v>1848.28</v>
      </c>
      <c r="P110" s="8">
        <f t="shared" si="9"/>
        <v>1848.28</v>
      </c>
      <c r="Q110" s="8">
        <f t="shared" si="10"/>
        <v>0</v>
      </c>
      <c r="R110" s="9">
        <f t="shared" si="11"/>
        <v>1848.28</v>
      </c>
      <c r="S110" s="10">
        <f t="shared" si="12"/>
        <v>154.02333333333334</v>
      </c>
      <c r="T110">
        <v>165</v>
      </c>
      <c r="U110">
        <f t="shared" si="13"/>
        <v>20.800000000000011</v>
      </c>
    </row>
    <row r="111" spans="1:21" ht="14.25" customHeight="1" x14ac:dyDescent="0.35">
      <c r="A111" s="6" t="s">
        <v>514</v>
      </c>
      <c r="B111" s="6" t="s">
        <v>515</v>
      </c>
      <c r="C111" s="6" t="s">
        <v>516</v>
      </c>
      <c r="D111" s="6" t="s">
        <v>363</v>
      </c>
      <c r="E111" s="7" t="s">
        <v>23</v>
      </c>
      <c r="F111" s="6">
        <v>85281</v>
      </c>
      <c r="G111" s="6" t="s">
        <v>364</v>
      </c>
      <c r="H111" s="6" t="s">
        <v>365</v>
      </c>
      <c r="I111" s="6" t="s">
        <v>26</v>
      </c>
      <c r="J111" s="6" t="b">
        <v>1</v>
      </c>
      <c r="K111" s="6" t="s">
        <v>27</v>
      </c>
      <c r="L111" s="6">
        <v>41.2</v>
      </c>
      <c r="M111" s="6">
        <v>144.19999999999999</v>
      </c>
      <c r="N111" s="8">
        <f t="shared" si="7"/>
        <v>76.679999999999993</v>
      </c>
      <c r="O111" s="8">
        <f t="shared" si="8"/>
        <v>1848.28</v>
      </c>
      <c r="P111" s="8">
        <f t="shared" si="9"/>
        <v>1848.28</v>
      </c>
      <c r="Q111" s="8">
        <f t="shared" si="10"/>
        <v>0</v>
      </c>
      <c r="R111" s="9">
        <f t="shared" si="11"/>
        <v>1848.28</v>
      </c>
      <c r="S111" s="10">
        <f t="shared" si="12"/>
        <v>154.02333333333334</v>
      </c>
      <c r="T111">
        <v>165</v>
      </c>
      <c r="U111">
        <f t="shared" si="13"/>
        <v>20.800000000000011</v>
      </c>
    </row>
    <row r="112" spans="1:21" ht="14.25" customHeight="1" x14ac:dyDescent="0.35">
      <c r="A112" s="6" t="s">
        <v>517</v>
      </c>
      <c r="B112" s="6" t="s">
        <v>518</v>
      </c>
      <c r="C112" s="6" t="s">
        <v>519</v>
      </c>
      <c r="D112" s="6" t="s">
        <v>44</v>
      </c>
      <c r="E112" s="7" t="s">
        <v>23</v>
      </c>
      <c r="F112" s="6">
        <v>85050</v>
      </c>
      <c r="G112" s="6" t="s">
        <v>32</v>
      </c>
      <c r="H112" s="6" t="s">
        <v>169</v>
      </c>
      <c r="I112" s="6" t="s">
        <v>26</v>
      </c>
      <c r="J112" s="6" t="b">
        <v>1</v>
      </c>
      <c r="K112" s="6" t="s">
        <v>27</v>
      </c>
      <c r="L112" s="6">
        <v>41.2</v>
      </c>
      <c r="M112" s="6">
        <v>144.19999999999999</v>
      </c>
      <c r="N112" s="8">
        <f t="shared" si="7"/>
        <v>76.679999999999993</v>
      </c>
      <c r="O112" s="8">
        <f t="shared" si="8"/>
        <v>1848.28</v>
      </c>
      <c r="P112" s="8">
        <f t="shared" si="9"/>
        <v>1848.28</v>
      </c>
      <c r="Q112" s="8">
        <f t="shared" si="10"/>
        <v>0</v>
      </c>
      <c r="R112" s="9">
        <f t="shared" si="11"/>
        <v>1848.28</v>
      </c>
      <c r="S112" s="10">
        <f t="shared" si="12"/>
        <v>154.02333333333334</v>
      </c>
      <c r="T112">
        <v>165</v>
      </c>
      <c r="U112">
        <f t="shared" si="13"/>
        <v>20.800000000000011</v>
      </c>
    </row>
    <row r="113" spans="1:21" ht="14.25" customHeight="1" x14ac:dyDescent="0.35">
      <c r="A113" s="6" t="s">
        <v>520</v>
      </c>
      <c r="B113" s="6" t="s">
        <v>521</v>
      </c>
      <c r="C113" s="6" t="s">
        <v>522</v>
      </c>
      <c r="D113" s="6" t="s">
        <v>31</v>
      </c>
      <c r="E113" s="7" t="s">
        <v>23</v>
      </c>
      <c r="F113" s="6">
        <v>85254</v>
      </c>
      <c r="G113" s="6" t="s">
        <v>45</v>
      </c>
      <c r="H113" s="6" t="s">
        <v>291</v>
      </c>
      <c r="I113" s="6" t="s">
        <v>26</v>
      </c>
      <c r="J113" s="6" t="b">
        <v>1</v>
      </c>
      <c r="K113" s="6" t="s">
        <v>27</v>
      </c>
      <c r="L113" s="6">
        <v>41.2</v>
      </c>
      <c r="M113" s="6">
        <v>144.19999999999999</v>
      </c>
      <c r="N113" s="8">
        <f t="shared" si="7"/>
        <v>76.679999999999993</v>
      </c>
      <c r="O113" s="8">
        <f t="shared" si="8"/>
        <v>1848.28</v>
      </c>
      <c r="P113" s="8">
        <f t="shared" si="9"/>
        <v>1848.28</v>
      </c>
      <c r="Q113" s="8">
        <f t="shared" si="10"/>
        <v>0</v>
      </c>
      <c r="R113" s="9">
        <f t="shared" si="11"/>
        <v>1848.28</v>
      </c>
      <c r="S113" s="10">
        <f t="shared" si="12"/>
        <v>154.02333333333334</v>
      </c>
      <c r="T113">
        <v>165</v>
      </c>
      <c r="U113">
        <f t="shared" si="13"/>
        <v>20.800000000000011</v>
      </c>
    </row>
    <row r="114" spans="1:21" ht="14.25" customHeight="1" x14ac:dyDescent="0.35">
      <c r="A114" s="6" t="s">
        <v>523</v>
      </c>
      <c r="B114" s="6" t="s">
        <v>524</v>
      </c>
      <c r="C114" s="6" t="s">
        <v>525</v>
      </c>
      <c r="D114" s="6" t="s">
        <v>31</v>
      </c>
      <c r="E114" s="7" t="s">
        <v>23</v>
      </c>
      <c r="F114" s="6">
        <v>85255</v>
      </c>
      <c r="G114" s="6" t="s">
        <v>32</v>
      </c>
      <c r="H114" s="6" t="s">
        <v>33</v>
      </c>
      <c r="I114" s="6" t="s">
        <v>26</v>
      </c>
      <c r="J114" s="6" t="b">
        <v>1</v>
      </c>
      <c r="K114" s="6" t="s">
        <v>27</v>
      </c>
      <c r="L114" s="6">
        <v>41.2</v>
      </c>
      <c r="M114" s="6">
        <v>144.19999999999999</v>
      </c>
      <c r="N114" s="8">
        <f t="shared" si="7"/>
        <v>76.679999999999993</v>
      </c>
      <c r="O114" s="8">
        <f t="shared" si="8"/>
        <v>1848.28</v>
      </c>
      <c r="P114" s="8">
        <f t="shared" si="9"/>
        <v>1848.28</v>
      </c>
      <c r="Q114" s="8">
        <f t="shared" si="10"/>
        <v>0</v>
      </c>
      <c r="R114" s="9">
        <f t="shared" si="11"/>
        <v>1848.28</v>
      </c>
      <c r="S114" s="10">
        <f t="shared" si="12"/>
        <v>154.02333333333334</v>
      </c>
      <c r="T114">
        <v>165</v>
      </c>
      <c r="U114">
        <f t="shared" si="13"/>
        <v>20.800000000000011</v>
      </c>
    </row>
    <row r="115" spans="1:21" ht="14.25" customHeight="1" x14ac:dyDescent="0.35">
      <c r="A115" s="6" t="s">
        <v>526</v>
      </c>
      <c r="B115" s="6" t="s">
        <v>527</v>
      </c>
      <c r="C115" s="6" t="s">
        <v>528</v>
      </c>
      <c r="D115" s="6" t="s">
        <v>37</v>
      </c>
      <c r="E115" s="7" t="s">
        <v>23</v>
      </c>
      <c r="F115" s="6">
        <v>85392</v>
      </c>
      <c r="G115" s="6" t="s">
        <v>38</v>
      </c>
      <c r="H115" s="6" t="s">
        <v>378</v>
      </c>
      <c r="J115" s="6" t="b">
        <v>1</v>
      </c>
      <c r="K115" s="6" t="s">
        <v>27</v>
      </c>
      <c r="L115" s="6">
        <v>41.2</v>
      </c>
      <c r="M115" s="6">
        <v>144.19999999999999</v>
      </c>
      <c r="N115" s="8">
        <f t="shared" si="7"/>
        <v>76.679999999999993</v>
      </c>
      <c r="O115" s="8">
        <f t="shared" si="8"/>
        <v>1848.28</v>
      </c>
      <c r="P115" s="8">
        <f t="shared" si="9"/>
        <v>1848.28</v>
      </c>
      <c r="Q115" s="8">
        <f t="shared" si="10"/>
        <v>0</v>
      </c>
      <c r="R115" s="9">
        <f t="shared" si="11"/>
        <v>1848.28</v>
      </c>
      <c r="S115" s="10">
        <f t="shared" si="12"/>
        <v>154.02333333333334</v>
      </c>
      <c r="T115">
        <v>165</v>
      </c>
      <c r="U115">
        <f t="shared" si="13"/>
        <v>20.800000000000011</v>
      </c>
    </row>
    <row r="116" spans="1:21" ht="14.25" customHeight="1" x14ac:dyDescent="0.35">
      <c r="A116" s="6" t="s">
        <v>529</v>
      </c>
      <c r="B116" s="6" t="s">
        <v>530</v>
      </c>
      <c r="C116" s="6" t="s">
        <v>531</v>
      </c>
      <c r="D116" s="6" t="s">
        <v>363</v>
      </c>
      <c r="E116" s="7" t="s">
        <v>23</v>
      </c>
      <c r="F116" s="6">
        <v>85284</v>
      </c>
      <c r="G116" s="6" t="s">
        <v>24</v>
      </c>
      <c r="H116" s="6" t="s">
        <v>25</v>
      </c>
      <c r="I116" s="6" t="s">
        <v>26</v>
      </c>
      <c r="J116" s="6" t="b">
        <v>1</v>
      </c>
      <c r="K116" s="6" t="s">
        <v>27</v>
      </c>
      <c r="L116" s="6">
        <v>41.2</v>
      </c>
      <c r="M116" s="6">
        <v>144.19999999999999</v>
      </c>
      <c r="N116" s="8">
        <f t="shared" si="7"/>
        <v>76.679999999999993</v>
      </c>
      <c r="O116" s="8">
        <f t="shared" si="8"/>
        <v>1848.28</v>
      </c>
      <c r="P116" s="8">
        <f t="shared" si="9"/>
        <v>1848.28</v>
      </c>
      <c r="Q116" s="8">
        <f t="shared" si="10"/>
        <v>0</v>
      </c>
      <c r="R116" s="9">
        <f t="shared" si="11"/>
        <v>1848.28</v>
      </c>
      <c r="S116" s="10">
        <f t="shared" si="12"/>
        <v>154.02333333333334</v>
      </c>
      <c r="T116">
        <v>165</v>
      </c>
      <c r="U116">
        <f t="shared" si="13"/>
        <v>20.800000000000011</v>
      </c>
    </row>
    <row r="117" spans="1:21" ht="14.25" customHeight="1" x14ac:dyDescent="0.35">
      <c r="A117" s="6" t="s">
        <v>532</v>
      </c>
      <c r="B117" s="6" t="s">
        <v>533</v>
      </c>
      <c r="C117" s="6" t="s">
        <v>534</v>
      </c>
      <c r="D117" s="6" t="s">
        <v>535</v>
      </c>
      <c r="E117" s="7" t="s">
        <v>23</v>
      </c>
      <c r="F117" s="6">
        <v>85375</v>
      </c>
      <c r="G117" s="6" t="s">
        <v>78</v>
      </c>
      <c r="H117" s="6" t="s">
        <v>268</v>
      </c>
      <c r="I117" s="6" t="s">
        <v>57</v>
      </c>
      <c r="J117" s="6" t="b">
        <v>1</v>
      </c>
      <c r="K117" s="6" t="s">
        <v>27</v>
      </c>
      <c r="L117" s="6">
        <v>41.2</v>
      </c>
      <c r="M117" s="6">
        <v>144.19999999999999</v>
      </c>
      <c r="N117" s="8">
        <f t="shared" si="7"/>
        <v>76.679999999999993</v>
      </c>
      <c r="O117" s="8">
        <f t="shared" si="8"/>
        <v>1848.28</v>
      </c>
      <c r="P117" s="8">
        <f t="shared" si="9"/>
        <v>1848.28</v>
      </c>
      <c r="Q117" s="8">
        <f t="shared" si="10"/>
        <v>0</v>
      </c>
      <c r="R117" s="9">
        <f t="shared" si="11"/>
        <v>1848.28</v>
      </c>
      <c r="S117" s="10">
        <f t="shared" si="12"/>
        <v>154.02333333333334</v>
      </c>
      <c r="T117">
        <v>165</v>
      </c>
      <c r="U117">
        <f t="shared" si="13"/>
        <v>20.800000000000011</v>
      </c>
    </row>
    <row r="118" spans="1:21" ht="14.25" customHeight="1" x14ac:dyDescent="0.35">
      <c r="A118" s="6" t="s">
        <v>536</v>
      </c>
      <c r="B118" s="6" t="s">
        <v>537</v>
      </c>
      <c r="C118" s="6" t="s">
        <v>538</v>
      </c>
      <c r="D118" s="6" t="s">
        <v>363</v>
      </c>
      <c r="E118" s="7" t="s">
        <v>23</v>
      </c>
      <c r="F118" s="6">
        <v>85283</v>
      </c>
      <c r="G118" s="6" t="s">
        <v>364</v>
      </c>
      <c r="H118" s="6" t="s">
        <v>365</v>
      </c>
      <c r="I118" s="6" t="s">
        <v>26</v>
      </c>
      <c r="J118" s="6" t="b">
        <v>1</v>
      </c>
      <c r="K118" s="6" t="s">
        <v>27</v>
      </c>
      <c r="L118" s="6">
        <v>41.2</v>
      </c>
      <c r="M118" s="6">
        <v>144.19999999999999</v>
      </c>
      <c r="N118" s="8">
        <f t="shared" si="7"/>
        <v>76.679999999999993</v>
      </c>
      <c r="O118" s="8">
        <f t="shared" si="8"/>
        <v>1848.28</v>
      </c>
      <c r="P118" s="8">
        <f t="shared" si="9"/>
        <v>1848.28</v>
      </c>
      <c r="Q118" s="8">
        <f t="shared" si="10"/>
        <v>0</v>
      </c>
      <c r="R118" s="9">
        <f t="shared" si="11"/>
        <v>1848.28</v>
      </c>
      <c r="S118" s="10">
        <f t="shared" si="12"/>
        <v>154.02333333333334</v>
      </c>
      <c r="T118">
        <v>165</v>
      </c>
      <c r="U118">
        <f t="shared" si="13"/>
        <v>20.800000000000011</v>
      </c>
    </row>
    <row r="119" spans="1:21" ht="14.25" customHeight="1" x14ac:dyDescent="0.35">
      <c r="A119" s="6" t="s">
        <v>539</v>
      </c>
      <c r="B119" s="6" t="s">
        <v>540</v>
      </c>
      <c r="C119" s="6" t="s">
        <v>541</v>
      </c>
      <c r="D119" s="6" t="s">
        <v>31</v>
      </c>
      <c r="E119" s="7" t="s">
        <v>23</v>
      </c>
      <c r="F119" s="6">
        <v>85254</v>
      </c>
      <c r="G119" s="6" t="s">
        <v>45</v>
      </c>
      <c r="H119" s="6" t="s">
        <v>169</v>
      </c>
      <c r="I119" s="6" t="s">
        <v>26</v>
      </c>
      <c r="J119" s="6" t="b">
        <v>1</v>
      </c>
      <c r="K119" s="6" t="s">
        <v>27</v>
      </c>
      <c r="L119" s="6">
        <v>41.2</v>
      </c>
      <c r="M119" s="6">
        <v>144.19999999999999</v>
      </c>
      <c r="N119" s="8">
        <f t="shared" si="7"/>
        <v>76.679999999999993</v>
      </c>
      <c r="O119" s="8">
        <f t="shared" si="8"/>
        <v>1848.28</v>
      </c>
      <c r="P119" s="8">
        <f t="shared" si="9"/>
        <v>1848.28</v>
      </c>
      <c r="Q119" s="8">
        <f t="shared" si="10"/>
        <v>0</v>
      </c>
      <c r="R119" s="9">
        <f t="shared" si="11"/>
        <v>1848.28</v>
      </c>
      <c r="S119" s="10">
        <f t="shared" si="12"/>
        <v>154.02333333333334</v>
      </c>
      <c r="T119">
        <v>165</v>
      </c>
      <c r="U119">
        <f t="shared" si="13"/>
        <v>20.800000000000011</v>
      </c>
    </row>
    <row r="120" spans="1:21" ht="14.25" customHeight="1" x14ac:dyDescent="0.35">
      <c r="A120" s="6" t="s">
        <v>542</v>
      </c>
      <c r="B120" s="6" t="s">
        <v>543</v>
      </c>
      <c r="C120" s="6" t="s">
        <v>544</v>
      </c>
      <c r="D120" s="6" t="s">
        <v>44</v>
      </c>
      <c r="E120" s="7" t="s">
        <v>23</v>
      </c>
      <c r="F120" s="6">
        <v>85053</v>
      </c>
      <c r="G120" s="6" t="s">
        <v>78</v>
      </c>
      <c r="H120" s="6" t="s">
        <v>93</v>
      </c>
      <c r="I120" s="6" t="s">
        <v>110</v>
      </c>
      <c r="J120" s="6" t="b">
        <v>1</v>
      </c>
      <c r="K120" s="6" t="s">
        <v>27</v>
      </c>
      <c r="L120" s="6">
        <v>41.2</v>
      </c>
      <c r="M120" s="6">
        <v>144.19999999999999</v>
      </c>
      <c r="N120" s="8">
        <f t="shared" si="7"/>
        <v>76.679999999999993</v>
      </c>
      <c r="O120" s="8">
        <f t="shared" si="8"/>
        <v>1848.28</v>
      </c>
      <c r="P120" s="8">
        <f t="shared" si="9"/>
        <v>1848.28</v>
      </c>
      <c r="Q120" s="8">
        <f t="shared" si="10"/>
        <v>0</v>
      </c>
      <c r="R120" s="9">
        <f t="shared" si="11"/>
        <v>1848.28</v>
      </c>
      <c r="S120" s="10">
        <f t="shared" si="12"/>
        <v>154.02333333333334</v>
      </c>
      <c r="T120">
        <v>165</v>
      </c>
      <c r="U120">
        <f t="shared" si="13"/>
        <v>20.800000000000011</v>
      </c>
    </row>
    <row r="121" spans="1:21" ht="14.25" customHeight="1" x14ac:dyDescent="0.35">
      <c r="A121" s="6" t="s">
        <v>545</v>
      </c>
      <c r="B121" s="6" t="s">
        <v>546</v>
      </c>
      <c r="C121" s="6" t="s">
        <v>547</v>
      </c>
      <c r="D121" s="6" t="s">
        <v>31</v>
      </c>
      <c r="E121" s="7" t="s">
        <v>23</v>
      </c>
      <c r="F121" s="6">
        <v>85255</v>
      </c>
      <c r="G121" s="6" t="s">
        <v>32</v>
      </c>
      <c r="H121" s="6" t="s">
        <v>33</v>
      </c>
      <c r="I121" s="6" t="s">
        <v>110</v>
      </c>
      <c r="J121" s="6" t="b">
        <v>1</v>
      </c>
      <c r="K121" s="6" t="s">
        <v>27</v>
      </c>
      <c r="L121" s="6">
        <v>41.2</v>
      </c>
      <c r="M121" s="6">
        <v>144.19999999999999</v>
      </c>
      <c r="N121" s="8">
        <f t="shared" si="7"/>
        <v>76.679999999999993</v>
      </c>
      <c r="O121" s="8">
        <f t="shared" si="8"/>
        <v>1848.28</v>
      </c>
      <c r="P121" s="8">
        <f t="shared" si="9"/>
        <v>1848.28</v>
      </c>
      <c r="Q121" s="8">
        <f t="shared" si="10"/>
        <v>0</v>
      </c>
      <c r="R121" s="9">
        <f t="shared" si="11"/>
        <v>1848.28</v>
      </c>
      <c r="S121" s="10">
        <f t="shared" si="12"/>
        <v>154.02333333333334</v>
      </c>
      <c r="T121">
        <v>165</v>
      </c>
      <c r="U121">
        <f t="shared" si="13"/>
        <v>20.800000000000011</v>
      </c>
    </row>
    <row r="122" spans="1:21" ht="14.25" customHeight="1" x14ac:dyDescent="0.35">
      <c r="A122" s="6" t="s">
        <v>548</v>
      </c>
      <c r="B122" s="6" t="s">
        <v>549</v>
      </c>
      <c r="C122" s="6" t="s">
        <v>550</v>
      </c>
      <c r="D122" s="6" t="s">
        <v>31</v>
      </c>
      <c r="E122" s="7" t="s">
        <v>23</v>
      </c>
      <c r="F122" s="6">
        <v>85255</v>
      </c>
      <c r="G122" s="6" t="s">
        <v>32</v>
      </c>
      <c r="H122" s="6" t="s">
        <v>33</v>
      </c>
      <c r="I122" s="6" t="s">
        <v>26</v>
      </c>
      <c r="J122" s="6" t="b">
        <v>1</v>
      </c>
      <c r="K122" s="6" t="s">
        <v>27</v>
      </c>
      <c r="L122" s="6">
        <v>41.2</v>
      </c>
      <c r="M122" s="6">
        <v>144.19999999999999</v>
      </c>
      <c r="N122" s="8">
        <f t="shared" si="7"/>
        <v>76.679999999999993</v>
      </c>
      <c r="O122" s="8">
        <f t="shared" si="8"/>
        <v>1848.28</v>
      </c>
      <c r="P122" s="8">
        <f t="shared" si="9"/>
        <v>1848.28</v>
      </c>
      <c r="Q122" s="8">
        <f t="shared" si="10"/>
        <v>0</v>
      </c>
      <c r="R122" s="9">
        <f t="shared" si="11"/>
        <v>1848.28</v>
      </c>
      <c r="S122" s="10">
        <f t="shared" si="12"/>
        <v>154.02333333333334</v>
      </c>
      <c r="T122">
        <v>165</v>
      </c>
      <c r="U122">
        <f t="shared" si="13"/>
        <v>20.800000000000011</v>
      </c>
    </row>
    <row r="123" spans="1:21" ht="14.25" customHeight="1" x14ac:dyDescent="0.35">
      <c r="A123" s="6" t="s">
        <v>551</v>
      </c>
      <c r="B123" s="6" t="s">
        <v>552</v>
      </c>
      <c r="C123" s="6" t="s">
        <v>553</v>
      </c>
      <c r="D123" s="6" t="s">
        <v>44</v>
      </c>
      <c r="E123" s="7" t="s">
        <v>23</v>
      </c>
      <c r="F123" s="6">
        <v>85044</v>
      </c>
      <c r="G123" s="6" t="s">
        <v>24</v>
      </c>
      <c r="H123" s="6" t="s">
        <v>161</v>
      </c>
      <c r="I123" s="6" t="s">
        <v>26</v>
      </c>
      <c r="J123" s="6" t="b">
        <v>1</v>
      </c>
      <c r="K123" s="6" t="s">
        <v>27</v>
      </c>
      <c r="L123" s="6">
        <v>41.2</v>
      </c>
      <c r="M123" s="6">
        <v>144.19999999999999</v>
      </c>
      <c r="N123" s="8">
        <f t="shared" si="7"/>
        <v>76.679999999999993</v>
      </c>
      <c r="O123" s="8">
        <f t="shared" si="8"/>
        <v>1848.28</v>
      </c>
      <c r="P123" s="8">
        <f t="shared" si="9"/>
        <v>1848.28</v>
      </c>
      <c r="Q123" s="8">
        <f t="shared" si="10"/>
        <v>0</v>
      </c>
      <c r="R123" s="9">
        <f t="shared" si="11"/>
        <v>1848.28</v>
      </c>
      <c r="S123" s="10">
        <f t="shared" si="12"/>
        <v>154.02333333333334</v>
      </c>
      <c r="T123">
        <v>165</v>
      </c>
      <c r="U123">
        <f t="shared" si="13"/>
        <v>20.800000000000011</v>
      </c>
    </row>
    <row r="124" spans="1:21" ht="14.25" customHeight="1" x14ac:dyDescent="0.35">
      <c r="A124" s="6" t="s">
        <v>554</v>
      </c>
      <c r="B124" s="6" t="s">
        <v>555</v>
      </c>
      <c r="C124" s="6" t="s">
        <v>556</v>
      </c>
      <c r="D124" s="6" t="s">
        <v>454</v>
      </c>
      <c r="E124" s="7" t="s">
        <v>23</v>
      </c>
      <c r="F124" s="6">
        <v>85395</v>
      </c>
      <c r="G124" s="6" t="s">
        <v>38</v>
      </c>
      <c r="H124" s="6" t="s">
        <v>378</v>
      </c>
      <c r="I124" s="6" t="s">
        <v>26</v>
      </c>
      <c r="J124" s="6" t="b">
        <v>1</v>
      </c>
      <c r="K124" s="6" t="s">
        <v>27</v>
      </c>
      <c r="L124" s="6">
        <v>41.2</v>
      </c>
      <c r="M124" s="6">
        <v>144.19999999999999</v>
      </c>
      <c r="N124" s="8">
        <f t="shared" si="7"/>
        <v>76.679999999999993</v>
      </c>
      <c r="O124" s="8">
        <f t="shared" si="8"/>
        <v>1848.28</v>
      </c>
      <c r="P124" s="8">
        <f t="shared" si="9"/>
        <v>1848.28</v>
      </c>
      <c r="Q124" s="8">
        <f t="shared" si="10"/>
        <v>0</v>
      </c>
      <c r="R124" s="9">
        <f t="shared" si="11"/>
        <v>1848.28</v>
      </c>
      <c r="S124" s="10">
        <f t="shared" si="12"/>
        <v>154.02333333333334</v>
      </c>
      <c r="T124">
        <v>165</v>
      </c>
      <c r="U124">
        <f t="shared" si="13"/>
        <v>20.800000000000011</v>
      </c>
    </row>
    <row r="125" spans="1:21" ht="14.25" customHeight="1" x14ac:dyDescent="0.35">
      <c r="A125" s="6" t="s">
        <v>557</v>
      </c>
      <c r="B125" s="6" t="s">
        <v>558</v>
      </c>
      <c r="C125" s="6" t="s">
        <v>559</v>
      </c>
      <c r="D125" s="6" t="s">
        <v>31</v>
      </c>
      <c r="E125" s="7" t="s">
        <v>23</v>
      </c>
      <c r="F125" s="6">
        <v>85258</v>
      </c>
      <c r="G125" s="6" t="s">
        <v>45</v>
      </c>
      <c r="H125" s="6" t="s">
        <v>291</v>
      </c>
      <c r="I125" s="6" t="s">
        <v>26</v>
      </c>
      <c r="J125" s="6" t="b">
        <v>1</v>
      </c>
      <c r="K125" s="6" t="s">
        <v>27</v>
      </c>
      <c r="L125" s="6">
        <v>41.2</v>
      </c>
      <c r="M125" s="6">
        <v>144.19999999999999</v>
      </c>
      <c r="N125" s="8">
        <f t="shared" si="7"/>
        <v>76.679999999999993</v>
      </c>
      <c r="O125" s="8">
        <f t="shared" si="8"/>
        <v>1848.28</v>
      </c>
      <c r="P125" s="8">
        <f t="shared" si="9"/>
        <v>1848.28</v>
      </c>
      <c r="Q125" s="8">
        <f t="shared" si="10"/>
        <v>0</v>
      </c>
      <c r="R125" s="9">
        <f t="shared" si="11"/>
        <v>1848.28</v>
      </c>
      <c r="S125" s="10">
        <f t="shared" si="12"/>
        <v>154.02333333333334</v>
      </c>
      <c r="T125">
        <v>165</v>
      </c>
      <c r="U125">
        <f t="shared" si="13"/>
        <v>20.800000000000011</v>
      </c>
    </row>
    <row r="126" spans="1:21" ht="14.25" customHeight="1" x14ac:dyDescent="0.35">
      <c r="A126" s="6" t="s">
        <v>560</v>
      </c>
      <c r="B126" s="6" t="s">
        <v>561</v>
      </c>
      <c r="C126" s="6" t="s">
        <v>562</v>
      </c>
      <c r="D126" s="6" t="s">
        <v>44</v>
      </c>
      <c r="E126" s="7" t="s">
        <v>23</v>
      </c>
      <c r="F126" s="6">
        <v>85044</v>
      </c>
      <c r="G126" s="6" t="s">
        <v>24</v>
      </c>
      <c r="H126" s="6" t="s">
        <v>161</v>
      </c>
      <c r="I126" s="6" t="s">
        <v>26</v>
      </c>
      <c r="J126" s="6" t="b">
        <v>1</v>
      </c>
      <c r="K126" s="6" t="s">
        <v>27</v>
      </c>
      <c r="L126" s="6">
        <v>41.2</v>
      </c>
      <c r="M126" s="6">
        <v>144.19999999999999</v>
      </c>
      <c r="N126" s="8">
        <f t="shared" si="7"/>
        <v>76.679999999999993</v>
      </c>
      <c r="O126" s="8">
        <f t="shared" si="8"/>
        <v>1848.28</v>
      </c>
      <c r="P126" s="8">
        <f t="shared" si="9"/>
        <v>1848.28</v>
      </c>
      <c r="Q126" s="8">
        <f t="shared" si="10"/>
        <v>0</v>
      </c>
      <c r="R126" s="9">
        <f t="shared" si="11"/>
        <v>1848.28</v>
      </c>
      <c r="S126" s="10">
        <f t="shared" si="12"/>
        <v>154.02333333333334</v>
      </c>
      <c r="T126">
        <v>165</v>
      </c>
      <c r="U126">
        <f t="shared" si="13"/>
        <v>20.800000000000011</v>
      </c>
    </row>
    <row r="127" spans="1:21" ht="14.25" customHeight="1" x14ac:dyDescent="0.35">
      <c r="A127" s="6" t="s">
        <v>563</v>
      </c>
      <c r="B127" s="6" t="s">
        <v>564</v>
      </c>
      <c r="C127" s="6" t="s">
        <v>565</v>
      </c>
      <c r="D127" s="6" t="s">
        <v>31</v>
      </c>
      <c r="E127" s="7" t="s">
        <v>23</v>
      </c>
      <c r="F127" s="6">
        <v>85259</v>
      </c>
      <c r="G127" s="6" t="s">
        <v>45</v>
      </c>
      <c r="H127" s="6" t="s">
        <v>169</v>
      </c>
      <c r="I127" s="6" t="s">
        <v>26</v>
      </c>
      <c r="J127" s="6" t="b">
        <v>1</v>
      </c>
      <c r="K127" s="6" t="s">
        <v>27</v>
      </c>
      <c r="L127" s="6">
        <v>41.2</v>
      </c>
      <c r="M127" s="6">
        <v>144.19999999999999</v>
      </c>
      <c r="N127" s="8">
        <f t="shared" si="7"/>
        <v>76.679999999999993</v>
      </c>
      <c r="O127" s="8">
        <f t="shared" si="8"/>
        <v>1848.28</v>
      </c>
      <c r="P127" s="8">
        <f t="shared" si="9"/>
        <v>1848.28</v>
      </c>
      <c r="Q127" s="8">
        <f t="shared" si="10"/>
        <v>0</v>
      </c>
      <c r="R127" s="9">
        <f t="shared" si="11"/>
        <v>1848.28</v>
      </c>
      <c r="S127" s="10">
        <f t="shared" si="12"/>
        <v>154.02333333333334</v>
      </c>
      <c r="T127">
        <v>165</v>
      </c>
      <c r="U127">
        <f t="shared" si="13"/>
        <v>20.800000000000011</v>
      </c>
    </row>
    <row r="128" spans="1:21" ht="14.25" customHeight="1" x14ac:dyDescent="0.35">
      <c r="A128" s="6" t="s">
        <v>566</v>
      </c>
      <c r="B128" s="6" t="s">
        <v>567</v>
      </c>
      <c r="C128" s="6" t="s">
        <v>568</v>
      </c>
      <c r="D128" s="6" t="s">
        <v>77</v>
      </c>
      <c r="E128" s="7" t="s">
        <v>23</v>
      </c>
      <c r="F128" s="6">
        <v>85305</v>
      </c>
      <c r="G128" s="6" t="s">
        <v>72</v>
      </c>
      <c r="H128" s="6" t="s">
        <v>73</v>
      </c>
      <c r="I128" s="6" t="s">
        <v>40</v>
      </c>
      <c r="J128" s="6" t="b">
        <v>1</v>
      </c>
      <c r="K128" s="6" t="s">
        <v>27</v>
      </c>
      <c r="L128" s="6">
        <v>41.2</v>
      </c>
      <c r="M128" s="6">
        <v>144.19999999999999</v>
      </c>
      <c r="N128" s="8">
        <f t="shared" si="7"/>
        <v>76.679999999999993</v>
      </c>
      <c r="O128" s="8">
        <f t="shared" si="8"/>
        <v>1848.28</v>
      </c>
      <c r="P128" s="8">
        <f t="shared" si="9"/>
        <v>1848.28</v>
      </c>
      <c r="Q128" s="8">
        <f t="shared" si="10"/>
        <v>0</v>
      </c>
      <c r="R128" s="9">
        <f t="shared" si="11"/>
        <v>1848.28</v>
      </c>
      <c r="S128" s="10">
        <f t="shared" si="12"/>
        <v>154.02333333333334</v>
      </c>
      <c r="T128">
        <v>165</v>
      </c>
      <c r="U128">
        <f t="shared" si="13"/>
        <v>20.800000000000011</v>
      </c>
    </row>
    <row r="129" spans="1:21" ht="14.25" customHeight="1" x14ac:dyDescent="0.35">
      <c r="A129" s="6" t="s">
        <v>569</v>
      </c>
      <c r="B129" s="6" t="s">
        <v>570</v>
      </c>
      <c r="C129" s="6" t="s">
        <v>571</v>
      </c>
      <c r="D129" s="6" t="s">
        <v>77</v>
      </c>
      <c r="E129" s="7" t="s">
        <v>23</v>
      </c>
      <c r="F129" s="6">
        <v>85310</v>
      </c>
      <c r="G129" s="6" t="s">
        <v>78</v>
      </c>
      <c r="H129" s="6" t="s">
        <v>281</v>
      </c>
      <c r="I129" s="6" t="s">
        <v>26</v>
      </c>
      <c r="J129" s="6" t="b">
        <v>1</v>
      </c>
      <c r="K129" s="6" t="s">
        <v>27</v>
      </c>
      <c r="L129" s="6">
        <v>41.2</v>
      </c>
      <c r="M129" s="6">
        <v>144.19999999999999</v>
      </c>
      <c r="N129" s="8">
        <f t="shared" si="7"/>
        <v>76.679999999999993</v>
      </c>
      <c r="O129" s="8">
        <f t="shared" si="8"/>
        <v>1848.28</v>
      </c>
      <c r="P129" s="8">
        <f t="shared" si="9"/>
        <v>1848.28</v>
      </c>
      <c r="Q129" s="8">
        <f t="shared" si="10"/>
        <v>0</v>
      </c>
      <c r="R129" s="9">
        <f t="shared" si="11"/>
        <v>1848.28</v>
      </c>
      <c r="S129" s="10">
        <f t="shared" si="12"/>
        <v>154.02333333333334</v>
      </c>
      <c r="T129">
        <v>165</v>
      </c>
      <c r="U129">
        <f t="shared" si="13"/>
        <v>20.800000000000011</v>
      </c>
    </row>
    <row r="130" spans="1:21" ht="14.25" customHeight="1" x14ac:dyDescent="0.35">
      <c r="A130" s="6" t="s">
        <v>572</v>
      </c>
      <c r="B130" s="6" t="s">
        <v>573</v>
      </c>
      <c r="C130" s="6" t="s">
        <v>574</v>
      </c>
      <c r="D130" s="6" t="s">
        <v>165</v>
      </c>
      <c r="E130" s="7" t="s">
        <v>23</v>
      </c>
      <c r="F130" s="6">
        <v>85233</v>
      </c>
      <c r="G130" s="6" t="s">
        <v>125</v>
      </c>
      <c r="H130" s="6" t="s">
        <v>25</v>
      </c>
      <c r="I130" s="6" t="s">
        <v>26</v>
      </c>
      <c r="J130" s="6" t="b">
        <v>1</v>
      </c>
      <c r="K130" s="6" t="s">
        <v>27</v>
      </c>
      <c r="L130" s="6">
        <v>41.2</v>
      </c>
      <c r="M130" s="6">
        <v>144.19999999999999</v>
      </c>
      <c r="N130" s="8">
        <f t="shared" ref="N130:N193" si="14">IF(J130=TRUE, 6.39*12, "0")</f>
        <v>76.679999999999993</v>
      </c>
      <c r="O130" s="8">
        <f t="shared" ref="O130:O193" si="15">L130+(M130*12)+N130</f>
        <v>1848.28</v>
      </c>
      <c r="P130" s="8">
        <f t="shared" ref="P130:P193" si="16">IF(OR(K130="Check",K130="ACH"), O130*0.97, O130)</f>
        <v>1848.28</v>
      </c>
      <c r="Q130" s="8">
        <f t="shared" ref="Q130:Q193" si="17">P130-O130</f>
        <v>0</v>
      </c>
      <c r="R130" s="9">
        <f t="shared" ref="R130:R193" si="18">O130-Q130</f>
        <v>1848.28</v>
      </c>
      <c r="S130" s="10">
        <f t="shared" ref="S130:S193" si="19">R130/12</f>
        <v>154.02333333333334</v>
      </c>
      <c r="T130">
        <v>165</v>
      </c>
      <c r="U130">
        <f t="shared" si="13"/>
        <v>20.800000000000011</v>
      </c>
    </row>
    <row r="131" spans="1:21" ht="14.25" customHeight="1" x14ac:dyDescent="0.35">
      <c r="A131" s="6" t="s">
        <v>575</v>
      </c>
      <c r="B131" s="6" t="s">
        <v>576</v>
      </c>
      <c r="C131" s="6" t="s">
        <v>577</v>
      </c>
      <c r="D131" s="6" t="s">
        <v>44</v>
      </c>
      <c r="E131" s="7" t="s">
        <v>23</v>
      </c>
      <c r="F131" s="6">
        <v>85024</v>
      </c>
      <c r="G131" s="6" t="s">
        <v>32</v>
      </c>
      <c r="H131" s="6" t="s">
        <v>50</v>
      </c>
      <c r="I131" s="6" t="s">
        <v>61</v>
      </c>
      <c r="J131" s="6" t="b">
        <v>1</v>
      </c>
      <c r="K131" s="6" t="s">
        <v>27</v>
      </c>
      <c r="L131" s="6">
        <v>41.2</v>
      </c>
      <c r="M131" s="6">
        <v>144.19999999999999</v>
      </c>
      <c r="N131" s="8">
        <f t="shared" si="14"/>
        <v>76.679999999999993</v>
      </c>
      <c r="O131" s="8">
        <f t="shared" si="15"/>
        <v>1848.28</v>
      </c>
      <c r="P131" s="8">
        <f t="shared" si="16"/>
        <v>1848.28</v>
      </c>
      <c r="Q131" s="8">
        <f t="shared" si="17"/>
        <v>0</v>
      </c>
      <c r="R131" s="9">
        <f t="shared" si="18"/>
        <v>1848.28</v>
      </c>
      <c r="S131" s="10">
        <f t="shared" si="19"/>
        <v>154.02333333333334</v>
      </c>
      <c r="T131">
        <v>165</v>
      </c>
      <c r="U131">
        <f t="shared" si="13"/>
        <v>20.800000000000011</v>
      </c>
    </row>
    <row r="132" spans="1:21" ht="14.25" customHeight="1" x14ac:dyDescent="0.35">
      <c r="A132" s="6" t="s">
        <v>578</v>
      </c>
      <c r="B132" s="6" t="s">
        <v>579</v>
      </c>
      <c r="C132" s="6" t="s">
        <v>580</v>
      </c>
      <c r="D132" s="6" t="s">
        <v>98</v>
      </c>
      <c r="E132" s="7" t="s">
        <v>23</v>
      </c>
      <c r="F132" s="6">
        <v>85122</v>
      </c>
      <c r="G132" s="6" t="s">
        <v>87</v>
      </c>
      <c r="H132" s="6" t="s">
        <v>88</v>
      </c>
      <c r="I132" s="6" t="s">
        <v>110</v>
      </c>
      <c r="J132" s="6" t="b">
        <v>1</v>
      </c>
      <c r="K132" s="6" t="s">
        <v>27</v>
      </c>
      <c r="L132" s="6">
        <v>41.2</v>
      </c>
      <c r="M132" s="6">
        <v>144.19999999999999</v>
      </c>
      <c r="N132" s="8">
        <f t="shared" si="14"/>
        <v>76.679999999999993</v>
      </c>
      <c r="O132" s="8">
        <f t="shared" si="15"/>
        <v>1848.28</v>
      </c>
      <c r="P132" s="8">
        <f t="shared" si="16"/>
        <v>1848.28</v>
      </c>
      <c r="Q132" s="8">
        <f t="shared" si="17"/>
        <v>0</v>
      </c>
      <c r="R132" s="9">
        <f t="shared" si="18"/>
        <v>1848.28</v>
      </c>
      <c r="S132" s="10">
        <f t="shared" si="19"/>
        <v>154.02333333333334</v>
      </c>
      <c r="T132">
        <v>165</v>
      </c>
      <c r="U132">
        <f t="shared" ref="U132:U195" si="20">SUM(T132-M132)</f>
        <v>20.800000000000011</v>
      </c>
    </row>
    <row r="133" spans="1:21" ht="14.25" customHeight="1" x14ac:dyDescent="0.35">
      <c r="A133" s="6" t="s">
        <v>581</v>
      </c>
      <c r="B133" s="6" t="s">
        <v>582</v>
      </c>
      <c r="C133" s="6" t="s">
        <v>583</v>
      </c>
      <c r="D133" s="6" t="s">
        <v>31</v>
      </c>
      <c r="E133" s="7" t="s">
        <v>23</v>
      </c>
      <c r="F133" s="6">
        <v>85255</v>
      </c>
      <c r="G133" s="6" t="s">
        <v>45</v>
      </c>
      <c r="H133" s="6" t="s">
        <v>169</v>
      </c>
      <c r="I133" s="6" t="s">
        <v>61</v>
      </c>
      <c r="J133" s="6" t="b">
        <v>1</v>
      </c>
      <c r="K133" s="6" t="s">
        <v>27</v>
      </c>
      <c r="L133" s="6">
        <v>41.2</v>
      </c>
      <c r="M133" s="6">
        <v>144.19999999999999</v>
      </c>
      <c r="N133" s="8">
        <f t="shared" si="14"/>
        <v>76.679999999999993</v>
      </c>
      <c r="O133" s="8">
        <f t="shared" si="15"/>
        <v>1848.28</v>
      </c>
      <c r="P133" s="8">
        <f t="shared" si="16"/>
        <v>1848.28</v>
      </c>
      <c r="Q133" s="8">
        <f t="shared" si="17"/>
        <v>0</v>
      </c>
      <c r="R133" s="9">
        <f t="shared" si="18"/>
        <v>1848.28</v>
      </c>
      <c r="S133" s="10">
        <f t="shared" si="19"/>
        <v>154.02333333333334</v>
      </c>
      <c r="T133">
        <v>165</v>
      </c>
      <c r="U133">
        <f t="shared" si="20"/>
        <v>20.800000000000011</v>
      </c>
    </row>
    <row r="134" spans="1:21" ht="14.25" customHeight="1" x14ac:dyDescent="0.35">
      <c r="A134" s="6" t="s">
        <v>584</v>
      </c>
      <c r="B134" s="6" t="s">
        <v>585</v>
      </c>
      <c r="C134" s="6" t="s">
        <v>586</v>
      </c>
      <c r="D134" s="6" t="s">
        <v>98</v>
      </c>
      <c r="E134" s="7" t="s">
        <v>23</v>
      </c>
      <c r="F134" s="6">
        <v>85122</v>
      </c>
      <c r="G134" s="6" t="s">
        <v>87</v>
      </c>
      <c r="H134" s="6" t="s">
        <v>109</v>
      </c>
      <c r="I134" s="6" t="s">
        <v>57</v>
      </c>
      <c r="J134" s="6" t="b">
        <v>1</v>
      </c>
      <c r="K134" s="6" t="s">
        <v>27</v>
      </c>
      <c r="L134" s="6">
        <v>41.2</v>
      </c>
      <c r="M134" s="6">
        <v>144.19999999999999</v>
      </c>
      <c r="N134" s="8">
        <f t="shared" si="14"/>
        <v>76.679999999999993</v>
      </c>
      <c r="O134" s="8">
        <f t="shared" si="15"/>
        <v>1848.28</v>
      </c>
      <c r="P134" s="8">
        <f t="shared" si="16"/>
        <v>1848.28</v>
      </c>
      <c r="Q134" s="8">
        <f t="shared" si="17"/>
        <v>0</v>
      </c>
      <c r="R134" s="9">
        <f t="shared" si="18"/>
        <v>1848.28</v>
      </c>
      <c r="S134" s="10">
        <f t="shared" si="19"/>
        <v>154.02333333333334</v>
      </c>
      <c r="T134">
        <v>165</v>
      </c>
      <c r="U134">
        <f t="shared" si="20"/>
        <v>20.800000000000011</v>
      </c>
    </row>
    <row r="135" spans="1:21" ht="14.25" customHeight="1" x14ac:dyDescent="0.35">
      <c r="A135" s="6" t="s">
        <v>587</v>
      </c>
      <c r="B135" s="6" t="s">
        <v>588</v>
      </c>
      <c r="C135" s="6" t="s">
        <v>589</v>
      </c>
      <c r="D135" s="6" t="s">
        <v>44</v>
      </c>
      <c r="E135" s="7" t="s">
        <v>23</v>
      </c>
      <c r="F135" s="6">
        <v>85051</v>
      </c>
      <c r="G135" s="6" t="s">
        <v>72</v>
      </c>
      <c r="H135" s="6" t="s">
        <v>93</v>
      </c>
      <c r="I135" s="6" t="s">
        <v>26</v>
      </c>
      <c r="J135" s="6" t="b">
        <v>1</v>
      </c>
      <c r="K135" s="6" t="s">
        <v>27</v>
      </c>
      <c r="L135" s="6">
        <v>41.2</v>
      </c>
      <c r="M135" s="6">
        <v>144.19999999999999</v>
      </c>
      <c r="N135" s="8">
        <f t="shared" si="14"/>
        <v>76.679999999999993</v>
      </c>
      <c r="O135" s="8">
        <f t="shared" si="15"/>
        <v>1848.28</v>
      </c>
      <c r="P135" s="8">
        <f t="shared" si="16"/>
        <v>1848.28</v>
      </c>
      <c r="Q135" s="8">
        <f t="shared" si="17"/>
        <v>0</v>
      </c>
      <c r="R135" s="9">
        <f t="shared" si="18"/>
        <v>1848.28</v>
      </c>
      <c r="S135" s="10">
        <f t="shared" si="19"/>
        <v>154.02333333333334</v>
      </c>
      <c r="T135">
        <v>165</v>
      </c>
      <c r="U135">
        <f t="shared" si="20"/>
        <v>20.800000000000011</v>
      </c>
    </row>
    <row r="136" spans="1:21" ht="14.25" customHeight="1" x14ac:dyDescent="0.35">
      <c r="A136" s="6" t="s">
        <v>590</v>
      </c>
      <c r="B136" s="6" t="s">
        <v>591</v>
      </c>
      <c r="C136" s="6" t="s">
        <v>592</v>
      </c>
      <c r="D136" s="6" t="s">
        <v>224</v>
      </c>
      <c r="E136" s="7" t="s">
        <v>23</v>
      </c>
      <c r="F136" s="6">
        <v>85248</v>
      </c>
      <c r="G136" s="6" t="s">
        <v>125</v>
      </c>
      <c r="H136" s="6" t="s">
        <v>126</v>
      </c>
      <c r="I136" s="6" t="s">
        <v>26</v>
      </c>
      <c r="J136" s="6" t="b">
        <v>1</v>
      </c>
      <c r="K136" s="6" t="s">
        <v>27</v>
      </c>
      <c r="L136" s="6">
        <v>41.2</v>
      </c>
      <c r="M136" s="6">
        <v>144.19999999999999</v>
      </c>
      <c r="N136" s="8">
        <f t="shared" si="14"/>
        <v>76.679999999999993</v>
      </c>
      <c r="O136" s="8">
        <f t="shared" si="15"/>
        <v>1848.28</v>
      </c>
      <c r="P136" s="8">
        <f t="shared" si="16"/>
        <v>1848.28</v>
      </c>
      <c r="Q136" s="8">
        <f t="shared" si="17"/>
        <v>0</v>
      </c>
      <c r="R136" s="9">
        <f t="shared" si="18"/>
        <v>1848.28</v>
      </c>
      <c r="S136" s="10">
        <f t="shared" si="19"/>
        <v>154.02333333333334</v>
      </c>
      <c r="T136">
        <v>165</v>
      </c>
      <c r="U136">
        <f t="shared" si="20"/>
        <v>20.800000000000011</v>
      </c>
    </row>
    <row r="137" spans="1:21" ht="14.25" customHeight="1" x14ac:dyDescent="0.35">
      <c r="A137" s="6" t="s">
        <v>593</v>
      </c>
      <c r="B137" s="6" t="s">
        <v>594</v>
      </c>
      <c r="C137" s="6" t="s">
        <v>595</v>
      </c>
      <c r="D137" s="6" t="s">
        <v>44</v>
      </c>
      <c r="E137" s="7" t="s">
        <v>23</v>
      </c>
      <c r="F137" s="6">
        <v>85022</v>
      </c>
      <c r="G137" s="6" t="s">
        <v>173</v>
      </c>
      <c r="H137" s="6" t="s">
        <v>79</v>
      </c>
      <c r="I137" s="6" t="s">
        <v>26</v>
      </c>
      <c r="J137" s="6" t="b">
        <v>1</v>
      </c>
      <c r="K137" s="6" t="s">
        <v>27</v>
      </c>
      <c r="L137" s="6">
        <v>41.2</v>
      </c>
      <c r="M137" s="6">
        <v>144.19999999999999</v>
      </c>
      <c r="N137" s="8">
        <f t="shared" si="14"/>
        <v>76.679999999999993</v>
      </c>
      <c r="O137" s="8">
        <f t="shared" si="15"/>
        <v>1848.28</v>
      </c>
      <c r="P137" s="8">
        <f t="shared" si="16"/>
        <v>1848.28</v>
      </c>
      <c r="Q137" s="8">
        <f t="shared" si="17"/>
        <v>0</v>
      </c>
      <c r="R137" s="9">
        <f t="shared" si="18"/>
        <v>1848.28</v>
      </c>
      <c r="S137" s="10">
        <f t="shared" si="19"/>
        <v>154.02333333333334</v>
      </c>
      <c r="T137">
        <v>165</v>
      </c>
      <c r="U137">
        <f t="shared" si="20"/>
        <v>20.800000000000011</v>
      </c>
    </row>
    <row r="138" spans="1:21" ht="14.25" customHeight="1" x14ac:dyDescent="0.35">
      <c r="A138" s="6" t="s">
        <v>596</v>
      </c>
      <c r="B138" s="6" t="s">
        <v>597</v>
      </c>
      <c r="C138" s="6" t="s">
        <v>598</v>
      </c>
      <c r="D138" s="6" t="s">
        <v>22</v>
      </c>
      <c r="E138" s="7" t="s">
        <v>23</v>
      </c>
      <c r="F138" s="6">
        <v>85224</v>
      </c>
      <c r="G138" s="6" t="s">
        <v>24</v>
      </c>
      <c r="H138" s="6" t="s">
        <v>25</v>
      </c>
      <c r="I138" s="6" t="s">
        <v>26</v>
      </c>
      <c r="J138" s="6" t="b">
        <v>1</v>
      </c>
      <c r="K138" s="6" t="s">
        <v>27</v>
      </c>
      <c r="L138" s="6">
        <v>41.2</v>
      </c>
      <c r="M138" s="6">
        <v>144.19999999999999</v>
      </c>
      <c r="N138" s="8">
        <f t="shared" si="14"/>
        <v>76.679999999999993</v>
      </c>
      <c r="O138" s="8">
        <f t="shared" si="15"/>
        <v>1848.28</v>
      </c>
      <c r="P138" s="8">
        <f t="shared" si="16"/>
        <v>1848.28</v>
      </c>
      <c r="Q138" s="8">
        <f t="shared" si="17"/>
        <v>0</v>
      </c>
      <c r="R138" s="9">
        <f t="shared" si="18"/>
        <v>1848.28</v>
      </c>
      <c r="S138" s="10">
        <f t="shared" si="19"/>
        <v>154.02333333333334</v>
      </c>
      <c r="T138">
        <v>165</v>
      </c>
      <c r="U138">
        <f t="shared" si="20"/>
        <v>20.800000000000011</v>
      </c>
    </row>
    <row r="139" spans="1:21" ht="14.25" customHeight="1" x14ac:dyDescent="0.35">
      <c r="A139" s="6" t="s">
        <v>599</v>
      </c>
      <c r="B139" s="6" t="s">
        <v>600</v>
      </c>
      <c r="C139" s="6" t="s">
        <v>601</v>
      </c>
      <c r="D139" s="6" t="s">
        <v>363</v>
      </c>
      <c r="E139" s="7" t="s">
        <v>23</v>
      </c>
      <c r="F139" s="6">
        <v>85283</v>
      </c>
      <c r="G139" s="6" t="s">
        <v>364</v>
      </c>
      <c r="H139" s="6" t="s">
        <v>365</v>
      </c>
      <c r="I139" s="6" t="s">
        <v>26</v>
      </c>
      <c r="J139" s="6" t="b">
        <v>1</v>
      </c>
      <c r="K139" s="6" t="s">
        <v>27</v>
      </c>
      <c r="L139" s="6">
        <v>41.2</v>
      </c>
      <c r="M139" s="6">
        <v>144.19999999999999</v>
      </c>
      <c r="N139" s="8">
        <f t="shared" si="14"/>
        <v>76.679999999999993</v>
      </c>
      <c r="O139" s="8">
        <f t="shared" si="15"/>
        <v>1848.28</v>
      </c>
      <c r="P139" s="8">
        <f t="shared" si="16"/>
        <v>1848.28</v>
      </c>
      <c r="Q139" s="8">
        <f t="shared" si="17"/>
        <v>0</v>
      </c>
      <c r="R139" s="9">
        <f t="shared" si="18"/>
        <v>1848.28</v>
      </c>
      <c r="S139" s="10">
        <f t="shared" si="19"/>
        <v>154.02333333333334</v>
      </c>
      <c r="T139">
        <v>165</v>
      </c>
      <c r="U139">
        <f t="shared" si="20"/>
        <v>20.800000000000011</v>
      </c>
    </row>
    <row r="140" spans="1:21" ht="14.25" customHeight="1" x14ac:dyDescent="0.35">
      <c r="A140" s="6" t="s">
        <v>602</v>
      </c>
      <c r="B140" s="6" t="s">
        <v>603</v>
      </c>
      <c r="C140" s="6" t="s">
        <v>604</v>
      </c>
      <c r="D140" s="6" t="s">
        <v>44</v>
      </c>
      <c r="E140" s="7" t="s">
        <v>23</v>
      </c>
      <c r="F140" s="6">
        <v>85044</v>
      </c>
      <c r="G140" s="6" t="s">
        <v>24</v>
      </c>
      <c r="H140" s="6" t="s">
        <v>161</v>
      </c>
      <c r="I140" s="6" t="s">
        <v>26</v>
      </c>
      <c r="J140" s="6" t="b">
        <v>1</v>
      </c>
      <c r="K140" s="6" t="s">
        <v>27</v>
      </c>
      <c r="L140" s="6">
        <v>41.2</v>
      </c>
      <c r="M140" s="6">
        <v>144.19999999999999</v>
      </c>
      <c r="N140" s="8">
        <f t="shared" si="14"/>
        <v>76.679999999999993</v>
      </c>
      <c r="O140" s="8">
        <f t="shared" si="15"/>
        <v>1848.28</v>
      </c>
      <c r="P140" s="8">
        <f t="shared" si="16"/>
        <v>1848.28</v>
      </c>
      <c r="Q140" s="8">
        <f t="shared" si="17"/>
        <v>0</v>
      </c>
      <c r="R140" s="9">
        <f t="shared" si="18"/>
        <v>1848.28</v>
      </c>
      <c r="S140" s="10">
        <f t="shared" si="19"/>
        <v>154.02333333333334</v>
      </c>
      <c r="T140">
        <v>165</v>
      </c>
      <c r="U140">
        <f t="shared" si="20"/>
        <v>20.800000000000011</v>
      </c>
    </row>
    <row r="141" spans="1:21" ht="14.25" customHeight="1" x14ac:dyDescent="0.35">
      <c r="A141" s="6" t="s">
        <v>605</v>
      </c>
      <c r="B141" s="6" t="s">
        <v>606</v>
      </c>
      <c r="C141" s="6" t="s">
        <v>607</v>
      </c>
      <c r="D141" s="6" t="s">
        <v>31</v>
      </c>
      <c r="E141" s="7" t="s">
        <v>23</v>
      </c>
      <c r="F141" s="6">
        <v>85260</v>
      </c>
      <c r="G141" s="6" t="s">
        <v>45</v>
      </c>
      <c r="H141" s="6" t="s">
        <v>291</v>
      </c>
      <c r="I141" s="6" t="s">
        <v>26</v>
      </c>
      <c r="J141" s="6" t="b">
        <v>1</v>
      </c>
      <c r="K141" s="6" t="s">
        <v>27</v>
      </c>
      <c r="L141" s="6">
        <v>41.2</v>
      </c>
      <c r="M141" s="6">
        <v>144.19999999999999</v>
      </c>
      <c r="N141" s="8">
        <f t="shared" si="14"/>
        <v>76.679999999999993</v>
      </c>
      <c r="O141" s="8">
        <f t="shared" si="15"/>
        <v>1848.28</v>
      </c>
      <c r="P141" s="8">
        <f t="shared" si="16"/>
        <v>1848.28</v>
      </c>
      <c r="Q141" s="8">
        <f t="shared" si="17"/>
        <v>0</v>
      </c>
      <c r="R141" s="9">
        <f t="shared" si="18"/>
        <v>1848.28</v>
      </c>
      <c r="S141" s="10">
        <f t="shared" si="19"/>
        <v>154.02333333333334</v>
      </c>
      <c r="T141">
        <v>165</v>
      </c>
      <c r="U141">
        <f t="shared" si="20"/>
        <v>20.800000000000011</v>
      </c>
    </row>
    <row r="142" spans="1:21" ht="14.25" customHeight="1" x14ac:dyDescent="0.35">
      <c r="A142" s="6" t="s">
        <v>608</v>
      </c>
      <c r="B142" s="6" t="s">
        <v>609</v>
      </c>
      <c r="C142" s="6" t="s">
        <v>610</v>
      </c>
      <c r="D142" s="6" t="s">
        <v>44</v>
      </c>
      <c r="E142" s="7" t="s">
        <v>23</v>
      </c>
      <c r="F142" s="6">
        <v>85048</v>
      </c>
      <c r="G142" s="6" t="s">
        <v>24</v>
      </c>
      <c r="H142" s="6" t="s">
        <v>161</v>
      </c>
      <c r="I142" s="6" t="s">
        <v>26</v>
      </c>
      <c r="J142" s="6" t="b">
        <v>1</v>
      </c>
      <c r="K142" s="6" t="s">
        <v>27</v>
      </c>
      <c r="L142" s="6">
        <v>41.2</v>
      </c>
      <c r="M142" s="6">
        <v>144.19999999999999</v>
      </c>
      <c r="N142" s="8">
        <f t="shared" si="14"/>
        <v>76.679999999999993</v>
      </c>
      <c r="O142" s="8">
        <f t="shared" si="15"/>
        <v>1848.28</v>
      </c>
      <c r="P142" s="8">
        <f t="shared" si="16"/>
        <v>1848.28</v>
      </c>
      <c r="Q142" s="8">
        <f t="shared" si="17"/>
        <v>0</v>
      </c>
      <c r="R142" s="9">
        <f t="shared" si="18"/>
        <v>1848.28</v>
      </c>
      <c r="S142" s="10">
        <f t="shared" si="19"/>
        <v>154.02333333333334</v>
      </c>
      <c r="T142">
        <v>165</v>
      </c>
      <c r="U142">
        <f t="shared" si="20"/>
        <v>20.800000000000011</v>
      </c>
    </row>
    <row r="143" spans="1:21" ht="14.25" customHeight="1" x14ac:dyDescent="0.35">
      <c r="A143" s="6" t="s">
        <v>611</v>
      </c>
      <c r="B143" s="6" t="s">
        <v>612</v>
      </c>
      <c r="C143" s="6" t="s">
        <v>613</v>
      </c>
      <c r="D143" s="6" t="s">
        <v>614</v>
      </c>
      <c r="E143" s="7" t="s">
        <v>23</v>
      </c>
      <c r="F143" s="6">
        <v>85268</v>
      </c>
      <c r="G143" s="6" t="s">
        <v>45</v>
      </c>
      <c r="H143" s="6" t="s">
        <v>50</v>
      </c>
      <c r="I143" s="6" t="s">
        <v>26</v>
      </c>
      <c r="J143" s="6" t="b">
        <v>1</v>
      </c>
      <c r="K143" s="6" t="s">
        <v>27</v>
      </c>
      <c r="L143" s="6">
        <v>41.2</v>
      </c>
      <c r="M143" s="6">
        <v>144.19999999999999</v>
      </c>
      <c r="N143" s="8">
        <f t="shared" si="14"/>
        <v>76.679999999999993</v>
      </c>
      <c r="O143" s="8">
        <f t="shared" si="15"/>
        <v>1848.28</v>
      </c>
      <c r="P143" s="8">
        <f t="shared" si="16"/>
        <v>1848.28</v>
      </c>
      <c r="Q143" s="8">
        <f t="shared" si="17"/>
        <v>0</v>
      </c>
      <c r="R143" s="9">
        <f t="shared" si="18"/>
        <v>1848.28</v>
      </c>
      <c r="S143" s="10">
        <f t="shared" si="19"/>
        <v>154.02333333333334</v>
      </c>
      <c r="T143">
        <v>165</v>
      </c>
      <c r="U143">
        <f t="shared" si="20"/>
        <v>20.800000000000011</v>
      </c>
    </row>
    <row r="144" spans="1:21" ht="14.25" customHeight="1" x14ac:dyDescent="0.35">
      <c r="A144" s="6" t="s">
        <v>615</v>
      </c>
      <c r="B144" s="6" t="s">
        <v>616</v>
      </c>
      <c r="C144" s="6" t="s">
        <v>617</v>
      </c>
      <c r="D144" s="6" t="s">
        <v>44</v>
      </c>
      <c r="E144" s="7" t="s">
        <v>23</v>
      </c>
      <c r="F144" s="6">
        <v>85028</v>
      </c>
      <c r="G144" s="6" t="s">
        <v>173</v>
      </c>
      <c r="H144" s="6" t="s">
        <v>79</v>
      </c>
      <c r="I144" s="6" t="s">
        <v>26</v>
      </c>
      <c r="J144" s="6" t="b">
        <v>1</v>
      </c>
      <c r="K144" s="6" t="s">
        <v>27</v>
      </c>
      <c r="L144" s="6">
        <v>41.2</v>
      </c>
      <c r="M144" s="6">
        <v>144.19999999999999</v>
      </c>
      <c r="N144" s="8">
        <f t="shared" si="14"/>
        <v>76.679999999999993</v>
      </c>
      <c r="O144" s="8">
        <f t="shared" si="15"/>
        <v>1848.28</v>
      </c>
      <c r="P144" s="8">
        <f t="shared" si="16"/>
        <v>1848.28</v>
      </c>
      <c r="Q144" s="8">
        <f t="shared" si="17"/>
        <v>0</v>
      </c>
      <c r="R144" s="9">
        <f t="shared" si="18"/>
        <v>1848.28</v>
      </c>
      <c r="S144" s="10">
        <f t="shared" si="19"/>
        <v>154.02333333333334</v>
      </c>
      <c r="T144">
        <v>165</v>
      </c>
      <c r="U144">
        <f t="shared" si="20"/>
        <v>20.800000000000011</v>
      </c>
    </row>
    <row r="145" spans="1:21" ht="14.25" customHeight="1" x14ac:dyDescent="0.35">
      <c r="A145" s="6" t="s">
        <v>618</v>
      </c>
      <c r="B145" s="6" t="s">
        <v>619</v>
      </c>
      <c r="C145" s="6" t="s">
        <v>620</v>
      </c>
      <c r="D145" s="6" t="s">
        <v>31</v>
      </c>
      <c r="E145" s="7" t="s">
        <v>23</v>
      </c>
      <c r="F145" s="6">
        <v>85258</v>
      </c>
      <c r="G145" s="6" t="s">
        <v>45</v>
      </c>
      <c r="H145" s="6" t="s">
        <v>291</v>
      </c>
      <c r="I145" s="6" t="s">
        <v>26</v>
      </c>
      <c r="J145" s="6" t="b">
        <v>1</v>
      </c>
      <c r="K145" s="6" t="s">
        <v>27</v>
      </c>
      <c r="L145" s="6">
        <v>41.2</v>
      </c>
      <c r="M145" s="6">
        <v>144.19999999999999</v>
      </c>
      <c r="N145" s="8">
        <f t="shared" si="14"/>
        <v>76.679999999999993</v>
      </c>
      <c r="O145" s="8">
        <f t="shared" si="15"/>
        <v>1848.28</v>
      </c>
      <c r="P145" s="8">
        <f t="shared" si="16"/>
        <v>1848.28</v>
      </c>
      <c r="Q145" s="8">
        <f t="shared" si="17"/>
        <v>0</v>
      </c>
      <c r="R145" s="9">
        <f t="shared" si="18"/>
        <v>1848.28</v>
      </c>
      <c r="S145" s="10">
        <f t="shared" si="19"/>
        <v>154.02333333333334</v>
      </c>
      <c r="T145">
        <v>165</v>
      </c>
      <c r="U145">
        <f t="shared" si="20"/>
        <v>20.800000000000011</v>
      </c>
    </row>
    <row r="146" spans="1:21" ht="14.25" customHeight="1" x14ac:dyDescent="0.35">
      <c r="A146" s="6" t="s">
        <v>621</v>
      </c>
      <c r="B146" s="6" t="s">
        <v>622</v>
      </c>
      <c r="C146" s="6" t="s">
        <v>623</v>
      </c>
      <c r="D146" s="6" t="s">
        <v>77</v>
      </c>
      <c r="E146" s="7" t="s">
        <v>23</v>
      </c>
      <c r="F146" s="6">
        <v>85310</v>
      </c>
      <c r="G146" s="6" t="s">
        <v>78</v>
      </c>
      <c r="H146" s="6" t="s">
        <v>79</v>
      </c>
      <c r="I146" s="6" t="s">
        <v>26</v>
      </c>
      <c r="J146" s="6" t="b">
        <v>1</v>
      </c>
      <c r="K146" s="6" t="s">
        <v>27</v>
      </c>
      <c r="L146" s="6">
        <v>41.2</v>
      </c>
      <c r="M146" s="6">
        <v>144.19999999999999</v>
      </c>
      <c r="N146" s="8">
        <f t="shared" si="14"/>
        <v>76.679999999999993</v>
      </c>
      <c r="O146" s="8">
        <f t="shared" si="15"/>
        <v>1848.28</v>
      </c>
      <c r="P146" s="8">
        <f t="shared" si="16"/>
        <v>1848.28</v>
      </c>
      <c r="Q146" s="8">
        <f t="shared" si="17"/>
        <v>0</v>
      </c>
      <c r="R146" s="9">
        <f t="shared" si="18"/>
        <v>1848.28</v>
      </c>
      <c r="S146" s="10">
        <f t="shared" si="19"/>
        <v>154.02333333333334</v>
      </c>
      <c r="T146">
        <v>165</v>
      </c>
      <c r="U146">
        <f t="shared" si="20"/>
        <v>20.800000000000011</v>
      </c>
    </row>
    <row r="147" spans="1:21" ht="14.25" customHeight="1" x14ac:dyDescent="0.35">
      <c r="A147" s="6" t="s">
        <v>624</v>
      </c>
      <c r="B147" s="6" t="s">
        <v>625</v>
      </c>
      <c r="C147" s="6" t="s">
        <v>626</v>
      </c>
      <c r="D147" s="6" t="s">
        <v>44</v>
      </c>
      <c r="E147" s="7" t="s">
        <v>23</v>
      </c>
      <c r="F147" s="6">
        <v>85044</v>
      </c>
      <c r="G147" s="6" t="s">
        <v>24</v>
      </c>
      <c r="H147" s="6" t="s">
        <v>161</v>
      </c>
      <c r="I147" s="6" t="s">
        <v>26</v>
      </c>
      <c r="J147" s="6" t="b">
        <v>1</v>
      </c>
      <c r="K147" s="6" t="s">
        <v>27</v>
      </c>
      <c r="L147" s="6">
        <v>41.2</v>
      </c>
      <c r="M147" s="6">
        <v>144.19999999999999</v>
      </c>
      <c r="N147" s="8">
        <f t="shared" si="14"/>
        <v>76.679999999999993</v>
      </c>
      <c r="O147" s="8">
        <f t="shared" si="15"/>
        <v>1848.28</v>
      </c>
      <c r="P147" s="8">
        <f t="shared" si="16"/>
        <v>1848.28</v>
      </c>
      <c r="Q147" s="8">
        <f t="shared" si="17"/>
        <v>0</v>
      </c>
      <c r="R147" s="9">
        <f t="shared" si="18"/>
        <v>1848.28</v>
      </c>
      <c r="S147" s="10">
        <f t="shared" si="19"/>
        <v>154.02333333333334</v>
      </c>
      <c r="T147">
        <v>165</v>
      </c>
      <c r="U147">
        <f t="shared" si="20"/>
        <v>20.800000000000011</v>
      </c>
    </row>
    <row r="148" spans="1:21" ht="14.25" customHeight="1" x14ac:dyDescent="0.35">
      <c r="A148" s="6" t="s">
        <v>627</v>
      </c>
      <c r="B148" s="6" t="s">
        <v>628</v>
      </c>
      <c r="C148" s="6" t="s">
        <v>629</v>
      </c>
      <c r="D148" s="6" t="s">
        <v>31</v>
      </c>
      <c r="E148" s="7" t="s">
        <v>23</v>
      </c>
      <c r="F148" s="6">
        <v>85259</v>
      </c>
      <c r="G148" s="6" t="s">
        <v>45</v>
      </c>
      <c r="H148" s="6" t="s">
        <v>169</v>
      </c>
      <c r="I148" s="6" t="s">
        <v>26</v>
      </c>
      <c r="J148" s="6" t="b">
        <v>1</v>
      </c>
      <c r="K148" s="6" t="s">
        <v>27</v>
      </c>
      <c r="L148" s="6">
        <v>41.2</v>
      </c>
      <c r="M148" s="6">
        <v>144.19999999999999</v>
      </c>
      <c r="N148" s="8">
        <f t="shared" si="14"/>
        <v>76.679999999999993</v>
      </c>
      <c r="O148" s="8">
        <f t="shared" si="15"/>
        <v>1848.28</v>
      </c>
      <c r="P148" s="8">
        <f t="shared" si="16"/>
        <v>1848.28</v>
      </c>
      <c r="Q148" s="8">
        <f t="shared" si="17"/>
        <v>0</v>
      </c>
      <c r="R148" s="9">
        <f t="shared" si="18"/>
        <v>1848.28</v>
      </c>
      <c r="S148" s="10">
        <f t="shared" si="19"/>
        <v>154.02333333333334</v>
      </c>
      <c r="T148">
        <v>165</v>
      </c>
      <c r="U148">
        <f t="shared" si="20"/>
        <v>20.800000000000011</v>
      </c>
    </row>
    <row r="149" spans="1:21" ht="14.25" customHeight="1" x14ac:dyDescent="0.35">
      <c r="A149" s="6" t="s">
        <v>630</v>
      </c>
      <c r="B149" s="6" t="s">
        <v>631</v>
      </c>
      <c r="C149" s="6" t="s">
        <v>632</v>
      </c>
      <c r="D149" s="6" t="s">
        <v>65</v>
      </c>
      <c r="E149" s="7" t="s">
        <v>23</v>
      </c>
      <c r="F149" s="6">
        <v>85202</v>
      </c>
      <c r="G149" s="6" t="s">
        <v>364</v>
      </c>
      <c r="H149" s="6" t="s">
        <v>365</v>
      </c>
      <c r="I149" s="6" t="s">
        <v>26</v>
      </c>
      <c r="J149" s="6" t="b">
        <v>1</v>
      </c>
      <c r="K149" s="6" t="s">
        <v>27</v>
      </c>
      <c r="L149" s="6">
        <v>41.2</v>
      </c>
      <c r="M149" s="6">
        <v>144.19999999999999</v>
      </c>
      <c r="N149" s="8">
        <f t="shared" si="14"/>
        <v>76.679999999999993</v>
      </c>
      <c r="O149" s="8">
        <f t="shared" si="15"/>
        <v>1848.28</v>
      </c>
      <c r="P149" s="8">
        <f t="shared" si="16"/>
        <v>1848.28</v>
      </c>
      <c r="Q149" s="8">
        <f t="shared" si="17"/>
        <v>0</v>
      </c>
      <c r="R149" s="9">
        <f t="shared" si="18"/>
        <v>1848.28</v>
      </c>
      <c r="S149" s="10">
        <f t="shared" si="19"/>
        <v>154.02333333333334</v>
      </c>
      <c r="T149">
        <v>165</v>
      </c>
      <c r="U149">
        <f t="shared" si="20"/>
        <v>20.800000000000011</v>
      </c>
    </row>
    <row r="150" spans="1:21" ht="14.25" customHeight="1" x14ac:dyDescent="0.35">
      <c r="A150" s="6" t="s">
        <v>633</v>
      </c>
      <c r="B150" s="6" t="s">
        <v>634</v>
      </c>
      <c r="C150" s="6" t="s">
        <v>635</v>
      </c>
      <c r="D150" s="6" t="s">
        <v>22</v>
      </c>
      <c r="E150" s="7" t="s">
        <v>23</v>
      </c>
      <c r="F150" s="6">
        <v>85226</v>
      </c>
      <c r="G150" s="6" t="s">
        <v>24</v>
      </c>
      <c r="H150" s="6" t="s">
        <v>161</v>
      </c>
      <c r="I150" s="6" t="s">
        <v>26</v>
      </c>
      <c r="J150" s="6" t="b">
        <v>1</v>
      </c>
      <c r="K150" s="6" t="s">
        <v>27</v>
      </c>
      <c r="L150" s="6">
        <v>41.2</v>
      </c>
      <c r="M150" s="6">
        <v>144.19999999999999</v>
      </c>
      <c r="N150" s="8">
        <f t="shared" si="14"/>
        <v>76.679999999999993</v>
      </c>
      <c r="O150" s="8">
        <f t="shared" si="15"/>
        <v>1848.28</v>
      </c>
      <c r="P150" s="8">
        <f t="shared" si="16"/>
        <v>1848.28</v>
      </c>
      <c r="Q150" s="8">
        <f t="shared" si="17"/>
        <v>0</v>
      </c>
      <c r="R150" s="9">
        <f t="shared" si="18"/>
        <v>1848.28</v>
      </c>
      <c r="S150" s="10">
        <f t="shared" si="19"/>
        <v>154.02333333333334</v>
      </c>
      <c r="T150">
        <v>165</v>
      </c>
      <c r="U150">
        <f t="shared" si="20"/>
        <v>20.800000000000011</v>
      </c>
    </row>
    <row r="151" spans="1:21" ht="14.25" customHeight="1" x14ac:dyDescent="0.35">
      <c r="A151" s="6" t="s">
        <v>636</v>
      </c>
      <c r="B151" s="6" t="s">
        <v>637</v>
      </c>
      <c r="C151" s="6" t="s">
        <v>638</v>
      </c>
      <c r="D151" s="6" t="s">
        <v>31</v>
      </c>
      <c r="E151" s="7" t="s">
        <v>23</v>
      </c>
      <c r="F151" s="6">
        <v>85254</v>
      </c>
      <c r="G151" s="6" t="s">
        <v>45</v>
      </c>
      <c r="H151" s="6" t="s">
        <v>169</v>
      </c>
      <c r="I151" s="6" t="s">
        <v>26</v>
      </c>
      <c r="J151" s="6" t="b">
        <v>1</v>
      </c>
      <c r="K151" s="6" t="s">
        <v>27</v>
      </c>
      <c r="L151" s="6">
        <v>41.2</v>
      </c>
      <c r="M151" s="6">
        <v>144.19999999999999</v>
      </c>
      <c r="N151" s="8">
        <f t="shared" si="14"/>
        <v>76.679999999999993</v>
      </c>
      <c r="O151" s="8">
        <f t="shared" si="15"/>
        <v>1848.28</v>
      </c>
      <c r="P151" s="8">
        <f t="shared" si="16"/>
        <v>1848.28</v>
      </c>
      <c r="Q151" s="8">
        <f t="shared" si="17"/>
        <v>0</v>
      </c>
      <c r="R151" s="9">
        <f t="shared" si="18"/>
        <v>1848.28</v>
      </c>
      <c r="S151" s="10">
        <f t="shared" si="19"/>
        <v>154.02333333333334</v>
      </c>
      <c r="T151">
        <v>165</v>
      </c>
      <c r="U151">
        <f t="shared" si="20"/>
        <v>20.800000000000011</v>
      </c>
    </row>
    <row r="152" spans="1:21" ht="14.25" customHeight="1" x14ac:dyDescent="0.35">
      <c r="A152" s="6" t="s">
        <v>639</v>
      </c>
      <c r="B152" s="6" t="s">
        <v>640</v>
      </c>
      <c r="C152" s="6" t="s">
        <v>641</v>
      </c>
      <c r="D152" s="6" t="s">
        <v>44</v>
      </c>
      <c r="E152" s="7" t="s">
        <v>23</v>
      </c>
      <c r="F152" s="6">
        <v>85023</v>
      </c>
      <c r="G152" s="6" t="s">
        <v>72</v>
      </c>
      <c r="H152" s="6" t="s">
        <v>93</v>
      </c>
      <c r="I152" s="6" t="s">
        <v>26</v>
      </c>
      <c r="J152" s="6" t="b">
        <v>1</v>
      </c>
      <c r="K152" s="6" t="s">
        <v>27</v>
      </c>
      <c r="L152" s="6">
        <v>41.2</v>
      </c>
      <c r="M152" s="6">
        <v>144.19999999999999</v>
      </c>
      <c r="N152" s="8">
        <f t="shared" si="14"/>
        <v>76.679999999999993</v>
      </c>
      <c r="O152" s="8">
        <f t="shared" si="15"/>
        <v>1848.28</v>
      </c>
      <c r="P152" s="8">
        <f t="shared" si="16"/>
        <v>1848.28</v>
      </c>
      <c r="Q152" s="8">
        <f t="shared" si="17"/>
        <v>0</v>
      </c>
      <c r="R152" s="9">
        <f t="shared" si="18"/>
        <v>1848.28</v>
      </c>
      <c r="S152" s="10">
        <f t="shared" si="19"/>
        <v>154.02333333333334</v>
      </c>
      <c r="T152">
        <v>165</v>
      </c>
      <c r="U152">
        <f t="shared" si="20"/>
        <v>20.800000000000011</v>
      </c>
    </row>
    <row r="153" spans="1:21" ht="14.25" customHeight="1" x14ac:dyDescent="0.35">
      <c r="A153" s="6" t="s">
        <v>642</v>
      </c>
      <c r="B153" s="6" t="s">
        <v>643</v>
      </c>
      <c r="C153" s="6" t="s">
        <v>644</v>
      </c>
      <c r="D153" s="6" t="s">
        <v>22</v>
      </c>
      <c r="E153" s="7" t="s">
        <v>23</v>
      </c>
      <c r="F153" s="6">
        <v>85224</v>
      </c>
      <c r="G153" s="6" t="s">
        <v>24</v>
      </c>
      <c r="H153" s="6" t="s">
        <v>25</v>
      </c>
      <c r="I153" s="6" t="s">
        <v>26</v>
      </c>
      <c r="J153" s="6" t="b">
        <v>1</v>
      </c>
      <c r="K153" s="6" t="s">
        <v>27</v>
      </c>
      <c r="L153" s="6">
        <v>41.2</v>
      </c>
      <c r="M153" s="6">
        <v>144.19999999999999</v>
      </c>
      <c r="N153" s="8">
        <f t="shared" si="14"/>
        <v>76.679999999999993</v>
      </c>
      <c r="O153" s="8">
        <f t="shared" si="15"/>
        <v>1848.28</v>
      </c>
      <c r="P153" s="8">
        <f t="shared" si="16"/>
        <v>1848.28</v>
      </c>
      <c r="Q153" s="8">
        <f t="shared" si="17"/>
        <v>0</v>
      </c>
      <c r="R153" s="9">
        <f t="shared" si="18"/>
        <v>1848.28</v>
      </c>
      <c r="S153" s="10">
        <f t="shared" si="19"/>
        <v>154.02333333333334</v>
      </c>
      <c r="T153">
        <v>165</v>
      </c>
      <c r="U153">
        <f t="shared" si="20"/>
        <v>20.800000000000011</v>
      </c>
    </row>
    <row r="154" spans="1:21" ht="14.25" customHeight="1" x14ac:dyDescent="0.35">
      <c r="A154" s="6" t="s">
        <v>645</v>
      </c>
      <c r="B154" s="6" t="s">
        <v>646</v>
      </c>
      <c r="C154" s="6" t="s">
        <v>647</v>
      </c>
      <c r="D154" s="6" t="s">
        <v>31</v>
      </c>
      <c r="E154" s="7" t="s">
        <v>23</v>
      </c>
      <c r="F154" s="6">
        <v>85259</v>
      </c>
      <c r="G154" s="6" t="s">
        <v>45</v>
      </c>
      <c r="H154" s="6" t="s">
        <v>291</v>
      </c>
      <c r="I154" s="6" t="s">
        <v>26</v>
      </c>
      <c r="J154" s="6" t="b">
        <v>1</v>
      </c>
      <c r="K154" s="6" t="s">
        <v>27</v>
      </c>
      <c r="L154" s="6">
        <v>41.2</v>
      </c>
      <c r="M154" s="6">
        <v>144.19999999999999</v>
      </c>
      <c r="N154" s="8">
        <f t="shared" si="14"/>
        <v>76.679999999999993</v>
      </c>
      <c r="O154" s="8">
        <f t="shared" si="15"/>
        <v>1848.28</v>
      </c>
      <c r="P154" s="8">
        <f t="shared" si="16"/>
        <v>1848.28</v>
      </c>
      <c r="Q154" s="8">
        <f t="shared" si="17"/>
        <v>0</v>
      </c>
      <c r="R154" s="9">
        <f t="shared" si="18"/>
        <v>1848.28</v>
      </c>
      <c r="S154" s="10">
        <f t="shared" si="19"/>
        <v>154.02333333333334</v>
      </c>
      <c r="T154">
        <v>165</v>
      </c>
      <c r="U154">
        <f t="shared" si="20"/>
        <v>20.800000000000011</v>
      </c>
    </row>
    <row r="155" spans="1:21" ht="14.25" customHeight="1" x14ac:dyDescent="0.35">
      <c r="A155" s="6" t="s">
        <v>648</v>
      </c>
      <c r="B155" s="6" t="s">
        <v>649</v>
      </c>
      <c r="C155" s="6" t="s">
        <v>650</v>
      </c>
      <c r="D155" s="6" t="s">
        <v>363</v>
      </c>
      <c r="E155" s="7" t="s">
        <v>23</v>
      </c>
      <c r="F155" s="6">
        <v>85284</v>
      </c>
      <c r="G155" s="6" t="s">
        <v>24</v>
      </c>
      <c r="H155" s="6" t="s">
        <v>365</v>
      </c>
      <c r="I155" s="6" t="s">
        <v>26</v>
      </c>
      <c r="J155" s="6" t="b">
        <v>1</v>
      </c>
      <c r="K155" s="6" t="s">
        <v>27</v>
      </c>
      <c r="L155" s="6">
        <v>41.2</v>
      </c>
      <c r="M155" s="6">
        <v>144.19999999999999</v>
      </c>
      <c r="N155" s="8">
        <f t="shared" si="14"/>
        <v>76.679999999999993</v>
      </c>
      <c r="O155" s="8">
        <f t="shared" si="15"/>
        <v>1848.28</v>
      </c>
      <c r="P155" s="8">
        <f t="shared" si="16"/>
        <v>1848.28</v>
      </c>
      <c r="Q155" s="8">
        <f t="shared" si="17"/>
        <v>0</v>
      </c>
      <c r="R155" s="9">
        <f t="shared" si="18"/>
        <v>1848.28</v>
      </c>
      <c r="S155" s="10">
        <f t="shared" si="19"/>
        <v>154.02333333333334</v>
      </c>
      <c r="T155">
        <v>165</v>
      </c>
      <c r="U155">
        <f t="shared" si="20"/>
        <v>20.800000000000011</v>
      </c>
    </row>
    <row r="156" spans="1:21" ht="14.25" customHeight="1" x14ac:dyDescent="0.35">
      <c r="A156" s="6" t="s">
        <v>651</v>
      </c>
      <c r="B156" s="6" t="s">
        <v>652</v>
      </c>
      <c r="C156" s="6" t="s">
        <v>653</v>
      </c>
      <c r="D156" s="6" t="s">
        <v>44</v>
      </c>
      <c r="E156" s="7" t="s">
        <v>23</v>
      </c>
      <c r="F156" s="6">
        <v>85083</v>
      </c>
      <c r="G156" s="6" t="s">
        <v>78</v>
      </c>
      <c r="H156" s="6" t="s">
        <v>281</v>
      </c>
      <c r="I156" s="6" t="s">
        <v>40</v>
      </c>
      <c r="J156" s="6" t="b">
        <v>1</v>
      </c>
      <c r="K156" s="6" t="s">
        <v>27</v>
      </c>
      <c r="L156" s="6">
        <v>41.2</v>
      </c>
      <c r="M156" s="6">
        <v>144.19999999999999</v>
      </c>
      <c r="N156" s="8">
        <f t="shared" si="14"/>
        <v>76.679999999999993</v>
      </c>
      <c r="O156" s="8">
        <f t="shared" si="15"/>
        <v>1848.28</v>
      </c>
      <c r="P156" s="8">
        <f t="shared" si="16"/>
        <v>1848.28</v>
      </c>
      <c r="Q156" s="8">
        <f t="shared" si="17"/>
        <v>0</v>
      </c>
      <c r="R156" s="9">
        <f t="shared" si="18"/>
        <v>1848.28</v>
      </c>
      <c r="S156" s="10">
        <f t="shared" si="19"/>
        <v>154.02333333333334</v>
      </c>
      <c r="T156">
        <v>165</v>
      </c>
      <c r="U156">
        <f t="shared" si="20"/>
        <v>20.800000000000011</v>
      </c>
    </row>
    <row r="157" spans="1:21" ht="14.25" customHeight="1" x14ac:dyDescent="0.35">
      <c r="A157" s="6" t="s">
        <v>654</v>
      </c>
      <c r="B157" s="6" t="s">
        <v>655</v>
      </c>
      <c r="C157" s="6" t="s">
        <v>656</v>
      </c>
      <c r="D157" s="6" t="s">
        <v>44</v>
      </c>
      <c r="E157" s="7" t="s">
        <v>23</v>
      </c>
      <c r="F157" s="6">
        <v>85044</v>
      </c>
      <c r="G157" s="6" t="s">
        <v>24</v>
      </c>
      <c r="H157" s="6" t="s">
        <v>161</v>
      </c>
      <c r="I157" s="6" t="s">
        <v>26</v>
      </c>
      <c r="J157" s="6" t="b">
        <v>1</v>
      </c>
      <c r="K157" s="6" t="s">
        <v>27</v>
      </c>
      <c r="L157" s="6">
        <v>41.2</v>
      </c>
      <c r="M157" s="6">
        <v>144.19999999999999</v>
      </c>
      <c r="N157" s="8">
        <f t="shared" si="14"/>
        <v>76.679999999999993</v>
      </c>
      <c r="O157" s="8">
        <f t="shared" si="15"/>
        <v>1848.28</v>
      </c>
      <c r="P157" s="8">
        <f t="shared" si="16"/>
        <v>1848.28</v>
      </c>
      <c r="Q157" s="8">
        <f t="shared" si="17"/>
        <v>0</v>
      </c>
      <c r="R157" s="9">
        <f t="shared" si="18"/>
        <v>1848.28</v>
      </c>
      <c r="S157" s="10">
        <f t="shared" si="19"/>
        <v>154.02333333333334</v>
      </c>
      <c r="T157">
        <v>165</v>
      </c>
      <c r="U157">
        <f t="shared" si="20"/>
        <v>20.800000000000011</v>
      </c>
    </row>
    <row r="158" spans="1:21" ht="14.25" customHeight="1" x14ac:dyDescent="0.35">
      <c r="A158" s="6" t="s">
        <v>657</v>
      </c>
      <c r="B158" s="6" t="s">
        <v>658</v>
      </c>
      <c r="C158" s="6" t="s">
        <v>659</v>
      </c>
      <c r="D158" s="6" t="s">
        <v>44</v>
      </c>
      <c r="E158" s="7" t="s">
        <v>23</v>
      </c>
      <c r="F158" s="6">
        <v>85041</v>
      </c>
      <c r="G158" s="6" t="s">
        <v>213</v>
      </c>
      <c r="H158" s="6" t="s">
        <v>39</v>
      </c>
      <c r="I158" s="6" t="s">
        <v>26</v>
      </c>
      <c r="J158" s="6" t="b">
        <v>1</v>
      </c>
      <c r="K158" s="6" t="s">
        <v>27</v>
      </c>
      <c r="L158" s="6">
        <v>41.2</v>
      </c>
      <c r="M158" s="6">
        <v>144.19999999999999</v>
      </c>
      <c r="N158" s="8">
        <f t="shared" si="14"/>
        <v>76.679999999999993</v>
      </c>
      <c r="O158" s="8">
        <f t="shared" si="15"/>
        <v>1848.28</v>
      </c>
      <c r="P158" s="8">
        <f t="shared" si="16"/>
        <v>1848.28</v>
      </c>
      <c r="Q158" s="8">
        <f t="shared" si="17"/>
        <v>0</v>
      </c>
      <c r="R158" s="9">
        <f t="shared" si="18"/>
        <v>1848.28</v>
      </c>
      <c r="S158" s="10">
        <f t="shared" si="19"/>
        <v>154.02333333333334</v>
      </c>
      <c r="T158">
        <v>165</v>
      </c>
      <c r="U158">
        <f t="shared" si="20"/>
        <v>20.800000000000011</v>
      </c>
    </row>
    <row r="159" spans="1:21" ht="14.25" customHeight="1" x14ac:dyDescent="0.35">
      <c r="A159" s="6" t="s">
        <v>660</v>
      </c>
      <c r="B159" s="6" t="s">
        <v>661</v>
      </c>
      <c r="C159" s="6" t="s">
        <v>662</v>
      </c>
      <c r="D159" s="6" t="s">
        <v>31</v>
      </c>
      <c r="E159" s="7" t="s">
        <v>23</v>
      </c>
      <c r="F159" s="6">
        <v>85255</v>
      </c>
      <c r="G159" s="6" t="s">
        <v>45</v>
      </c>
      <c r="H159" s="6" t="s">
        <v>169</v>
      </c>
      <c r="I159" s="6" t="s">
        <v>61</v>
      </c>
      <c r="J159" s="6" t="b">
        <v>1</v>
      </c>
      <c r="K159" s="6" t="s">
        <v>27</v>
      </c>
      <c r="L159" s="6">
        <v>41.2</v>
      </c>
      <c r="M159" s="6">
        <v>144.19999999999999</v>
      </c>
      <c r="N159" s="8">
        <f t="shared" si="14"/>
        <v>76.679999999999993</v>
      </c>
      <c r="O159" s="8">
        <f t="shared" si="15"/>
        <v>1848.28</v>
      </c>
      <c r="P159" s="8">
        <f t="shared" si="16"/>
        <v>1848.28</v>
      </c>
      <c r="Q159" s="8">
        <f t="shared" si="17"/>
        <v>0</v>
      </c>
      <c r="R159" s="9">
        <f t="shared" si="18"/>
        <v>1848.28</v>
      </c>
      <c r="S159" s="10">
        <f t="shared" si="19"/>
        <v>154.02333333333334</v>
      </c>
      <c r="T159">
        <v>165</v>
      </c>
      <c r="U159">
        <f t="shared" si="20"/>
        <v>20.800000000000011</v>
      </c>
    </row>
    <row r="160" spans="1:21" ht="14.25" customHeight="1" x14ac:dyDescent="0.35">
      <c r="A160" s="6" t="s">
        <v>663</v>
      </c>
      <c r="B160" s="6" t="s">
        <v>664</v>
      </c>
      <c r="C160" s="6" t="s">
        <v>665</v>
      </c>
      <c r="D160" s="6" t="s">
        <v>44</v>
      </c>
      <c r="E160" s="7" t="s">
        <v>23</v>
      </c>
      <c r="F160" s="6">
        <v>85003</v>
      </c>
      <c r="G160" s="6" t="s">
        <v>213</v>
      </c>
      <c r="H160" s="6" t="s">
        <v>202</v>
      </c>
      <c r="I160" s="6" t="s">
        <v>26</v>
      </c>
      <c r="J160" s="6" t="b">
        <v>1</v>
      </c>
      <c r="K160" s="6" t="s">
        <v>27</v>
      </c>
      <c r="L160" s="6">
        <v>41.2</v>
      </c>
      <c r="M160" s="6">
        <v>144.19999999999999</v>
      </c>
      <c r="N160" s="8">
        <f t="shared" si="14"/>
        <v>76.679999999999993</v>
      </c>
      <c r="O160" s="8">
        <f t="shared" si="15"/>
        <v>1848.28</v>
      </c>
      <c r="P160" s="8">
        <f t="shared" si="16"/>
        <v>1848.28</v>
      </c>
      <c r="Q160" s="8">
        <f t="shared" si="17"/>
        <v>0</v>
      </c>
      <c r="R160" s="9">
        <f t="shared" si="18"/>
        <v>1848.28</v>
      </c>
      <c r="S160" s="10">
        <f t="shared" si="19"/>
        <v>154.02333333333334</v>
      </c>
      <c r="T160">
        <v>165</v>
      </c>
      <c r="U160">
        <f t="shared" si="20"/>
        <v>20.800000000000011</v>
      </c>
    </row>
    <row r="161" spans="1:21" ht="14.25" customHeight="1" x14ac:dyDescent="0.35">
      <c r="A161" s="6" t="s">
        <v>666</v>
      </c>
      <c r="B161" s="6" t="s">
        <v>667</v>
      </c>
      <c r="C161" s="6" t="s">
        <v>668</v>
      </c>
      <c r="D161" s="6" t="s">
        <v>65</v>
      </c>
      <c r="E161" s="7" t="s">
        <v>23</v>
      </c>
      <c r="F161" s="6">
        <v>85207</v>
      </c>
      <c r="G161" s="6" t="s">
        <v>66</v>
      </c>
      <c r="H161" s="6" t="s">
        <v>67</v>
      </c>
      <c r="I161" s="6" t="s">
        <v>26</v>
      </c>
      <c r="J161" s="6" t="b">
        <v>1</v>
      </c>
      <c r="K161" s="6" t="s">
        <v>27</v>
      </c>
      <c r="L161" s="6">
        <v>41.2</v>
      </c>
      <c r="M161" s="6">
        <v>144.19999999999999</v>
      </c>
      <c r="N161" s="8">
        <f t="shared" si="14"/>
        <v>76.679999999999993</v>
      </c>
      <c r="O161" s="8">
        <f t="shared" si="15"/>
        <v>1848.28</v>
      </c>
      <c r="P161" s="8">
        <f t="shared" si="16"/>
        <v>1848.28</v>
      </c>
      <c r="Q161" s="8">
        <f t="shared" si="17"/>
        <v>0</v>
      </c>
      <c r="R161" s="9">
        <f t="shared" si="18"/>
        <v>1848.28</v>
      </c>
      <c r="S161" s="10">
        <f t="shared" si="19"/>
        <v>154.02333333333334</v>
      </c>
      <c r="T161">
        <v>165</v>
      </c>
      <c r="U161">
        <f t="shared" si="20"/>
        <v>20.800000000000011</v>
      </c>
    </row>
    <row r="162" spans="1:21" ht="14.25" customHeight="1" x14ac:dyDescent="0.35">
      <c r="A162" s="6" t="s">
        <v>669</v>
      </c>
      <c r="B162" s="6" t="s">
        <v>670</v>
      </c>
      <c r="C162" s="6" t="s">
        <v>671</v>
      </c>
      <c r="D162" s="6" t="s">
        <v>430</v>
      </c>
      <c r="E162" s="7" t="s">
        <v>23</v>
      </c>
      <c r="F162" s="6">
        <v>85253</v>
      </c>
      <c r="G162" s="6" t="s">
        <v>49</v>
      </c>
      <c r="H162" s="6" t="s">
        <v>50</v>
      </c>
      <c r="I162" s="6" t="s">
        <v>61</v>
      </c>
      <c r="J162" s="6" t="b">
        <v>1</v>
      </c>
      <c r="K162" s="6" t="s">
        <v>27</v>
      </c>
      <c r="L162" s="6">
        <v>41.2</v>
      </c>
      <c r="M162" s="6">
        <v>144.19999999999999</v>
      </c>
      <c r="N162" s="8">
        <f t="shared" si="14"/>
        <v>76.679999999999993</v>
      </c>
      <c r="O162" s="8">
        <f t="shared" si="15"/>
        <v>1848.28</v>
      </c>
      <c r="P162" s="8">
        <f t="shared" si="16"/>
        <v>1848.28</v>
      </c>
      <c r="Q162" s="8">
        <f t="shared" si="17"/>
        <v>0</v>
      </c>
      <c r="R162" s="9">
        <f t="shared" si="18"/>
        <v>1848.28</v>
      </c>
      <c r="S162" s="10">
        <f t="shared" si="19"/>
        <v>154.02333333333334</v>
      </c>
      <c r="T162">
        <v>165</v>
      </c>
      <c r="U162">
        <f t="shared" si="20"/>
        <v>20.800000000000011</v>
      </c>
    </row>
    <row r="163" spans="1:21" ht="14.25" customHeight="1" x14ac:dyDescent="0.35">
      <c r="A163" s="6" t="s">
        <v>672</v>
      </c>
      <c r="B163" s="6" t="s">
        <v>673</v>
      </c>
      <c r="C163" s="6" t="s">
        <v>674</v>
      </c>
      <c r="D163" s="6" t="s">
        <v>248</v>
      </c>
      <c r="E163" s="7" t="s">
        <v>23</v>
      </c>
      <c r="F163" s="6">
        <v>85339</v>
      </c>
      <c r="G163" s="6" t="s">
        <v>213</v>
      </c>
      <c r="H163" s="6" t="s">
        <v>39</v>
      </c>
      <c r="I163" s="6" t="s">
        <v>26</v>
      </c>
      <c r="J163" s="6" t="b">
        <v>1</v>
      </c>
      <c r="K163" s="6" t="s">
        <v>27</v>
      </c>
      <c r="L163" s="6">
        <v>41.2</v>
      </c>
      <c r="M163" s="6">
        <v>144.19999999999999</v>
      </c>
      <c r="N163" s="8">
        <f t="shared" si="14"/>
        <v>76.679999999999993</v>
      </c>
      <c r="O163" s="8">
        <f t="shared" si="15"/>
        <v>1848.28</v>
      </c>
      <c r="P163" s="8">
        <f t="shared" si="16"/>
        <v>1848.28</v>
      </c>
      <c r="Q163" s="8">
        <f t="shared" si="17"/>
        <v>0</v>
      </c>
      <c r="R163" s="9">
        <f t="shared" si="18"/>
        <v>1848.28</v>
      </c>
      <c r="S163" s="10">
        <f t="shared" si="19"/>
        <v>154.02333333333334</v>
      </c>
      <c r="T163">
        <v>165</v>
      </c>
      <c r="U163">
        <f t="shared" si="20"/>
        <v>20.800000000000011</v>
      </c>
    </row>
    <row r="164" spans="1:21" ht="14.25" customHeight="1" x14ac:dyDescent="0.35">
      <c r="A164" s="6" t="s">
        <v>675</v>
      </c>
      <c r="B164" s="6" t="s">
        <v>676</v>
      </c>
      <c r="C164" s="6" t="s">
        <v>677</v>
      </c>
      <c r="D164" s="6" t="s">
        <v>44</v>
      </c>
      <c r="E164" s="7" t="s">
        <v>23</v>
      </c>
      <c r="F164" s="6">
        <v>85012</v>
      </c>
      <c r="G164" s="6" t="s">
        <v>49</v>
      </c>
      <c r="H164" s="6" t="s">
        <v>202</v>
      </c>
      <c r="I164" s="6" t="s">
        <v>26</v>
      </c>
      <c r="J164" s="6" t="b">
        <v>1</v>
      </c>
      <c r="K164" s="6" t="s">
        <v>27</v>
      </c>
      <c r="L164" s="6">
        <v>41.2</v>
      </c>
      <c r="M164" s="6">
        <v>144.19999999999999</v>
      </c>
      <c r="N164" s="8">
        <f t="shared" si="14"/>
        <v>76.679999999999993</v>
      </c>
      <c r="O164" s="8">
        <f t="shared" si="15"/>
        <v>1848.28</v>
      </c>
      <c r="P164" s="8">
        <f t="shared" si="16"/>
        <v>1848.28</v>
      </c>
      <c r="Q164" s="8">
        <f t="shared" si="17"/>
        <v>0</v>
      </c>
      <c r="R164" s="9">
        <f t="shared" si="18"/>
        <v>1848.28</v>
      </c>
      <c r="S164" s="10">
        <f t="shared" si="19"/>
        <v>154.02333333333334</v>
      </c>
      <c r="T164">
        <v>165</v>
      </c>
      <c r="U164">
        <f t="shared" si="20"/>
        <v>20.800000000000011</v>
      </c>
    </row>
    <row r="165" spans="1:21" ht="14.25" customHeight="1" x14ac:dyDescent="0.35">
      <c r="A165" s="6" t="s">
        <v>678</v>
      </c>
      <c r="B165" s="6" t="s">
        <v>679</v>
      </c>
      <c r="C165" s="6" t="s">
        <v>680</v>
      </c>
      <c r="D165" s="6" t="s">
        <v>44</v>
      </c>
      <c r="E165" s="7" t="s">
        <v>23</v>
      </c>
      <c r="F165" s="6">
        <v>85022</v>
      </c>
      <c r="G165" s="6" t="s">
        <v>173</v>
      </c>
      <c r="H165" s="6" t="s">
        <v>79</v>
      </c>
      <c r="I165" s="6" t="s">
        <v>26</v>
      </c>
      <c r="J165" s="6" t="b">
        <v>1</v>
      </c>
      <c r="K165" s="6" t="s">
        <v>27</v>
      </c>
      <c r="L165" s="6">
        <v>41.2</v>
      </c>
      <c r="M165" s="6">
        <v>144.19999999999999</v>
      </c>
      <c r="N165" s="8">
        <f t="shared" si="14"/>
        <v>76.679999999999993</v>
      </c>
      <c r="O165" s="8">
        <f t="shared" si="15"/>
        <v>1848.28</v>
      </c>
      <c r="P165" s="8">
        <f t="shared" si="16"/>
        <v>1848.28</v>
      </c>
      <c r="Q165" s="8">
        <f t="shared" si="17"/>
        <v>0</v>
      </c>
      <c r="R165" s="9">
        <f t="shared" si="18"/>
        <v>1848.28</v>
      </c>
      <c r="S165" s="10">
        <f t="shared" si="19"/>
        <v>154.02333333333334</v>
      </c>
      <c r="T165">
        <v>165</v>
      </c>
      <c r="U165">
        <f t="shared" si="20"/>
        <v>20.800000000000011</v>
      </c>
    </row>
    <row r="166" spans="1:21" ht="14.25" customHeight="1" x14ac:dyDescent="0.35">
      <c r="A166" s="6" t="s">
        <v>681</v>
      </c>
      <c r="B166" s="6" t="s">
        <v>682</v>
      </c>
      <c r="C166" s="6" t="s">
        <v>683</v>
      </c>
      <c r="D166" s="6" t="s">
        <v>31</v>
      </c>
      <c r="E166" s="7" t="s">
        <v>23</v>
      </c>
      <c r="F166" s="6">
        <v>85255</v>
      </c>
      <c r="G166" s="6" t="s">
        <v>32</v>
      </c>
      <c r="H166" s="6" t="s">
        <v>33</v>
      </c>
      <c r="I166" s="6" t="s">
        <v>26</v>
      </c>
      <c r="J166" s="6" t="b">
        <v>1</v>
      </c>
      <c r="K166" s="6" t="s">
        <v>27</v>
      </c>
      <c r="L166" s="6">
        <v>41.2</v>
      </c>
      <c r="M166" s="6">
        <v>144.19999999999999</v>
      </c>
      <c r="N166" s="8">
        <f t="shared" si="14"/>
        <v>76.679999999999993</v>
      </c>
      <c r="O166" s="8">
        <f t="shared" si="15"/>
        <v>1848.28</v>
      </c>
      <c r="P166" s="8">
        <f t="shared" si="16"/>
        <v>1848.28</v>
      </c>
      <c r="Q166" s="8">
        <f t="shared" si="17"/>
        <v>0</v>
      </c>
      <c r="R166" s="9">
        <f t="shared" si="18"/>
        <v>1848.28</v>
      </c>
      <c r="S166" s="10">
        <f t="shared" si="19"/>
        <v>154.02333333333334</v>
      </c>
      <c r="T166">
        <v>165</v>
      </c>
      <c r="U166">
        <f t="shared" si="20"/>
        <v>20.800000000000011</v>
      </c>
    </row>
    <row r="167" spans="1:21" ht="14.25" customHeight="1" x14ac:dyDescent="0.35">
      <c r="A167" s="6" t="s">
        <v>684</v>
      </c>
      <c r="B167" s="6" t="s">
        <v>685</v>
      </c>
      <c r="C167" s="6" t="s">
        <v>686</v>
      </c>
      <c r="D167" s="6" t="s">
        <v>31</v>
      </c>
      <c r="E167" s="7" t="s">
        <v>23</v>
      </c>
      <c r="F167" s="6">
        <v>85255</v>
      </c>
      <c r="G167" s="6" t="s">
        <v>32</v>
      </c>
      <c r="H167" s="6" t="s">
        <v>33</v>
      </c>
      <c r="I167" s="6" t="s">
        <v>26</v>
      </c>
      <c r="J167" s="6" t="b">
        <v>1</v>
      </c>
      <c r="K167" s="6" t="s">
        <v>27</v>
      </c>
      <c r="L167" s="6">
        <v>41.2</v>
      </c>
      <c r="M167" s="6">
        <v>144.19999999999999</v>
      </c>
      <c r="N167" s="8">
        <f t="shared" si="14"/>
        <v>76.679999999999993</v>
      </c>
      <c r="O167" s="8">
        <f t="shared" si="15"/>
        <v>1848.28</v>
      </c>
      <c r="P167" s="8">
        <f t="shared" si="16"/>
        <v>1848.28</v>
      </c>
      <c r="Q167" s="8">
        <f t="shared" si="17"/>
        <v>0</v>
      </c>
      <c r="R167" s="9">
        <f t="shared" si="18"/>
        <v>1848.28</v>
      </c>
      <c r="S167" s="10">
        <f t="shared" si="19"/>
        <v>154.02333333333334</v>
      </c>
      <c r="T167">
        <v>165</v>
      </c>
      <c r="U167">
        <f t="shared" si="20"/>
        <v>20.800000000000011</v>
      </c>
    </row>
    <row r="168" spans="1:21" ht="14.25" customHeight="1" x14ac:dyDescent="0.35">
      <c r="A168" s="6" t="s">
        <v>687</v>
      </c>
      <c r="B168" s="6" t="s">
        <v>688</v>
      </c>
      <c r="C168" s="6" t="s">
        <v>689</v>
      </c>
      <c r="D168" s="6" t="s">
        <v>241</v>
      </c>
      <c r="E168" s="7" t="s">
        <v>23</v>
      </c>
      <c r="F168" s="6">
        <v>85331</v>
      </c>
      <c r="G168" s="6" t="s">
        <v>32</v>
      </c>
      <c r="H168" s="6" t="s">
        <v>79</v>
      </c>
      <c r="I168" s="6" t="s">
        <v>40</v>
      </c>
      <c r="J168" s="6" t="b">
        <v>1</v>
      </c>
      <c r="K168" s="6" t="s">
        <v>27</v>
      </c>
      <c r="L168" s="6">
        <v>41.2</v>
      </c>
      <c r="M168" s="6">
        <v>144.19999999999999</v>
      </c>
      <c r="N168" s="8">
        <f t="shared" si="14"/>
        <v>76.679999999999993</v>
      </c>
      <c r="O168" s="8">
        <f t="shared" si="15"/>
        <v>1848.28</v>
      </c>
      <c r="P168" s="8">
        <f t="shared" si="16"/>
        <v>1848.28</v>
      </c>
      <c r="Q168" s="8">
        <f t="shared" si="17"/>
        <v>0</v>
      </c>
      <c r="R168" s="9">
        <f t="shared" si="18"/>
        <v>1848.28</v>
      </c>
      <c r="S168" s="10">
        <f t="shared" si="19"/>
        <v>154.02333333333334</v>
      </c>
      <c r="T168">
        <v>165</v>
      </c>
      <c r="U168">
        <f t="shared" si="20"/>
        <v>20.800000000000011</v>
      </c>
    </row>
    <row r="169" spans="1:21" ht="14.25" customHeight="1" x14ac:dyDescent="0.35">
      <c r="A169" s="6" t="s">
        <v>690</v>
      </c>
      <c r="B169" s="6" t="s">
        <v>691</v>
      </c>
      <c r="C169" s="6" t="s">
        <v>692</v>
      </c>
      <c r="D169" s="6" t="s">
        <v>165</v>
      </c>
      <c r="E169" s="7" t="s">
        <v>23</v>
      </c>
      <c r="F169" s="6">
        <v>85234</v>
      </c>
      <c r="G169" s="6" t="s">
        <v>125</v>
      </c>
      <c r="H169" s="6" t="s">
        <v>25</v>
      </c>
      <c r="I169" s="6" t="s">
        <v>26</v>
      </c>
      <c r="J169" s="6" t="b">
        <v>1</v>
      </c>
      <c r="K169" s="6" t="s">
        <v>27</v>
      </c>
      <c r="L169" s="6">
        <v>41.2</v>
      </c>
      <c r="M169" s="6">
        <v>144.19999999999999</v>
      </c>
      <c r="N169" s="8">
        <f t="shared" si="14"/>
        <v>76.679999999999993</v>
      </c>
      <c r="O169" s="8">
        <f t="shared" si="15"/>
        <v>1848.28</v>
      </c>
      <c r="P169" s="8">
        <f t="shared" si="16"/>
        <v>1848.28</v>
      </c>
      <c r="Q169" s="8">
        <f t="shared" si="17"/>
        <v>0</v>
      </c>
      <c r="R169" s="9">
        <f t="shared" si="18"/>
        <v>1848.28</v>
      </c>
      <c r="S169" s="10">
        <f t="shared" si="19"/>
        <v>154.02333333333334</v>
      </c>
      <c r="T169">
        <v>165</v>
      </c>
      <c r="U169">
        <f t="shared" si="20"/>
        <v>20.800000000000011</v>
      </c>
    </row>
    <row r="170" spans="1:21" ht="14.25" customHeight="1" x14ac:dyDescent="0.35">
      <c r="A170" s="6" t="s">
        <v>693</v>
      </c>
      <c r="B170" s="6" t="s">
        <v>694</v>
      </c>
      <c r="C170" s="6" t="s">
        <v>695</v>
      </c>
      <c r="D170" s="6" t="s">
        <v>44</v>
      </c>
      <c r="E170" s="7" t="s">
        <v>23</v>
      </c>
      <c r="F170" s="6">
        <v>85085</v>
      </c>
      <c r="G170" s="6" t="s">
        <v>32</v>
      </c>
      <c r="H170" s="6" t="s">
        <v>50</v>
      </c>
      <c r="I170" s="6" t="s">
        <v>40</v>
      </c>
      <c r="J170" s="6" t="b">
        <v>1</v>
      </c>
      <c r="K170" s="6" t="s">
        <v>27</v>
      </c>
      <c r="L170" s="6">
        <v>41.2</v>
      </c>
      <c r="M170" s="6">
        <v>144.19999999999999</v>
      </c>
      <c r="N170" s="8">
        <f t="shared" si="14"/>
        <v>76.679999999999993</v>
      </c>
      <c r="O170" s="8">
        <f t="shared" si="15"/>
        <v>1848.28</v>
      </c>
      <c r="P170" s="8">
        <f t="shared" si="16"/>
        <v>1848.28</v>
      </c>
      <c r="Q170" s="8">
        <f t="shared" si="17"/>
        <v>0</v>
      </c>
      <c r="R170" s="9">
        <f t="shared" si="18"/>
        <v>1848.28</v>
      </c>
      <c r="S170" s="10">
        <f t="shared" si="19"/>
        <v>154.02333333333334</v>
      </c>
      <c r="T170">
        <v>165</v>
      </c>
      <c r="U170">
        <f t="shared" si="20"/>
        <v>20.800000000000011</v>
      </c>
    </row>
    <row r="171" spans="1:21" ht="14.25" customHeight="1" x14ac:dyDescent="0.35">
      <c r="A171" s="6" t="s">
        <v>696</v>
      </c>
      <c r="B171" s="6" t="s">
        <v>697</v>
      </c>
      <c r="C171" s="6" t="s">
        <v>698</v>
      </c>
      <c r="D171" s="6" t="s">
        <v>44</v>
      </c>
      <c r="E171" s="7" t="s">
        <v>23</v>
      </c>
      <c r="F171" s="6">
        <v>85042</v>
      </c>
      <c r="G171" s="6" t="s">
        <v>213</v>
      </c>
      <c r="H171" s="6" t="s">
        <v>39</v>
      </c>
      <c r="I171" s="6" t="s">
        <v>26</v>
      </c>
      <c r="J171" s="6" t="b">
        <v>1</v>
      </c>
      <c r="K171" s="6" t="s">
        <v>27</v>
      </c>
      <c r="L171" s="6">
        <v>41.2</v>
      </c>
      <c r="M171" s="6">
        <v>144.19999999999999</v>
      </c>
      <c r="N171" s="8">
        <f t="shared" si="14"/>
        <v>76.679999999999993</v>
      </c>
      <c r="O171" s="8">
        <f t="shared" si="15"/>
        <v>1848.28</v>
      </c>
      <c r="P171" s="8">
        <f t="shared" si="16"/>
        <v>1848.28</v>
      </c>
      <c r="Q171" s="8">
        <f t="shared" si="17"/>
        <v>0</v>
      </c>
      <c r="R171" s="9">
        <f t="shared" si="18"/>
        <v>1848.28</v>
      </c>
      <c r="S171" s="10">
        <f t="shared" si="19"/>
        <v>154.02333333333334</v>
      </c>
      <c r="T171">
        <v>165</v>
      </c>
      <c r="U171">
        <f t="shared" si="20"/>
        <v>20.800000000000011</v>
      </c>
    </row>
    <row r="172" spans="1:21" ht="14.25" customHeight="1" x14ac:dyDescent="0.35">
      <c r="A172" s="6" t="s">
        <v>699</v>
      </c>
      <c r="B172" s="6" t="s">
        <v>700</v>
      </c>
      <c r="C172" s="6" t="s">
        <v>701</v>
      </c>
      <c r="D172" s="6" t="s">
        <v>77</v>
      </c>
      <c r="E172" s="7" t="s">
        <v>23</v>
      </c>
      <c r="F172" s="6">
        <v>85308</v>
      </c>
      <c r="G172" s="6" t="s">
        <v>78</v>
      </c>
      <c r="H172" s="6" t="s">
        <v>79</v>
      </c>
      <c r="I172" s="6" t="s">
        <v>110</v>
      </c>
      <c r="J172" s="6" t="b">
        <v>1</v>
      </c>
      <c r="K172" s="6" t="s">
        <v>27</v>
      </c>
      <c r="L172" s="6">
        <v>41.2</v>
      </c>
      <c r="M172" s="6">
        <v>144.19999999999999</v>
      </c>
      <c r="N172" s="8">
        <f t="shared" si="14"/>
        <v>76.679999999999993</v>
      </c>
      <c r="O172" s="8">
        <f t="shared" si="15"/>
        <v>1848.28</v>
      </c>
      <c r="P172" s="8">
        <f t="shared" si="16"/>
        <v>1848.28</v>
      </c>
      <c r="Q172" s="8">
        <f t="shared" si="17"/>
        <v>0</v>
      </c>
      <c r="R172" s="9">
        <f t="shared" si="18"/>
        <v>1848.28</v>
      </c>
      <c r="S172" s="10">
        <f t="shared" si="19"/>
        <v>154.02333333333334</v>
      </c>
      <c r="T172">
        <v>165</v>
      </c>
      <c r="U172">
        <f t="shared" si="20"/>
        <v>20.800000000000011</v>
      </c>
    </row>
    <row r="173" spans="1:21" ht="14.25" customHeight="1" x14ac:dyDescent="0.35">
      <c r="A173" s="6" t="s">
        <v>702</v>
      </c>
      <c r="B173" s="6" t="s">
        <v>703</v>
      </c>
      <c r="C173" s="6" t="s">
        <v>704</v>
      </c>
      <c r="D173" s="6" t="s">
        <v>44</v>
      </c>
      <c r="E173" s="7" t="s">
        <v>23</v>
      </c>
      <c r="F173" s="6">
        <v>85035</v>
      </c>
      <c r="G173" s="6" t="s">
        <v>72</v>
      </c>
      <c r="H173" s="6" t="s">
        <v>73</v>
      </c>
      <c r="I173" s="6" t="s">
        <v>26</v>
      </c>
      <c r="J173" s="6" t="b">
        <v>1</v>
      </c>
      <c r="K173" s="6" t="s">
        <v>27</v>
      </c>
      <c r="L173" s="6">
        <v>41.2</v>
      </c>
      <c r="M173" s="6">
        <v>144.19999999999999</v>
      </c>
      <c r="N173" s="8">
        <f t="shared" si="14"/>
        <v>76.679999999999993</v>
      </c>
      <c r="O173" s="8">
        <f t="shared" si="15"/>
        <v>1848.28</v>
      </c>
      <c r="P173" s="8">
        <f t="shared" si="16"/>
        <v>1848.28</v>
      </c>
      <c r="Q173" s="8">
        <f t="shared" si="17"/>
        <v>0</v>
      </c>
      <c r="R173" s="9">
        <f t="shared" si="18"/>
        <v>1848.28</v>
      </c>
      <c r="S173" s="10">
        <f t="shared" si="19"/>
        <v>154.02333333333334</v>
      </c>
      <c r="T173">
        <v>165</v>
      </c>
      <c r="U173">
        <f t="shared" si="20"/>
        <v>20.800000000000011</v>
      </c>
    </row>
    <row r="174" spans="1:21" ht="14.25" customHeight="1" x14ac:dyDescent="0.35">
      <c r="A174" s="6" t="s">
        <v>705</v>
      </c>
      <c r="B174" s="6" t="s">
        <v>706</v>
      </c>
      <c r="C174" s="6" t="s">
        <v>707</v>
      </c>
      <c r="D174" s="6" t="s">
        <v>65</v>
      </c>
      <c r="E174" s="7" t="s">
        <v>23</v>
      </c>
      <c r="F174" s="6">
        <v>85205</v>
      </c>
      <c r="G174" s="6" t="s">
        <v>66</v>
      </c>
      <c r="H174" s="6" t="s">
        <v>67</v>
      </c>
      <c r="I174" s="6" t="s">
        <v>26</v>
      </c>
      <c r="J174" s="6" t="b">
        <v>1</v>
      </c>
      <c r="K174" s="6" t="s">
        <v>27</v>
      </c>
      <c r="L174" s="6">
        <v>41.2</v>
      </c>
      <c r="M174" s="6">
        <v>144.19999999999999</v>
      </c>
      <c r="N174" s="8">
        <f t="shared" si="14"/>
        <v>76.679999999999993</v>
      </c>
      <c r="O174" s="8">
        <f t="shared" si="15"/>
        <v>1848.28</v>
      </c>
      <c r="P174" s="8">
        <f t="shared" si="16"/>
        <v>1848.28</v>
      </c>
      <c r="Q174" s="8">
        <f t="shared" si="17"/>
        <v>0</v>
      </c>
      <c r="R174" s="9">
        <f t="shared" si="18"/>
        <v>1848.28</v>
      </c>
      <c r="S174" s="10">
        <f t="shared" si="19"/>
        <v>154.02333333333334</v>
      </c>
      <c r="T174">
        <v>165</v>
      </c>
      <c r="U174">
        <f t="shared" si="20"/>
        <v>20.800000000000011</v>
      </c>
    </row>
    <row r="175" spans="1:21" ht="14.25" customHeight="1" x14ac:dyDescent="0.35">
      <c r="A175" s="6" t="s">
        <v>708</v>
      </c>
      <c r="B175" s="6" t="s">
        <v>709</v>
      </c>
      <c r="C175" s="6" t="s">
        <v>710</v>
      </c>
      <c r="D175" s="6" t="s">
        <v>454</v>
      </c>
      <c r="E175" s="7" t="s">
        <v>23</v>
      </c>
      <c r="F175" s="6">
        <v>85395</v>
      </c>
      <c r="G175" s="6" t="s">
        <v>38</v>
      </c>
      <c r="H175" s="6" t="s">
        <v>378</v>
      </c>
      <c r="I175" s="6" t="s">
        <v>26</v>
      </c>
      <c r="J175" s="6" t="b">
        <v>1</v>
      </c>
      <c r="K175" s="6" t="s">
        <v>27</v>
      </c>
      <c r="L175" s="6">
        <v>41.2</v>
      </c>
      <c r="M175" s="6">
        <v>144.19999999999999</v>
      </c>
      <c r="N175" s="8">
        <f t="shared" si="14"/>
        <v>76.679999999999993</v>
      </c>
      <c r="O175" s="8">
        <f t="shared" si="15"/>
        <v>1848.28</v>
      </c>
      <c r="P175" s="8">
        <f t="shared" si="16"/>
        <v>1848.28</v>
      </c>
      <c r="Q175" s="8">
        <f t="shared" si="17"/>
        <v>0</v>
      </c>
      <c r="R175" s="9">
        <f t="shared" si="18"/>
        <v>1848.28</v>
      </c>
      <c r="S175" s="10">
        <f t="shared" si="19"/>
        <v>154.02333333333334</v>
      </c>
      <c r="T175">
        <v>165</v>
      </c>
      <c r="U175">
        <f t="shared" si="20"/>
        <v>20.800000000000011</v>
      </c>
    </row>
    <row r="176" spans="1:21" ht="14.25" customHeight="1" x14ac:dyDescent="0.35">
      <c r="A176" s="6" t="s">
        <v>711</v>
      </c>
      <c r="B176" s="6" t="s">
        <v>712</v>
      </c>
      <c r="C176" s="6" t="s">
        <v>713</v>
      </c>
      <c r="D176" s="6" t="s">
        <v>248</v>
      </c>
      <c r="E176" s="7" t="s">
        <v>23</v>
      </c>
      <c r="F176" s="6">
        <v>85339</v>
      </c>
      <c r="G176" s="6" t="s">
        <v>213</v>
      </c>
      <c r="H176" s="6" t="s">
        <v>39</v>
      </c>
      <c r="I176" s="6" t="s">
        <v>26</v>
      </c>
      <c r="J176" s="6" t="b">
        <v>1</v>
      </c>
      <c r="K176" s="6" t="s">
        <v>27</v>
      </c>
      <c r="L176" s="6">
        <v>41.2</v>
      </c>
      <c r="M176" s="6">
        <v>144.19999999999999</v>
      </c>
      <c r="N176" s="8">
        <f t="shared" si="14"/>
        <v>76.679999999999993</v>
      </c>
      <c r="O176" s="8">
        <f t="shared" si="15"/>
        <v>1848.28</v>
      </c>
      <c r="P176" s="8">
        <f t="shared" si="16"/>
        <v>1848.28</v>
      </c>
      <c r="Q176" s="8">
        <f t="shared" si="17"/>
        <v>0</v>
      </c>
      <c r="R176" s="9">
        <f t="shared" si="18"/>
        <v>1848.28</v>
      </c>
      <c r="S176" s="10">
        <f t="shared" si="19"/>
        <v>154.02333333333334</v>
      </c>
      <c r="T176">
        <v>165</v>
      </c>
      <c r="U176">
        <f t="shared" si="20"/>
        <v>20.800000000000011</v>
      </c>
    </row>
    <row r="177" spans="1:21" ht="14.25" customHeight="1" x14ac:dyDescent="0.35">
      <c r="A177" s="6" t="s">
        <v>714</v>
      </c>
      <c r="B177" s="6" t="s">
        <v>715</v>
      </c>
      <c r="C177" s="6" t="s">
        <v>716</v>
      </c>
      <c r="D177" s="6" t="s">
        <v>44</v>
      </c>
      <c r="E177" s="7" t="s">
        <v>23</v>
      </c>
      <c r="F177" s="6">
        <v>85018</v>
      </c>
      <c r="G177" s="6" t="s">
        <v>49</v>
      </c>
      <c r="H177" s="6" t="s">
        <v>50</v>
      </c>
      <c r="I177" s="6" t="s">
        <v>26</v>
      </c>
      <c r="J177" s="6" t="b">
        <v>1</v>
      </c>
      <c r="K177" s="6" t="s">
        <v>27</v>
      </c>
      <c r="L177" s="6">
        <v>41.2</v>
      </c>
      <c r="M177" s="6">
        <v>144.19999999999999</v>
      </c>
      <c r="N177" s="8">
        <f t="shared" si="14"/>
        <v>76.679999999999993</v>
      </c>
      <c r="O177" s="8">
        <f t="shared" si="15"/>
        <v>1848.28</v>
      </c>
      <c r="P177" s="8">
        <f t="shared" si="16"/>
        <v>1848.28</v>
      </c>
      <c r="Q177" s="8">
        <f t="shared" si="17"/>
        <v>0</v>
      </c>
      <c r="R177" s="9">
        <f t="shared" si="18"/>
        <v>1848.28</v>
      </c>
      <c r="S177" s="10">
        <f t="shared" si="19"/>
        <v>154.02333333333334</v>
      </c>
      <c r="T177">
        <v>165</v>
      </c>
      <c r="U177">
        <f t="shared" si="20"/>
        <v>20.800000000000011</v>
      </c>
    </row>
    <row r="178" spans="1:21" ht="14.25" customHeight="1" x14ac:dyDescent="0.35">
      <c r="A178" s="6" t="s">
        <v>717</v>
      </c>
      <c r="B178" s="6" t="s">
        <v>718</v>
      </c>
      <c r="C178" s="6" t="s">
        <v>719</v>
      </c>
      <c r="D178" s="6" t="s">
        <v>363</v>
      </c>
      <c r="E178" s="7" t="s">
        <v>23</v>
      </c>
      <c r="F178" s="6">
        <v>85283</v>
      </c>
      <c r="G178" s="6" t="s">
        <v>364</v>
      </c>
      <c r="H178" s="6" t="s">
        <v>365</v>
      </c>
      <c r="I178" s="6" t="s">
        <v>26</v>
      </c>
      <c r="J178" s="6" t="b">
        <v>1</v>
      </c>
      <c r="K178" s="6" t="s">
        <v>27</v>
      </c>
      <c r="L178" s="6">
        <v>41.2</v>
      </c>
      <c r="M178" s="6">
        <v>144.19999999999999</v>
      </c>
      <c r="N178" s="8">
        <f t="shared" si="14"/>
        <v>76.679999999999993</v>
      </c>
      <c r="O178" s="8">
        <f t="shared" si="15"/>
        <v>1848.28</v>
      </c>
      <c r="P178" s="8">
        <f t="shared" si="16"/>
        <v>1848.28</v>
      </c>
      <c r="Q178" s="8">
        <f t="shared" si="17"/>
        <v>0</v>
      </c>
      <c r="R178" s="9">
        <f t="shared" si="18"/>
        <v>1848.28</v>
      </c>
      <c r="S178" s="10">
        <f t="shared" si="19"/>
        <v>154.02333333333334</v>
      </c>
      <c r="T178">
        <v>165</v>
      </c>
      <c r="U178">
        <f t="shared" si="20"/>
        <v>20.800000000000011</v>
      </c>
    </row>
    <row r="179" spans="1:21" ht="14.25" customHeight="1" x14ac:dyDescent="0.35">
      <c r="A179" s="6" t="s">
        <v>720</v>
      </c>
      <c r="B179" s="6" t="s">
        <v>721</v>
      </c>
      <c r="C179" s="6" t="s">
        <v>722</v>
      </c>
      <c r="D179" s="6" t="s">
        <v>31</v>
      </c>
      <c r="E179" s="7" t="s">
        <v>23</v>
      </c>
      <c r="F179" s="6">
        <v>85259</v>
      </c>
      <c r="G179" s="6" t="s">
        <v>45</v>
      </c>
      <c r="H179" s="6" t="s">
        <v>291</v>
      </c>
      <c r="I179" s="6" t="s">
        <v>26</v>
      </c>
      <c r="J179" s="6" t="b">
        <v>1</v>
      </c>
      <c r="K179" s="6" t="s">
        <v>27</v>
      </c>
      <c r="L179" s="6">
        <v>41.2</v>
      </c>
      <c r="M179" s="6">
        <v>144.19999999999999</v>
      </c>
      <c r="N179" s="8">
        <f t="shared" si="14"/>
        <v>76.679999999999993</v>
      </c>
      <c r="O179" s="8">
        <f t="shared" si="15"/>
        <v>1848.28</v>
      </c>
      <c r="P179" s="8">
        <f t="shared" si="16"/>
        <v>1848.28</v>
      </c>
      <c r="Q179" s="8">
        <f t="shared" si="17"/>
        <v>0</v>
      </c>
      <c r="R179" s="9">
        <f t="shared" si="18"/>
        <v>1848.28</v>
      </c>
      <c r="S179" s="10">
        <f t="shared" si="19"/>
        <v>154.02333333333334</v>
      </c>
      <c r="T179">
        <v>165</v>
      </c>
      <c r="U179">
        <f t="shared" si="20"/>
        <v>20.800000000000011</v>
      </c>
    </row>
    <row r="180" spans="1:21" ht="14.25" customHeight="1" x14ac:dyDescent="0.35">
      <c r="A180" s="6" t="s">
        <v>723</v>
      </c>
      <c r="B180" s="6" t="s">
        <v>721</v>
      </c>
      <c r="C180" s="6" t="s">
        <v>724</v>
      </c>
      <c r="D180" s="6" t="s">
        <v>31</v>
      </c>
      <c r="E180" s="7" t="s">
        <v>23</v>
      </c>
      <c r="F180" s="6">
        <v>85259</v>
      </c>
      <c r="G180" s="6" t="s">
        <v>45</v>
      </c>
      <c r="H180" s="6" t="s">
        <v>169</v>
      </c>
      <c r="I180" s="6" t="s">
        <v>26</v>
      </c>
      <c r="J180" s="6" t="b">
        <v>1</v>
      </c>
      <c r="K180" s="6" t="s">
        <v>27</v>
      </c>
      <c r="L180" s="6">
        <v>41.2</v>
      </c>
      <c r="M180" s="6">
        <v>144.19999999999999</v>
      </c>
      <c r="N180" s="8">
        <f t="shared" si="14"/>
        <v>76.679999999999993</v>
      </c>
      <c r="O180" s="8">
        <f t="shared" si="15"/>
        <v>1848.28</v>
      </c>
      <c r="P180" s="8">
        <f t="shared" si="16"/>
        <v>1848.28</v>
      </c>
      <c r="Q180" s="8">
        <f t="shared" si="17"/>
        <v>0</v>
      </c>
      <c r="R180" s="9">
        <f t="shared" si="18"/>
        <v>1848.28</v>
      </c>
      <c r="S180" s="10">
        <f t="shared" si="19"/>
        <v>154.02333333333334</v>
      </c>
      <c r="T180">
        <v>165</v>
      </c>
      <c r="U180">
        <f t="shared" si="20"/>
        <v>20.800000000000011</v>
      </c>
    </row>
    <row r="181" spans="1:21" ht="14.25" customHeight="1" x14ac:dyDescent="0.35">
      <c r="A181" s="6" t="s">
        <v>725</v>
      </c>
      <c r="B181" s="6" t="s">
        <v>726</v>
      </c>
      <c r="C181" s="6" t="s">
        <v>727</v>
      </c>
      <c r="D181" s="6" t="s">
        <v>44</v>
      </c>
      <c r="E181" s="7" t="s">
        <v>23</v>
      </c>
      <c r="F181" s="6">
        <v>85044</v>
      </c>
      <c r="G181" s="6" t="s">
        <v>24</v>
      </c>
      <c r="H181" s="6" t="s">
        <v>161</v>
      </c>
      <c r="I181" s="6" t="s">
        <v>26</v>
      </c>
      <c r="J181" s="6" t="b">
        <v>1</v>
      </c>
      <c r="K181" s="6" t="s">
        <v>27</v>
      </c>
      <c r="L181" s="6">
        <v>41.2</v>
      </c>
      <c r="M181" s="6">
        <v>144.19999999999999</v>
      </c>
      <c r="N181" s="8">
        <f t="shared" si="14"/>
        <v>76.679999999999993</v>
      </c>
      <c r="O181" s="8">
        <f t="shared" si="15"/>
        <v>1848.28</v>
      </c>
      <c r="P181" s="8">
        <f t="shared" si="16"/>
        <v>1848.28</v>
      </c>
      <c r="Q181" s="8">
        <f t="shared" si="17"/>
        <v>0</v>
      </c>
      <c r="R181" s="9">
        <f t="shared" si="18"/>
        <v>1848.28</v>
      </c>
      <c r="S181" s="10">
        <f t="shared" si="19"/>
        <v>154.02333333333334</v>
      </c>
      <c r="T181">
        <v>165</v>
      </c>
      <c r="U181">
        <f t="shared" si="20"/>
        <v>20.800000000000011</v>
      </c>
    </row>
    <row r="182" spans="1:21" ht="14.25" customHeight="1" x14ac:dyDescent="0.35">
      <c r="A182" s="6" t="s">
        <v>728</v>
      </c>
      <c r="B182" s="6" t="s">
        <v>729</v>
      </c>
      <c r="C182" s="6" t="s">
        <v>730</v>
      </c>
      <c r="D182" s="6" t="s">
        <v>44</v>
      </c>
      <c r="E182" s="7" t="s">
        <v>23</v>
      </c>
      <c r="F182" s="6">
        <v>85028</v>
      </c>
      <c r="G182" s="6" t="s">
        <v>45</v>
      </c>
      <c r="H182" s="6" t="s">
        <v>79</v>
      </c>
      <c r="I182" s="6" t="s">
        <v>26</v>
      </c>
      <c r="J182" s="6" t="b">
        <v>1</v>
      </c>
      <c r="K182" s="6" t="s">
        <v>27</v>
      </c>
      <c r="L182" s="6">
        <v>41.2</v>
      </c>
      <c r="M182" s="6">
        <v>144.19999999999999</v>
      </c>
      <c r="N182" s="8">
        <f t="shared" si="14"/>
        <v>76.679999999999993</v>
      </c>
      <c r="O182" s="8">
        <f t="shared" si="15"/>
        <v>1848.28</v>
      </c>
      <c r="P182" s="8">
        <f t="shared" si="16"/>
        <v>1848.28</v>
      </c>
      <c r="Q182" s="8">
        <f t="shared" si="17"/>
        <v>0</v>
      </c>
      <c r="R182" s="9">
        <f t="shared" si="18"/>
        <v>1848.28</v>
      </c>
      <c r="S182" s="10">
        <f t="shared" si="19"/>
        <v>154.02333333333334</v>
      </c>
      <c r="T182">
        <v>165</v>
      </c>
      <c r="U182">
        <f t="shared" si="20"/>
        <v>20.800000000000011</v>
      </c>
    </row>
    <row r="183" spans="1:21" ht="14.25" customHeight="1" x14ac:dyDescent="0.35">
      <c r="A183" s="6" t="s">
        <v>731</v>
      </c>
      <c r="B183" s="6" t="s">
        <v>732</v>
      </c>
      <c r="C183" s="6" t="s">
        <v>733</v>
      </c>
      <c r="D183" s="6" t="s">
        <v>31</v>
      </c>
      <c r="E183" s="7" t="s">
        <v>23</v>
      </c>
      <c r="F183" s="6">
        <v>85262</v>
      </c>
      <c r="G183" s="6" t="s">
        <v>32</v>
      </c>
      <c r="H183" s="6" t="s">
        <v>33</v>
      </c>
      <c r="I183" s="6" t="s">
        <v>26</v>
      </c>
      <c r="J183" s="6" t="b">
        <v>1</v>
      </c>
      <c r="K183" s="6" t="s">
        <v>27</v>
      </c>
      <c r="L183" s="6">
        <v>41.2</v>
      </c>
      <c r="M183" s="6">
        <v>144.19999999999999</v>
      </c>
      <c r="N183" s="8">
        <f t="shared" si="14"/>
        <v>76.679999999999993</v>
      </c>
      <c r="O183" s="8">
        <f t="shared" si="15"/>
        <v>1848.28</v>
      </c>
      <c r="P183" s="8">
        <f t="shared" si="16"/>
        <v>1848.28</v>
      </c>
      <c r="Q183" s="8">
        <f t="shared" si="17"/>
        <v>0</v>
      </c>
      <c r="R183" s="9">
        <f t="shared" si="18"/>
        <v>1848.28</v>
      </c>
      <c r="S183" s="10">
        <f t="shared" si="19"/>
        <v>154.02333333333334</v>
      </c>
      <c r="T183">
        <v>165</v>
      </c>
      <c r="U183">
        <f t="shared" si="20"/>
        <v>20.800000000000011</v>
      </c>
    </row>
    <row r="184" spans="1:21" ht="14.25" customHeight="1" x14ac:dyDescent="0.35">
      <c r="A184" s="6" t="s">
        <v>734</v>
      </c>
      <c r="B184" s="6" t="s">
        <v>735</v>
      </c>
      <c r="C184" s="6" t="s">
        <v>736</v>
      </c>
      <c r="D184" s="6" t="s">
        <v>44</v>
      </c>
      <c r="E184" s="7" t="s">
        <v>23</v>
      </c>
      <c r="F184" s="6">
        <v>85028</v>
      </c>
      <c r="G184" s="6" t="s">
        <v>45</v>
      </c>
      <c r="H184" s="6" t="s">
        <v>79</v>
      </c>
      <c r="I184" s="6" t="s">
        <v>26</v>
      </c>
      <c r="J184" s="6" t="b">
        <v>1</v>
      </c>
      <c r="K184" s="6" t="s">
        <v>27</v>
      </c>
      <c r="L184" s="6">
        <v>41.2</v>
      </c>
      <c r="M184" s="6">
        <v>144.19999999999999</v>
      </c>
      <c r="N184" s="8">
        <f t="shared" si="14"/>
        <v>76.679999999999993</v>
      </c>
      <c r="O184" s="8">
        <f t="shared" si="15"/>
        <v>1848.28</v>
      </c>
      <c r="P184" s="8">
        <f t="shared" si="16"/>
        <v>1848.28</v>
      </c>
      <c r="Q184" s="8">
        <f t="shared" si="17"/>
        <v>0</v>
      </c>
      <c r="R184" s="9">
        <f t="shared" si="18"/>
        <v>1848.28</v>
      </c>
      <c r="S184" s="10">
        <f t="shared" si="19"/>
        <v>154.02333333333334</v>
      </c>
      <c r="T184">
        <v>165</v>
      </c>
      <c r="U184">
        <f t="shared" si="20"/>
        <v>20.800000000000011</v>
      </c>
    </row>
    <row r="185" spans="1:21" ht="14.25" customHeight="1" x14ac:dyDescent="0.35">
      <c r="A185" s="6" t="s">
        <v>737</v>
      </c>
      <c r="B185" s="6" t="s">
        <v>738</v>
      </c>
      <c r="C185" s="6" t="s">
        <v>739</v>
      </c>
      <c r="D185" s="6" t="s">
        <v>44</v>
      </c>
      <c r="E185" s="7" t="s">
        <v>23</v>
      </c>
      <c r="F185" s="6">
        <v>85053</v>
      </c>
      <c r="G185" s="6" t="s">
        <v>72</v>
      </c>
      <c r="H185" s="6" t="s">
        <v>93</v>
      </c>
      <c r="I185" s="6" t="s">
        <v>26</v>
      </c>
      <c r="J185" s="6" t="b">
        <v>1</v>
      </c>
      <c r="K185" s="6" t="s">
        <v>27</v>
      </c>
      <c r="L185" s="6">
        <v>41.2</v>
      </c>
      <c r="M185" s="6">
        <v>144.19999999999999</v>
      </c>
      <c r="N185" s="8">
        <f t="shared" si="14"/>
        <v>76.679999999999993</v>
      </c>
      <c r="O185" s="8">
        <f t="shared" si="15"/>
        <v>1848.28</v>
      </c>
      <c r="P185" s="8">
        <f t="shared" si="16"/>
        <v>1848.28</v>
      </c>
      <c r="Q185" s="8">
        <f t="shared" si="17"/>
        <v>0</v>
      </c>
      <c r="R185" s="9">
        <f t="shared" si="18"/>
        <v>1848.28</v>
      </c>
      <c r="S185" s="10">
        <f t="shared" si="19"/>
        <v>154.02333333333334</v>
      </c>
      <c r="T185">
        <v>165</v>
      </c>
      <c r="U185">
        <f t="shared" si="20"/>
        <v>20.800000000000011</v>
      </c>
    </row>
    <row r="186" spans="1:21" ht="14.25" customHeight="1" x14ac:dyDescent="0.35">
      <c r="A186" s="6" t="s">
        <v>740</v>
      </c>
      <c r="B186" s="6" t="s">
        <v>741</v>
      </c>
      <c r="C186" s="6" t="s">
        <v>742</v>
      </c>
      <c r="D186" s="6" t="s">
        <v>44</v>
      </c>
      <c r="E186" s="7" t="s">
        <v>23</v>
      </c>
      <c r="F186" s="6">
        <v>85044</v>
      </c>
      <c r="G186" s="6" t="s">
        <v>24</v>
      </c>
      <c r="H186" s="6" t="s">
        <v>161</v>
      </c>
      <c r="I186" s="6" t="s">
        <v>26</v>
      </c>
      <c r="J186" s="6" t="b">
        <v>1</v>
      </c>
      <c r="K186" s="6" t="s">
        <v>27</v>
      </c>
      <c r="L186" s="6">
        <v>41.2</v>
      </c>
      <c r="M186" s="6">
        <v>144.19999999999999</v>
      </c>
      <c r="N186" s="8">
        <f t="shared" si="14"/>
        <v>76.679999999999993</v>
      </c>
      <c r="O186" s="8">
        <f t="shared" si="15"/>
        <v>1848.28</v>
      </c>
      <c r="P186" s="8">
        <f t="shared" si="16"/>
        <v>1848.28</v>
      </c>
      <c r="Q186" s="8">
        <f t="shared" si="17"/>
        <v>0</v>
      </c>
      <c r="R186" s="9">
        <f t="shared" si="18"/>
        <v>1848.28</v>
      </c>
      <c r="S186" s="10">
        <f t="shared" si="19"/>
        <v>154.02333333333334</v>
      </c>
      <c r="T186">
        <v>165</v>
      </c>
      <c r="U186">
        <f t="shared" si="20"/>
        <v>20.800000000000011</v>
      </c>
    </row>
    <row r="187" spans="1:21" ht="14.25" customHeight="1" x14ac:dyDescent="0.35">
      <c r="A187" s="6" t="s">
        <v>743</v>
      </c>
      <c r="B187" s="6" t="s">
        <v>744</v>
      </c>
      <c r="C187" s="6" t="s">
        <v>745</v>
      </c>
      <c r="D187" s="6" t="s">
        <v>22</v>
      </c>
      <c r="E187" s="7" t="s">
        <v>23</v>
      </c>
      <c r="F187" s="6">
        <v>85249</v>
      </c>
      <c r="G187" s="6" t="s">
        <v>125</v>
      </c>
      <c r="H187" s="6" t="s">
        <v>126</v>
      </c>
      <c r="I187" s="6" t="s">
        <v>26</v>
      </c>
      <c r="J187" s="6" t="b">
        <v>1</v>
      </c>
      <c r="K187" s="6" t="s">
        <v>27</v>
      </c>
      <c r="L187" s="6">
        <v>41.2</v>
      </c>
      <c r="M187" s="6">
        <v>144.19999999999999</v>
      </c>
      <c r="N187" s="8">
        <f t="shared" si="14"/>
        <v>76.679999999999993</v>
      </c>
      <c r="O187" s="8">
        <f t="shared" si="15"/>
        <v>1848.28</v>
      </c>
      <c r="P187" s="8">
        <f t="shared" si="16"/>
        <v>1848.28</v>
      </c>
      <c r="Q187" s="8">
        <f t="shared" si="17"/>
        <v>0</v>
      </c>
      <c r="R187" s="9">
        <f t="shared" si="18"/>
        <v>1848.28</v>
      </c>
      <c r="S187" s="10">
        <f t="shared" si="19"/>
        <v>154.02333333333334</v>
      </c>
      <c r="T187">
        <v>165</v>
      </c>
      <c r="U187">
        <f t="shared" si="20"/>
        <v>20.800000000000011</v>
      </c>
    </row>
    <row r="188" spans="1:21" ht="14.25" customHeight="1" x14ac:dyDescent="0.35">
      <c r="A188" s="6" t="s">
        <v>746</v>
      </c>
      <c r="B188" s="6" t="s">
        <v>747</v>
      </c>
      <c r="C188" s="6" t="s">
        <v>748</v>
      </c>
      <c r="D188" s="6" t="s">
        <v>65</v>
      </c>
      <c r="E188" s="7" t="s">
        <v>23</v>
      </c>
      <c r="F188" s="6">
        <v>85213</v>
      </c>
      <c r="G188" s="6" t="s">
        <v>66</v>
      </c>
      <c r="H188" s="6" t="s">
        <v>67</v>
      </c>
      <c r="I188" s="6" t="s">
        <v>26</v>
      </c>
      <c r="J188" s="6" t="b">
        <v>1</v>
      </c>
      <c r="K188" s="6" t="s">
        <v>27</v>
      </c>
      <c r="L188" s="6">
        <v>41.2</v>
      </c>
      <c r="M188" s="6">
        <v>144.19999999999999</v>
      </c>
      <c r="N188" s="8">
        <f t="shared" si="14"/>
        <v>76.679999999999993</v>
      </c>
      <c r="O188" s="8">
        <f t="shared" si="15"/>
        <v>1848.28</v>
      </c>
      <c r="P188" s="8">
        <f t="shared" si="16"/>
        <v>1848.28</v>
      </c>
      <c r="Q188" s="8">
        <f t="shared" si="17"/>
        <v>0</v>
      </c>
      <c r="R188" s="9">
        <f t="shared" si="18"/>
        <v>1848.28</v>
      </c>
      <c r="S188" s="10">
        <f t="shared" si="19"/>
        <v>154.02333333333334</v>
      </c>
      <c r="T188">
        <v>165</v>
      </c>
      <c r="U188">
        <f t="shared" si="20"/>
        <v>20.800000000000011</v>
      </c>
    </row>
    <row r="189" spans="1:21" ht="14.25" customHeight="1" x14ac:dyDescent="0.35">
      <c r="A189" s="6" t="s">
        <v>749</v>
      </c>
      <c r="B189" s="6" t="s">
        <v>750</v>
      </c>
      <c r="C189" s="6" t="s">
        <v>751</v>
      </c>
      <c r="D189" s="6" t="s">
        <v>31</v>
      </c>
      <c r="E189" s="7" t="s">
        <v>23</v>
      </c>
      <c r="F189" s="6">
        <v>85262</v>
      </c>
      <c r="G189" s="6" t="s">
        <v>32</v>
      </c>
      <c r="H189" s="6" t="s">
        <v>33</v>
      </c>
      <c r="I189" s="6" t="s">
        <v>26</v>
      </c>
      <c r="J189" s="6" t="b">
        <v>1</v>
      </c>
      <c r="K189" s="6" t="s">
        <v>27</v>
      </c>
      <c r="L189" s="6">
        <v>41.2</v>
      </c>
      <c r="M189" s="6">
        <v>144.19999999999999</v>
      </c>
      <c r="N189" s="8">
        <f t="shared" si="14"/>
        <v>76.679999999999993</v>
      </c>
      <c r="O189" s="8">
        <f t="shared" si="15"/>
        <v>1848.28</v>
      </c>
      <c r="P189" s="8">
        <f t="shared" si="16"/>
        <v>1848.28</v>
      </c>
      <c r="Q189" s="8">
        <f t="shared" si="17"/>
        <v>0</v>
      </c>
      <c r="R189" s="9">
        <f t="shared" si="18"/>
        <v>1848.28</v>
      </c>
      <c r="S189" s="10">
        <f t="shared" si="19"/>
        <v>154.02333333333334</v>
      </c>
      <c r="T189">
        <v>165</v>
      </c>
      <c r="U189">
        <f t="shared" si="20"/>
        <v>20.800000000000011</v>
      </c>
    </row>
    <row r="190" spans="1:21" ht="14.25" customHeight="1" x14ac:dyDescent="0.35">
      <c r="A190" s="6" t="s">
        <v>752</v>
      </c>
      <c r="B190" s="6" t="s">
        <v>753</v>
      </c>
      <c r="C190" s="6" t="s">
        <v>754</v>
      </c>
      <c r="D190" s="6" t="s">
        <v>65</v>
      </c>
      <c r="E190" s="7" t="s">
        <v>23</v>
      </c>
      <c r="F190" s="6">
        <v>85203</v>
      </c>
      <c r="G190" s="6" t="s">
        <v>66</v>
      </c>
      <c r="H190" s="6" t="s">
        <v>67</v>
      </c>
      <c r="I190" s="6" t="s">
        <v>26</v>
      </c>
      <c r="J190" s="6" t="b">
        <v>1</v>
      </c>
      <c r="K190" s="6" t="s">
        <v>27</v>
      </c>
      <c r="L190" s="6">
        <v>41.2</v>
      </c>
      <c r="M190" s="6">
        <v>144.19999999999999</v>
      </c>
      <c r="N190" s="8">
        <f t="shared" si="14"/>
        <v>76.679999999999993</v>
      </c>
      <c r="O190" s="8">
        <f t="shared" si="15"/>
        <v>1848.28</v>
      </c>
      <c r="P190" s="8">
        <f t="shared" si="16"/>
        <v>1848.28</v>
      </c>
      <c r="Q190" s="8">
        <f t="shared" si="17"/>
        <v>0</v>
      </c>
      <c r="R190" s="9">
        <f t="shared" si="18"/>
        <v>1848.28</v>
      </c>
      <c r="S190" s="10">
        <f t="shared" si="19"/>
        <v>154.02333333333334</v>
      </c>
      <c r="T190">
        <v>165</v>
      </c>
      <c r="U190">
        <f t="shared" si="20"/>
        <v>20.800000000000011</v>
      </c>
    </row>
    <row r="191" spans="1:21" ht="14.25" customHeight="1" x14ac:dyDescent="0.35">
      <c r="A191" s="6" t="s">
        <v>755</v>
      </c>
      <c r="B191" s="6" t="s">
        <v>756</v>
      </c>
      <c r="C191" s="6" t="s">
        <v>757</v>
      </c>
      <c r="D191" s="6" t="s">
        <v>31</v>
      </c>
      <c r="E191" s="7" t="s">
        <v>23</v>
      </c>
      <c r="F191" s="6">
        <v>85266</v>
      </c>
      <c r="G191" s="6" t="s">
        <v>32</v>
      </c>
      <c r="H191" s="6" t="s">
        <v>50</v>
      </c>
      <c r="I191" s="6" t="s">
        <v>26</v>
      </c>
      <c r="J191" s="6" t="b">
        <v>1</v>
      </c>
      <c r="K191" s="6" t="s">
        <v>27</v>
      </c>
      <c r="L191" s="6">
        <v>41.2</v>
      </c>
      <c r="M191" s="6">
        <v>144.19999999999999</v>
      </c>
      <c r="N191" s="8">
        <f t="shared" si="14"/>
        <v>76.679999999999993</v>
      </c>
      <c r="O191" s="8">
        <f t="shared" si="15"/>
        <v>1848.28</v>
      </c>
      <c r="P191" s="8">
        <f t="shared" si="16"/>
        <v>1848.28</v>
      </c>
      <c r="Q191" s="8">
        <f t="shared" si="17"/>
        <v>0</v>
      </c>
      <c r="R191" s="9">
        <f t="shared" si="18"/>
        <v>1848.28</v>
      </c>
      <c r="S191" s="10">
        <f t="shared" si="19"/>
        <v>154.02333333333334</v>
      </c>
      <c r="T191">
        <v>165</v>
      </c>
      <c r="U191">
        <f t="shared" si="20"/>
        <v>20.800000000000011</v>
      </c>
    </row>
    <row r="192" spans="1:21" ht="14.25" customHeight="1" x14ac:dyDescent="0.35">
      <c r="A192" s="6" t="s">
        <v>758</v>
      </c>
      <c r="B192" s="6" t="s">
        <v>759</v>
      </c>
      <c r="C192" s="6" t="s">
        <v>760</v>
      </c>
      <c r="D192" s="6" t="s">
        <v>44</v>
      </c>
      <c r="E192" s="7" t="s">
        <v>23</v>
      </c>
      <c r="F192" s="6">
        <v>85028</v>
      </c>
      <c r="G192" s="6" t="s">
        <v>45</v>
      </c>
      <c r="H192" s="6" t="s">
        <v>169</v>
      </c>
      <c r="I192" s="6" t="s">
        <v>26</v>
      </c>
      <c r="J192" s="6" t="b">
        <v>1</v>
      </c>
      <c r="K192" s="6" t="s">
        <v>27</v>
      </c>
      <c r="L192" s="6">
        <v>41.2</v>
      </c>
      <c r="M192" s="6">
        <v>144.19999999999999</v>
      </c>
      <c r="N192" s="8">
        <f t="shared" si="14"/>
        <v>76.679999999999993</v>
      </c>
      <c r="O192" s="8">
        <f t="shared" si="15"/>
        <v>1848.28</v>
      </c>
      <c r="P192" s="8">
        <f t="shared" si="16"/>
        <v>1848.28</v>
      </c>
      <c r="Q192" s="8">
        <f t="shared" si="17"/>
        <v>0</v>
      </c>
      <c r="R192" s="9">
        <f t="shared" si="18"/>
        <v>1848.28</v>
      </c>
      <c r="S192" s="10">
        <f t="shared" si="19"/>
        <v>154.02333333333334</v>
      </c>
      <c r="T192">
        <v>165</v>
      </c>
      <c r="U192">
        <f t="shared" si="20"/>
        <v>20.800000000000011</v>
      </c>
    </row>
    <row r="193" spans="1:21" ht="14.25" customHeight="1" x14ac:dyDescent="0.35">
      <c r="A193" s="6" t="s">
        <v>761</v>
      </c>
      <c r="B193" s="6" t="s">
        <v>762</v>
      </c>
      <c r="C193" s="6" t="s">
        <v>763</v>
      </c>
      <c r="D193" s="6" t="s">
        <v>44</v>
      </c>
      <c r="E193" s="7" t="s">
        <v>23</v>
      </c>
      <c r="F193" s="6">
        <v>85048</v>
      </c>
      <c r="G193" s="6" t="s">
        <v>24</v>
      </c>
      <c r="H193" s="6" t="s">
        <v>161</v>
      </c>
      <c r="I193" s="6" t="s">
        <v>26</v>
      </c>
      <c r="J193" s="6" t="b">
        <v>1</v>
      </c>
      <c r="K193" s="6" t="s">
        <v>27</v>
      </c>
      <c r="L193" s="6">
        <v>41.2</v>
      </c>
      <c r="M193" s="6">
        <v>144.19999999999999</v>
      </c>
      <c r="N193" s="8">
        <f t="shared" si="14"/>
        <v>76.679999999999993</v>
      </c>
      <c r="O193" s="8">
        <f t="shared" si="15"/>
        <v>1848.28</v>
      </c>
      <c r="P193" s="8">
        <f t="shared" si="16"/>
        <v>1848.28</v>
      </c>
      <c r="Q193" s="8">
        <f t="shared" si="17"/>
        <v>0</v>
      </c>
      <c r="R193" s="9">
        <f t="shared" si="18"/>
        <v>1848.28</v>
      </c>
      <c r="S193" s="10">
        <f t="shared" si="19"/>
        <v>154.02333333333334</v>
      </c>
      <c r="T193">
        <v>165</v>
      </c>
      <c r="U193">
        <f t="shared" si="20"/>
        <v>20.800000000000011</v>
      </c>
    </row>
    <row r="194" spans="1:21" ht="14.25" customHeight="1" x14ac:dyDescent="0.35">
      <c r="A194" s="6" t="s">
        <v>764</v>
      </c>
      <c r="B194" s="6" t="s">
        <v>765</v>
      </c>
      <c r="C194" s="6" t="s">
        <v>766</v>
      </c>
      <c r="D194" s="6" t="s">
        <v>241</v>
      </c>
      <c r="E194" s="7" t="s">
        <v>23</v>
      </c>
      <c r="F194" s="6">
        <v>85331</v>
      </c>
      <c r="G194" s="6" t="s">
        <v>32</v>
      </c>
      <c r="H194" s="6" t="s">
        <v>79</v>
      </c>
      <c r="I194" s="6" t="s">
        <v>40</v>
      </c>
      <c r="J194" s="6" t="b">
        <v>1</v>
      </c>
      <c r="K194" s="6" t="s">
        <v>27</v>
      </c>
      <c r="L194" s="6">
        <v>41.2</v>
      </c>
      <c r="M194" s="6">
        <v>144.19999999999999</v>
      </c>
      <c r="N194" s="8">
        <f t="shared" ref="N194:N257" si="21">IF(J194=TRUE, 6.39*12, "0")</f>
        <v>76.679999999999993</v>
      </c>
      <c r="O194" s="8">
        <f t="shared" ref="O194:O257" si="22">L194+(M194*12)+N194</f>
        <v>1848.28</v>
      </c>
      <c r="P194" s="8">
        <f t="shared" ref="P194:P257" si="23">IF(OR(K194="Check",K194="ACH"), O194*0.97, O194)</f>
        <v>1848.28</v>
      </c>
      <c r="Q194" s="8">
        <f t="shared" ref="Q194:Q257" si="24">P194-O194</f>
        <v>0</v>
      </c>
      <c r="R194" s="9">
        <f t="shared" ref="R194:R257" si="25">O194-Q194</f>
        <v>1848.28</v>
      </c>
      <c r="S194" s="10">
        <f t="shared" ref="S194:S257" si="26">R194/12</f>
        <v>154.02333333333334</v>
      </c>
      <c r="T194">
        <v>165</v>
      </c>
      <c r="U194">
        <f t="shared" si="20"/>
        <v>20.800000000000011</v>
      </c>
    </row>
    <row r="195" spans="1:21" ht="14.25" customHeight="1" x14ac:dyDescent="0.35">
      <c r="A195" s="6" t="s">
        <v>767</v>
      </c>
      <c r="B195" s="6" t="s">
        <v>768</v>
      </c>
      <c r="C195" s="6" t="s">
        <v>769</v>
      </c>
      <c r="D195" s="6" t="s">
        <v>22</v>
      </c>
      <c r="E195" s="7" t="s">
        <v>23</v>
      </c>
      <c r="F195" s="6">
        <v>85224</v>
      </c>
      <c r="G195" s="6" t="s">
        <v>24</v>
      </c>
      <c r="H195" s="6" t="s">
        <v>25</v>
      </c>
      <c r="I195" s="6" t="s">
        <v>26</v>
      </c>
      <c r="J195" s="6" t="b">
        <v>1</v>
      </c>
      <c r="K195" s="6" t="s">
        <v>27</v>
      </c>
      <c r="L195" s="6">
        <v>41.2</v>
      </c>
      <c r="M195" s="6">
        <v>144.19999999999999</v>
      </c>
      <c r="N195" s="8">
        <f t="shared" si="21"/>
        <v>76.679999999999993</v>
      </c>
      <c r="O195" s="8">
        <f t="shared" si="22"/>
        <v>1848.28</v>
      </c>
      <c r="P195" s="8">
        <f t="shared" si="23"/>
        <v>1848.28</v>
      </c>
      <c r="Q195" s="8">
        <f t="shared" si="24"/>
        <v>0</v>
      </c>
      <c r="R195" s="9">
        <f t="shared" si="25"/>
        <v>1848.28</v>
      </c>
      <c r="S195" s="10">
        <f t="shared" si="26"/>
        <v>154.02333333333334</v>
      </c>
      <c r="T195">
        <v>165</v>
      </c>
      <c r="U195">
        <f t="shared" si="20"/>
        <v>20.800000000000011</v>
      </c>
    </row>
    <row r="196" spans="1:21" ht="14.25" customHeight="1" x14ac:dyDescent="0.35">
      <c r="A196" s="6" t="s">
        <v>770</v>
      </c>
      <c r="B196" s="6" t="s">
        <v>771</v>
      </c>
      <c r="C196" s="6" t="s">
        <v>772</v>
      </c>
      <c r="D196" s="6" t="s">
        <v>44</v>
      </c>
      <c r="E196" s="7" t="s">
        <v>23</v>
      </c>
      <c r="F196" s="6">
        <v>85032</v>
      </c>
      <c r="G196" s="6" t="s">
        <v>173</v>
      </c>
      <c r="H196" s="6" t="s">
        <v>79</v>
      </c>
      <c r="I196" s="6" t="s">
        <v>26</v>
      </c>
      <c r="J196" s="6" t="b">
        <v>1</v>
      </c>
      <c r="K196" s="6" t="s">
        <v>27</v>
      </c>
      <c r="L196" s="6">
        <v>41.2</v>
      </c>
      <c r="M196" s="6">
        <v>144.19999999999999</v>
      </c>
      <c r="N196" s="8">
        <f t="shared" si="21"/>
        <v>76.679999999999993</v>
      </c>
      <c r="O196" s="8">
        <f t="shared" si="22"/>
        <v>1848.28</v>
      </c>
      <c r="P196" s="8">
        <f t="shared" si="23"/>
        <v>1848.28</v>
      </c>
      <c r="Q196" s="8">
        <f t="shared" si="24"/>
        <v>0</v>
      </c>
      <c r="R196" s="9">
        <f t="shared" si="25"/>
        <v>1848.28</v>
      </c>
      <c r="S196" s="10">
        <f t="shared" si="26"/>
        <v>154.02333333333334</v>
      </c>
      <c r="T196">
        <v>165</v>
      </c>
      <c r="U196">
        <f t="shared" ref="U196:U259" si="27">SUM(T196-M196)</f>
        <v>20.800000000000011</v>
      </c>
    </row>
    <row r="197" spans="1:21" ht="14.25" customHeight="1" x14ac:dyDescent="0.35">
      <c r="A197" s="6" t="s">
        <v>773</v>
      </c>
      <c r="B197" s="6" t="s">
        <v>774</v>
      </c>
      <c r="C197" s="6" t="s">
        <v>775</v>
      </c>
      <c r="D197" s="6" t="s">
        <v>65</v>
      </c>
      <c r="E197" s="7" t="s">
        <v>23</v>
      </c>
      <c r="F197" s="6">
        <v>85212</v>
      </c>
      <c r="G197" s="6" t="s">
        <v>125</v>
      </c>
      <c r="H197" s="6" t="s">
        <v>180</v>
      </c>
      <c r="I197" s="6" t="s">
        <v>26</v>
      </c>
      <c r="J197" s="6" t="b">
        <v>1</v>
      </c>
      <c r="K197" s="6" t="s">
        <v>27</v>
      </c>
      <c r="L197" s="6">
        <v>41.2</v>
      </c>
      <c r="M197" s="6">
        <v>144.19999999999999</v>
      </c>
      <c r="N197" s="8">
        <f t="shared" si="21"/>
        <v>76.679999999999993</v>
      </c>
      <c r="O197" s="8">
        <f t="shared" si="22"/>
        <v>1848.28</v>
      </c>
      <c r="P197" s="8">
        <f t="shared" si="23"/>
        <v>1848.28</v>
      </c>
      <c r="Q197" s="8">
        <f t="shared" si="24"/>
        <v>0</v>
      </c>
      <c r="R197" s="9">
        <f t="shared" si="25"/>
        <v>1848.28</v>
      </c>
      <c r="S197" s="10">
        <f t="shared" si="26"/>
        <v>154.02333333333334</v>
      </c>
      <c r="T197">
        <v>165</v>
      </c>
      <c r="U197">
        <f t="shared" si="27"/>
        <v>20.800000000000011</v>
      </c>
    </row>
    <row r="198" spans="1:21" ht="14.25" customHeight="1" x14ac:dyDescent="0.35">
      <c r="A198" s="6" t="s">
        <v>776</v>
      </c>
      <c r="B198" s="6" t="s">
        <v>777</v>
      </c>
      <c r="C198" s="6" t="s">
        <v>778</v>
      </c>
      <c r="D198" s="6" t="s">
        <v>44</v>
      </c>
      <c r="E198" s="7" t="s">
        <v>23</v>
      </c>
      <c r="F198" s="6">
        <v>85042</v>
      </c>
      <c r="G198" s="6" t="s">
        <v>213</v>
      </c>
      <c r="H198" s="6" t="s">
        <v>39</v>
      </c>
      <c r="I198" s="6" t="s">
        <v>26</v>
      </c>
      <c r="J198" s="6" t="b">
        <v>1</v>
      </c>
      <c r="K198" s="6" t="s">
        <v>27</v>
      </c>
      <c r="L198" s="6">
        <v>41.2</v>
      </c>
      <c r="M198" s="6">
        <v>144.19999999999999</v>
      </c>
      <c r="N198" s="8">
        <f t="shared" si="21"/>
        <v>76.679999999999993</v>
      </c>
      <c r="O198" s="8">
        <f t="shared" si="22"/>
        <v>1848.28</v>
      </c>
      <c r="P198" s="8">
        <f t="shared" si="23"/>
        <v>1848.28</v>
      </c>
      <c r="Q198" s="8">
        <f t="shared" si="24"/>
        <v>0</v>
      </c>
      <c r="R198" s="9">
        <f t="shared" si="25"/>
        <v>1848.28</v>
      </c>
      <c r="S198" s="10">
        <f t="shared" si="26"/>
        <v>154.02333333333334</v>
      </c>
      <c r="T198">
        <v>165</v>
      </c>
      <c r="U198">
        <f t="shared" si="27"/>
        <v>20.800000000000011</v>
      </c>
    </row>
    <row r="199" spans="1:21" ht="14.25" customHeight="1" x14ac:dyDescent="0.35">
      <c r="A199" s="6" t="s">
        <v>779</v>
      </c>
      <c r="B199" s="6" t="s">
        <v>780</v>
      </c>
      <c r="C199" s="6" t="s">
        <v>781</v>
      </c>
      <c r="D199" s="6" t="s">
        <v>65</v>
      </c>
      <c r="E199" s="7" t="s">
        <v>23</v>
      </c>
      <c r="F199" s="6">
        <v>85205</v>
      </c>
      <c r="G199" s="6" t="s">
        <v>66</v>
      </c>
      <c r="H199" s="6" t="s">
        <v>67</v>
      </c>
      <c r="I199" s="6" t="s">
        <v>26</v>
      </c>
      <c r="J199" s="6" t="b">
        <v>1</v>
      </c>
      <c r="K199" s="6" t="s">
        <v>27</v>
      </c>
      <c r="L199" s="6">
        <v>41.2</v>
      </c>
      <c r="M199" s="6">
        <v>144.19999999999999</v>
      </c>
      <c r="N199" s="8">
        <f t="shared" si="21"/>
        <v>76.679999999999993</v>
      </c>
      <c r="O199" s="8">
        <f t="shared" si="22"/>
        <v>1848.28</v>
      </c>
      <c r="P199" s="8">
        <f t="shared" si="23"/>
        <v>1848.28</v>
      </c>
      <c r="Q199" s="8">
        <f t="shared" si="24"/>
        <v>0</v>
      </c>
      <c r="R199" s="9">
        <f t="shared" si="25"/>
        <v>1848.28</v>
      </c>
      <c r="S199" s="10">
        <f t="shared" si="26"/>
        <v>154.02333333333334</v>
      </c>
      <c r="T199">
        <v>165</v>
      </c>
      <c r="U199">
        <f t="shared" si="27"/>
        <v>20.800000000000011</v>
      </c>
    </row>
    <row r="200" spans="1:21" ht="14.25" customHeight="1" x14ac:dyDescent="0.35">
      <c r="A200" s="6" t="s">
        <v>782</v>
      </c>
      <c r="B200" s="6" t="s">
        <v>783</v>
      </c>
      <c r="C200" s="6" t="s">
        <v>784</v>
      </c>
      <c r="D200" s="6" t="s">
        <v>22</v>
      </c>
      <c r="E200" s="7" t="s">
        <v>23</v>
      </c>
      <c r="F200" s="6">
        <v>85249</v>
      </c>
      <c r="G200" s="6" t="s">
        <v>125</v>
      </c>
      <c r="H200" s="6" t="s">
        <v>225</v>
      </c>
      <c r="I200" s="6" t="s">
        <v>26</v>
      </c>
      <c r="J200" s="6" t="b">
        <v>1</v>
      </c>
      <c r="K200" s="6" t="s">
        <v>27</v>
      </c>
      <c r="L200" s="6">
        <v>41.2</v>
      </c>
      <c r="M200" s="6">
        <v>144.19999999999999</v>
      </c>
      <c r="N200" s="8">
        <f t="shared" si="21"/>
        <v>76.679999999999993</v>
      </c>
      <c r="O200" s="8">
        <f t="shared" si="22"/>
        <v>1848.28</v>
      </c>
      <c r="P200" s="8">
        <f t="shared" si="23"/>
        <v>1848.28</v>
      </c>
      <c r="Q200" s="8">
        <f t="shared" si="24"/>
        <v>0</v>
      </c>
      <c r="R200" s="9">
        <f t="shared" si="25"/>
        <v>1848.28</v>
      </c>
      <c r="S200" s="10">
        <f t="shared" si="26"/>
        <v>154.02333333333334</v>
      </c>
      <c r="T200">
        <v>165</v>
      </c>
      <c r="U200">
        <f t="shared" si="27"/>
        <v>20.800000000000011</v>
      </c>
    </row>
    <row r="201" spans="1:21" ht="14.25" customHeight="1" x14ac:dyDescent="0.35">
      <c r="A201" s="6" t="s">
        <v>785</v>
      </c>
      <c r="B201" s="6" t="s">
        <v>786</v>
      </c>
      <c r="C201" s="6" t="s">
        <v>787</v>
      </c>
      <c r="D201" s="6" t="s">
        <v>31</v>
      </c>
      <c r="E201" s="7" t="s">
        <v>23</v>
      </c>
      <c r="F201" s="6">
        <v>85255</v>
      </c>
      <c r="G201" s="6" t="s">
        <v>32</v>
      </c>
      <c r="H201" s="6" t="s">
        <v>33</v>
      </c>
      <c r="I201" s="6" t="s">
        <v>26</v>
      </c>
      <c r="J201" s="6" t="b">
        <v>1</v>
      </c>
      <c r="K201" s="6" t="s">
        <v>27</v>
      </c>
      <c r="L201" s="6">
        <v>41.2</v>
      </c>
      <c r="M201" s="6">
        <v>144.19999999999999</v>
      </c>
      <c r="N201" s="8">
        <f t="shared" si="21"/>
        <v>76.679999999999993</v>
      </c>
      <c r="O201" s="8">
        <f t="shared" si="22"/>
        <v>1848.28</v>
      </c>
      <c r="P201" s="8">
        <f t="shared" si="23"/>
        <v>1848.28</v>
      </c>
      <c r="Q201" s="8">
        <f t="shared" si="24"/>
        <v>0</v>
      </c>
      <c r="R201" s="9">
        <f t="shared" si="25"/>
        <v>1848.28</v>
      </c>
      <c r="S201" s="10">
        <f t="shared" si="26"/>
        <v>154.02333333333334</v>
      </c>
      <c r="T201">
        <v>165</v>
      </c>
      <c r="U201">
        <f t="shared" si="27"/>
        <v>20.800000000000011</v>
      </c>
    </row>
    <row r="202" spans="1:21" ht="14.25" customHeight="1" x14ac:dyDescent="0.35">
      <c r="A202" s="6" t="s">
        <v>788</v>
      </c>
      <c r="B202" s="6" t="s">
        <v>789</v>
      </c>
      <c r="C202" s="6" t="s">
        <v>790</v>
      </c>
      <c r="D202" s="6" t="s">
        <v>31</v>
      </c>
      <c r="E202" s="7" t="s">
        <v>23</v>
      </c>
      <c r="F202" s="6">
        <v>85266</v>
      </c>
      <c r="G202" s="6" t="s">
        <v>32</v>
      </c>
      <c r="H202" s="6" t="s">
        <v>33</v>
      </c>
      <c r="I202" s="6" t="s">
        <v>26</v>
      </c>
      <c r="J202" s="6" t="b">
        <v>1</v>
      </c>
      <c r="K202" s="6" t="s">
        <v>27</v>
      </c>
      <c r="L202" s="6">
        <v>41.2</v>
      </c>
      <c r="M202" s="6">
        <v>144.19999999999999</v>
      </c>
      <c r="N202" s="8">
        <f t="shared" si="21"/>
        <v>76.679999999999993</v>
      </c>
      <c r="O202" s="8">
        <f t="shared" si="22"/>
        <v>1848.28</v>
      </c>
      <c r="P202" s="8">
        <f t="shared" si="23"/>
        <v>1848.28</v>
      </c>
      <c r="Q202" s="8">
        <f t="shared" si="24"/>
        <v>0</v>
      </c>
      <c r="R202" s="9">
        <f t="shared" si="25"/>
        <v>1848.28</v>
      </c>
      <c r="S202" s="10">
        <f t="shared" si="26"/>
        <v>154.02333333333334</v>
      </c>
      <c r="T202">
        <v>165</v>
      </c>
      <c r="U202">
        <f t="shared" si="27"/>
        <v>20.800000000000011</v>
      </c>
    </row>
    <row r="203" spans="1:21" ht="14.25" customHeight="1" x14ac:dyDescent="0.35">
      <c r="A203" s="6" t="s">
        <v>791</v>
      </c>
      <c r="B203" s="6" t="s">
        <v>792</v>
      </c>
      <c r="C203" s="6" t="s">
        <v>793</v>
      </c>
      <c r="D203" s="6" t="s">
        <v>44</v>
      </c>
      <c r="E203" s="7" t="s">
        <v>23</v>
      </c>
      <c r="F203" s="6">
        <v>85018</v>
      </c>
      <c r="G203" s="6" t="s">
        <v>49</v>
      </c>
      <c r="H203" s="6" t="s">
        <v>50</v>
      </c>
      <c r="I203" s="6" t="s">
        <v>26</v>
      </c>
      <c r="J203" s="6" t="b">
        <v>1</v>
      </c>
      <c r="K203" s="6" t="s">
        <v>27</v>
      </c>
      <c r="L203" s="6">
        <v>41.2</v>
      </c>
      <c r="M203" s="6">
        <v>144.19999999999999</v>
      </c>
      <c r="N203" s="8">
        <f t="shared" si="21"/>
        <v>76.679999999999993</v>
      </c>
      <c r="O203" s="8">
        <f t="shared" si="22"/>
        <v>1848.28</v>
      </c>
      <c r="P203" s="8">
        <f t="shared" si="23"/>
        <v>1848.28</v>
      </c>
      <c r="Q203" s="8">
        <f t="shared" si="24"/>
        <v>0</v>
      </c>
      <c r="R203" s="9">
        <f t="shared" si="25"/>
        <v>1848.28</v>
      </c>
      <c r="S203" s="10">
        <f t="shared" si="26"/>
        <v>154.02333333333334</v>
      </c>
      <c r="T203">
        <v>165</v>
      </c>
      <c r="U203">
        <f t="shared" si="27"/>
        <v>20.800000000000011</v>
      </c>
    </row>
    <row r="204" spans="1:21" ht="14.25" customHeight="1" x14ac:dyDescent="0.35">
      <c r="A204" s="6" t="s">
        <v>794</v>
      </c>
      <c r="B204" s="6" t="s">
        <v>795</v>
      </c>
      <c r="C204" s="6" t="s">
        <v>796</v>
      </c>
      <c r="D204" s="6" t="s">
        <v>430</v>
      </c>
      <c r="E204" s="7" t="s">
        <v>23</v>
      </c>
      <c r="F204" s="6">
        <v>85253</v>
      </c>
      <c r="G204" s="6" t="s">
        <v>49</v>
      </c>
      <c r="H204" s="6" t="s">
        <v>202</v>
      </c>
      <c r="I204" s="6" t="s">
        <v>26</v>
      </c>
      <c r="J204" s="6" t="b">
        <v>1</v>
      </c>
      <c r="K204" s="6" t="s">
        <v>27</v>
      </c>
      <c r="L204" s="6">
        <v>41.2</v>
      </c>
      <c r="M204" s="6">
        <v>144.19999999999999</v>
      </c>
      <c r="N204" s="8">
        <f t="shared" si="21"/>
        <v>76.679999999999993</v>
      </c>
      <c r="O204" s="8">
        <f t="shared" si="22"/>
        <v>1848.28</v>
      </c>
      <c r="P204" s="8">
        <f t="shared" si="23"/>
        <v>1848.28</v>
      </c>
      <c r="Q204" s="8">
        <f t="shared" si="24"/>
        <v>0</v>
      </c>
      <c r="R204" s="9">
        <f t="shared" si="25"/>
        <v>1848.28</v>
      </c>
      <c r="S204" s="10">
        <f t="shared" si="26"/>
        <v>154.02333333333334</v>
      </c>
      <c r="T204">
        <v>165</v>
      </c>
      <c r="U204">
        <f t="shared" si="27"/>
        <v>20.800000000000011</v>
      </c>
    </row>
    <row r="205" spans="1:21" ht="14.25" customHeight="1" x14ac:dyDescent="0.35">
      <c r="A205" s="6" t="s">
        <v>797</v>
      </c>
      <c r="B205" s="6" t="s">
        <v>798</v>
      </c>
      <c r="C205" s="6" t="s">
        <v>799</v>
      </c>
      <c r="D205" s="6" t="s">
        <v>130</v>
      </c>
      <c r="E205" s="7" t="s">
        <v>23</v>
      </c>
      <c r="F205" s="6">
        <v>85140</v>
      </c>
      <c r="G205" s="6" t="s">
        <v>125</v>
      </c>
      <c r="H205" s="6" t="s">
        <v>180</v>
      </c>
      <c r="I205" s="6" t="s">
        <v>26</v>
      </c>
      <c r="J205" s="6" t="b">
        <v>1</v>
      </c>
      <c r="K205" s="6" t="s">
        <v>27</v>
      </c>
      <c r="L205" s="6">
        <v>41.2</v>
      </c>
      <c r="M205" s="6">
        <v>144.19999999999999</v>
      </c>
      <c r="N205" s="8">
        <f t="shared" si="21"/>
        <v>76.679999999999993</v>
      </c>
      <c r="O205" s="8">
        <f t="shared" si="22"/>
        <v>1848.28</v>
      </c>
      <c r="P205" s="8">
        <f t="shared" si="23"/>
        <v>1848.28</v>
      </c>
      <c r="Q205" s="8">
        <f t="shared" si="24"/>
        <v>0</v>
      </c>
      <c r="R205" s="9">
        <f t="shared" si="25"/>
        <v>1848.28</v>
      </c>
      <c r="S205" s="10">
        <f t="shared" si="26"/>
        <v>154.02333333333334</v>
      </c>
      <c r="T205">
        <v>165</v>
      </c>
      <c r="U205">
        <f t="shared" si="27"/>
        <v>20.800000000000011</v>
      </c>
    </row>
    <row r="206" spans="1:21" ht="14.25" customHeight="1" x14ac:dyDescent="0.35">
      <c r="A206" s="6" t="s">
        <v>800</v>
      </c>
      <c r="B206" s="6" t="s">
        <v>801</v>
      </c>
      <c r="C206" s="6" t="s">
        <v>802</v>
      </c>
      <c r="D206" s="6" t="s">
        <v>31</v>
      </c>
      <c r="E206" s="7" t="s">
        <v>23</v>
      </c>
      <c r="F206" s="6">
        <v>85260</v>
      </c>
      <c r="G206" s="6" t="s">
        <v>45</v>
      </c>
      <c r="H206" s="6" t="s">
        <v>291</v>
      </c>
      <c r="I206" s="6" t="s">
        <v>26</v>
      </c>
      <c r="J206" s="6" t="b">
        <v>1</v>
      </c>
      <c r="K206" s="6" t="s">
        <v>27</v>
      </c>
      <c r="L206" s="6">
        <v>41.2</v>
      </c>
      <c r="M206" s="6">
        <v>144.19999999999999</v>
      </c>
      <c r="N206" s="8">
        <f t="shared" si="21"/>
        <v>76.679999999999993</v>
      </c>
      <c r="O206" s="8">
        <f t="shared" si="22"/>
        <v>1848.28</v>
      </c>
      <c r="P206" s="8">
        <f t="shared" si="23"/>
        <v>1848.28</v>
      </c>
      <c r="Q206" s="8">
        <f t="shared" si="24"/>
        <v>0</v>
      </c>
      <c r="R206" s="9">
        <f t="shared" si="25"/>
        <v>1848.28</v>
      </c>
      <c r="S206" s="10">
        <f t="shared" si="26"/>
        <v>154.02333333333334</v>
      </c>
      <c r="T206">
        <v>165</v>
      </c>
      <c r="U206">
        <f t="shared" si="27"/>
        <v>20.800000000000011</v>
      </c>
    </row>
    <row r="207" spans="1:21" ht="14.25" customHeight="1" x14ac:dyDescent="0.35">
      <c r="A207" s="6" t="s">
        <v>803</v>
      </c>
      <c r="B207" s="6" t="s">
        <v>804</v>
      </c>
      <c r="C207" s="6" t="s">
        <v>805</v>
      </c>
      <c r="D207" s="6" t="s">
        <v>44</v>
      </c>
      <c r="E207" s="7" t="s">
        <v>23</v>
      </c>
      <c r="F207" s="6">
        <v>85012</v>
      </c>
      <c r="G207" s="6" t="s">
        <v>213</v>
      </c>
      <c r="H207" s="6" t="s">
        <v>202</v>
      </c>
      <c r="I207" s="6" t="s">
        <v>26</v>
      </c>
      <c r="J207" s="6" t="b">
        <v>1</v>
      </c>
      <c r="K207" s="6" t="s">
        <v>27</v>
      </c>
      <c r="L207" s="6">
        <v>41.2</v>
      </c>
      <c r="M207" s="6">
        <v>144.19999999999999</v>
      </c>
      <c r="N207" s="8">
        <f t="shared" si="21"/>
        <v>76.679999999999993</v>
      </c>
      <c r="O207" s="8">
        <f t="shared" si="22"/>
        <v>1848.28</v>
      </c>
      <c r="P207" s="8">
        <f t="shared" si="23"/>
        <v>1848.28</v>
      </c>
      <c r="Q207" s="8">
        <f t="shared" si="24"/>
        <v>0</v>
      </c>
      <c r="R207" s="9">
        <f t="shared" si="25"/>
        <v>1848.28</v>
      </c>
      <c r="S207" s="10">
        <f t="shared" si="26"/>
        <v>154.02333333333334</v>
      </c>
      <c r="T207">
        <v>165</v>
      </c>
      <c r="U207">
        <f t="shared" si="27"/>
        <v>20.800000000000011</v>
      </c>
    </row>
    <row r="208" spans="1:21" ht="14.25" customHeight="1" x14ac:dyDescent="0.35">
      <c r="A208" s="6" t="s">
        <v>806</v>
      </c>
      <c r="B208" s="6" t="s">
        <v>807</v>
      </c>
      <c r="C208" s="6" t="s">
        <v>808</v>
      </c>
      <c r="D208" s="6" t="s">
        <v>44</v>
      </c>
      <c r="E208" s="7" t="s">
        <v>23</v>
      </c>
      <c r="F208" s="6">
        <v>85048</v>
      </c>
      <c r="G208" s="6" t="s">
        <v>24</v>
      </c>
      <c r="H208" s="6" t="s">
        <v>161</v>
      </c>
      <c r="I208" s="6" t="s">
        <v>26</v>
      </c>
      <c r="J208" s="6" t="b">
        <v>1</v>
      </c>
      <c r="K208" s="6" t="s">
        <v>27</v>
      </c>
      <c r="L208" s="6">
        <v>41.2</v>
      </c>
      <c r="M208" s="6">
        <v>144.19999999999999</v>
      </c>
      <c r="N208" s="8">
        <f t="shared" si="21"/>
        <v>76.679999999999993</v>
      </c>
      <c r="O208" s="8">
        <f t="shared" si="22"/>
        <v>1848.28</v>
      </c>
      <c r="P208" s="8">
        <f t="shared" si="23"/>
        <v>1848.28</v>
      </c>
      <c r="Q208" s="8">
        <f t="shared" si="24"/>
        <v>0</v>
      </c>
      <c r="R208" s="9">
        <f t="shared" si="25"/>
        <v>1848.28</v>
      </c>
      <c r="S208" s="10">
        <f t="shared" si="26"/>
        <v>154.02333333333334</v>
      </c>
      <c r="T208">
        <v>165</v>
      </c>
      <c r="U208">
        <f t="shared" si="27"/>
        <v>20.800000000000011</v>
      </c>
    </row>
    <row r="209" spans="1:21" ht="14.25" customHeight="1" x14ac:dyDescent="0.35">
      <c r="A209" s="6" t="s">
        <v>809</v>
      </c>
      <c r="B209" s="6" t="s">
        <v>810</v>
      </c>
      <c r="C209" s="6" t="s">
        <v>811</v>
      </c>
      <c r="D209" s="6" t="s">
        <v>31</v>
      </c>
      <c r="E209" s="7" t="s">
        <v>23</v>
      </c>
      <c r="F209" s="6">
        <v>85255</v>
      </c>
      <c r="G209" s="6" t="s">
        <v>32</v>
      </c>
      <c r="H209" s="6" t="s">
        <v>33</v>
      </c>
      <c r="I209" s="6" t="s">
        <v>26</v>
      </c>
      <c r="J209" s="6" t="b">
        <v>1</v>
      </c>
      <c r="K209" s="6" t="s">
        <v>27</v>
      </c>
      <c r="L209" s="6">
        <v>41.2</v>
      </c>
      <c r="M209" s="6">
        <v>144.19999999999999</v>
      </c>
      <c r="N209" s="8">
        <f t="shared" si="21"/>
        <v>76.679999999999993</v>
      </c>
      <c r="O209" s="8">
        <f t="shared" si="22"/>
        <v>1848.28</v>
      </c>
      <c r="P209" s="8">
        <f t="shared" si="23"/>
        <v>1848.28</v>
      </c>
      <c r="Q209" s="8">
        <f t="shared" si="24"/>
        <v>0</v>
      </c>
      <c r="R209" s="9">
        <f t="shared" si="25"/>
        <v>1848.28</v>
      </c>
      <c r="S209" s="10">
        <f t="shared" si="26"/>
        <v>154.02333333333334</v>
      </c>
      <c r="T209">
        <v>165</v>
      </c>
      <c r="U209">
        <f t="shared" si="27"/>
        <v>20.800000000000011</v>
      </c>
    </row>
    <row r="210" spans="1:21" ht="14.25" customHeight="1" x14ac:dyDescent="0.35">
      <c r="A210" s="6" t="s">
        <v>812</v>
      </c>
      <c r="B210" s="6" t="s">
        <v>813</v>
      </c>
      <c r="C210" s="6" t="s">
        <v>814</v>
      </c>
      <c r="D210" s="6" t="s">
        <v>31</v>
      </c>
      <c r="E210" s="7" t="s">
        <v>23</v>
      </c>
      <c r="F210" s="6">
        <v>85254</v>
      </c>
      <c r="G210" s="6" t="s">
        <v>45</v>
      </c>
      <c r="H210" s="6" t="s">
        <v>291</v>
      </c>
      <c r="I210" s="6" t="s">
        <v>26</v>
      </c>
      <c r="J210" s="6" t="b">
        <v>1</v>
      </c>
      <c r="K210" s="6" t="s">
        <v>27</v>
      </c>
      <c r="L210" s="6">
        <v>41.2</v>
      </c>
      <c r="M210" s="6">
        <v>144.19999999999999</v>
      </c>
      <c r="N210" s="8">
        <f t="shared" si="21"/>
        <v>76.679999999999993</v>
      </c>
      <c r="O210" s="8">
        <f t="shared" si="22"/>
        <v>1848.28</v>
      </c>
      <c r="P210" s="8">
        <f t="shared" si="23"/>
        <v>1848.28</v>
      </c>
      <c r="Q210" s="8">
        <f t="shared" si="24"/>
        <v>0</v>
      </c>
      <c r="R210" s="9">
        <f t="shared" si="25"/>
        <v>1848.28</v>
      </c>
      <c r="S210" s="10">
        <f t="shared" si="26"/>
        <v>154.02333333333334</v>
      </c>
      <c r="T210">
        <v>165</v>
      </c>
      <c r="U210">
        <f t="shared" si="27"/>
        <v>20.800000000000011</v>
      </c>
    </row>
    <row r="211" spans="1:21" ht="14.25" customHeight="1" x14ac:dyDescent="0.35">
      <c r="A211" s="6" t="s">
        <v>815</v>
      </c>
      <c r="B211" s="6" t="s">
        <v>816</v>
      </c>
      <c r="C211" s="6" t="s">
        <v>817</v>
      </c>
      <c r="D211" s="6" t="s">
        <v>818</v>
      </c>
      <c r="E211" s="7" t="s">
        <v>23</v>
      </c>
      <c r="F211" s="6">
        <v>85340</v>
      </c>
      <c r="G211" s="6" t="s">
        <v>38</v>
      </c>
      <c r="H211" s="6" t="s">
        <v>378</v>
      </c>
      <c r="I211" s="6" t="s">
        <v>26</v>
      </c>
      <c r="J211" s="6" t="b">
        <v>1</v>
      </c>
      <c r="K211" s="6" t="s">
        <v>27</v>
      </c>
      <c r="L211" s="6">
        <v>41.2</v>
      </c>
      <c r="M211" s="6">
        <v>144.19999999999999</v>
      </c>
      <c r="N211" s="8">
        <f t="shared" si="21"/>
        <v>76.679999999999993</v>
      </c>
      <c r="O211" s="8">
        <f t="shared" si="22"/>
        <v>1848.28</v>
      </c>
      <c r="P211" s="8">
        <f t="shared" si="23"/>
        <v>1848.28</v>
      </c>
      <c r="Q211" s="8">
        <f t="shared" si="24"/>
        <v>0</v>
      </c>
      <c r="R211" s="9">
        <f t="shared" si="25"/>
        <v>1848.28</v>
      </c>
      <c r="S211" s="10">
        <f t="shared" si="26"/>
        <v>154.02333333333334</v>
      </c>
      <c r="T211">
        <v>165</v>
      </c>
      <c r="U211">
        <f t="shared" si="27"/>
        <v>20.800000000000011</v>
      </c>
    </row>
    <row r="212" spans="1:21" ht="14.25" customHeight="1" x14ac:dyDescent="0.35">
      <c r="A212" s="6" t="s">
        <v>819</v>
      </c>
      <c r="B212" s="6" t="s">
        <v>820</v>
      </c>
      <c r="C212" s="6" t="s">
        <v>821</v>
      </c>
      <c r="D212" s="6" t="s">
        <v>44</v>
      </c>
      <c r="E212" s="7" t="s">
        <v>23</v>
      </c>
      <c r="F212" s="6">
        <v>85015</v>
      </c>
      <c r="G212" s="6" t="s">
        <v>213</v>
      </c>
      <c r="H212" s="6" t="s">
        <v>202</v>
      </c>
      <c r="I212" s="6" t="s">
        <v>26</v>
      </c>
      <c r="J212" s="6" t="b">
        <v>1</v>
      </c>
      <c r="K212" s="6" t="s">
        <v>27</v>
      </c>
      <c r="L212" s="6">
        <v>41.2</v>
      </c>
      <c r="M212" s="6">
        <v>144.19999999999999</v>
      </c>
      <c r="N212" s="8">
        <f t="shared" si="21"/>
        <v>76.679999999999993</v>
      </c>
      <c r="O212" s="8">
        <f t="shared" si="22"/>
        <v>1848.28</v>
      </c>
      <c r="P212" s="8">
        <f t="shared" si="23"/>
        <v>1848.28</v>
      </c>
      <c r="Q212" s="8">
        <f t="shared" si="24"/>
        <v>0</v>
      </c>
      <c r="R212" s="9">
        <f t="shared" si="25"/>
        <v>1848.28</v>
      </c>
      <c r="S212" s="10">
        <f t="shared" si="26"/>
        <v>154.02333333333334</v>
      </c>
      <c r="T212">
        <v>165</v>
      </c>
      <c r="U212">
        <f t="shared" si="27"/>
        <v>20.800000000000011</v>
      </c>
    </row>
    <row r="213" spans="1:21" ht="14.25" customHeight="1" x14ac:dyDescent="0.35">
      <c r="A213" s="6" t="s">
        <v>822</v>
      </c>
      <c r="B213" s="6" t="s">
        <v>823</v>
      </c>
      <c r="C213" s="6" t="s">
        <v>824</v>
      </c>
      <c r="D213" s="6" t="s">
        <v>44</v>
      </c>
      <c r="E213" s="7" t="s">
        <v>23</v>
      </c>
      <c r="F213" s="6">
        <v>85048</v>
      </c>
      <c r="G213" s="6" t="s">
        <v>24</v>
      </c>
      <c r="H213" s="6" t="s">
        <v>161</v>
      </c>
      <c r="I213" s="6" t="s">
        <v>26</v>
      </c>
      <c r="J213" s="6" t="b">
        <v>1</v>
      </c>
      <c r="K213" s="6" t="s">
        <v>27</v>
      </c>
      <c r="L213" s="6">
        <v>41.2</v>
      </c>
      <c r="M213" s="6">
        <v>144.19999999999999</v>
      </c>
      <c r="N213" s="8">
        <f t="shared" si="21"/>
        <v>76.679999999999993</v>
      </c>
      <c r="O213" s="8">
        <f t="shared" si="22"/>
        <v>1848.28</v>
      </c>
      <c r="P213" s="8">
        <f t="shared" si="23"/>
        <v>1848.28</v>
      </c>
      <c r="Q213" s="8">
        <f t="shared" si="24"/>
        <v>0</v>
      </c>
      <c r="R213" s="9">
        <f t="shared" si="25"/>
        <v>1848.28</v>
      </c>
      <c r="S213" s="10">
        <f t="shared" si="26"/>
        <v>154.02333333333334</v>
      </c>
      <c r="T213">
        <v>165</v>
      </c>
      <c r="U213">
        <f t="shared" si="27"/>
        <v>20.800000000000011</v>
      </c>
    </row>
    <row r="214" spans="1:21" ht="14.25" customHeight="1" x14ac:dyDescent="0.35">
      <c r="A214" s="6" t="s">
        <v>825</v>
      </c>
      <c r="B214" s="6" t="s">
        <v>826</v>
      </c>
      <c r="C214" s="6" t="s">
        <v>827</v>
      </c>
      <c r="D214" s="6" t="s">
        <v>31</v>
      </c>
      <c r="E214" s="7" t="s">
        <v>23</v>
      </c>
      <c r="F214" s="6">
        <v>85260</v>
      </c>
      <c r="G214" s="6" t="s">
        <v>45</v>
      </c>
      <c r="H214" s="6" t="s">
        <v>291</v>
      </c>
      <c r="I214" s="6" t="s">
        <v>26</v>
      </c>
      <c r="J214" s="6" t="b">
        <v>1</v>
      </c>
      <c r="K214" s="6" t="s">
        <v>27</v>
      </c>
      <c r="L214" s="6">
        <v>41.2</v>
      </c>
      <c r="M214" s="6">
        <v>144.19999999999999</v>
      </c>
      <c r="N214" s="8">
        <f t="shared" si="21"/>
        <v>76.679999999999993</v>
      </c>
      <c r="O214" s="8">
        <f t="shared" si="22"/>
        <v>1848.28</v>
      </c>
      <c r="P214" s="8">
        <f t="shared" si="23"/>
        <v>1848.28</v>
      </c>
      <c r="Q214" s="8">
        <f t="shared" si="24"/>
        <v>0</v>
      </c>
      <c r="R214" s="9">
        <f t="shared" si="25"/>
        <v>1848.28</v>
      </c>
      <c r="S214" s="10">
        <f t="shared" si="26"/>
        <v>154.02333333333334</v>
      </c>
      <c r="T214">
        <v>165</v>
      </c>
      <c r="U214">
        <f t="shared" si="27"/>
        <v>20.800000000000011</v>
      </c>
    </row>
    <row r="215" spans="1:21" ht="14.25" customHeight="1" x14ac:dyDescent="0.35">
      <c r="A215" s="6" t="s">
        <v>828</v>
      </c>
      <c r="B215" s="6" t="s">
        <v>829</v>
      </c>
      <c r="C215" s="6" t="s">
        <v>830</v>
      </c>
      <c r="D215" s="6" t="s">
        <v>77</v>
      </c>
      <c r="E215" s="7" t="s">
        <v>23</v>
      </c>
      <c r="F215" s="6">
        <v>85308</v>
      </c>
      <c r="G215" s="6" t="s">
        <v>72</v>
      </c>
      <c r="H215" s="6" t="s">
        <v>93</v>
      </c>
      <c r="I215" s="6" t="s">
        <v>26</v>
      </c>
      <c r="J215" s="6" t="b">
        <v>1</v>
      </c>
      <c r="K215" s="6" t="s">
        <v>27</v>
      </c>
      <c r="L215" s="6">
        <v>41.2</v>
      </c>
      <c r="M215" s="6">
        <v>144.19999999999999</v>
      </c>
      <c r="N215" s="8">
        <f t="shared" si="21"/>
        <v>76.679999999999993</v>
      </c>
      <c r="O215" s="8">
        <f t="shared" si="22"/>
        <v>1848.28</v>
      </c>
      <c r="P215" s="8">
        <f t="shared" si="23"/>
        <v>1848.28</v>
      </c>
      <c r="Q215" s="8">
        <f t="shared" si="24"/>
        <v>0</v>
      </c>
      <c r="R215" s="9">
        <f t="shared" si="25"/>
        <v>1848.28</v>
      </c>
      <c r="S215" s="10">
        <f t="shared" si="26"/>
        <v>154.02333333333334</v>
      </c>
      <c r="T215">
        <v>165</v>
      </c>
      <c r="U215">
        <f t="shared" si="27"/>
        <v>20.800000000000011</v>
      </c>
    </row>
    <row r="216" spans="1:21" ht="14.25" customHeight="1" x14ac:dyDescent="0.35">
      <c r="A216" s="6" t="s">
        <v>831</v>
      </c>
      <c r="B216" s="6" t="s">
        <v>832</v>
      </c>
      <c r="C216" s="6" t="s">
        <v>833</v>
      </c>
      <c r="D216" s="6" t="s">
        <v>77</v>
      </c>
      <c r="E216" s="7" t="s">
        <v>23</v>
      </c>
      <c r="F216" s="6">
        <v>85304</v>
      </c>
      <c r="G216" s="6" t="s">
        <v>72</v>
      </c>
      <c r="H216" s="6" t="s">
        <v>93</v>
      </c>
      <c r="I216" s="6" t="s">
        <v>26</v>
      </c>
      <c r="J216" s="6" t="b">
        <v>1</v>
      </c>
      <c r="K216" s="6" t="s">
        <v>27</v>
      </c>
      <c r="L216" s="6">
        <v>41.2</v>
      </c>
      <c r="M216" s="6">
        <v>144.19999999999999</v>
      </c>
      <c r="N216" s="8">
        <f t="shared" si="21"/>
        <v>76.679999999999993</v>
      </c>
      <c r="O216" s="8">
        <f t="shared" si="22"/>
        <v>1848.28</v>
      </c>
      <c r="P216" s="8">
        <f t="shared" si="23"/>
        <v>1848.28</v>
      </c>
      <c r="Q216" s="8">
        <f t="shared" si="24"/>
        <v>0</v>
      </c>
      <c r="R216" s="9">
        <f t="shared" si="25"/>
        <v>1848.28</v>
      </c>
      <c r="S216" s="10">
        <f t="shared" si="26"/>
        <v>154.02333333333334</v>
      </c>
      <c r="T216">
        <v>165</v>
      </c>
      <c r="U216">
        <f t="shared" si="27"/>
        <v>20.800000000000011</v>
      </c>
    </row>
    <row r="217" spans="1:21" ht="14.25" customHeight="1" x14ac:dyDescent="0.35">
      <c r="A217" s="6" t="s">
        <v>834</v>
      </c>
      <c r="B217" s="6" t="s">
        <v>835</v>
      </c>
      <c r="C217" s="6" t="s">
        <v>836</v>
      </c>
      <c r="D217" s="6" t="s">
        <v>22</v>
      </c>
      <c r="E217" s="7" t="s">
        <v>23</v>
      </c>
      <c r="F217" s="6">
        <v>85248</v>
      </c>
      <c r="G217" s="6" t="s">
        <v>125</v>
      </c>
      <c r="H217" s="6" t="s">
        <v>126</v>
      </c>
      <c r="I217" s="6" t="s">
        <v>26</v>
      </c>
      <c r="J217" s="6" t="b">
        <v>1</v>
      </c>
      <c r="K217" s="6" t="s">
        <v>27</v>
      </c>
      <c r="L217" s="6">
        <v>41.2</v>
      </c>
      <c r="M217" s="6">
        <v>144.19999999999999</v>
      </c>
      <c r="N217" s="8">
        <f t="shared" si="21"/>
        <v>76.679999999999993</v>
      </c>
      <c r="O217" s="8">
        <f t="shared" si="22"/>
        <v>1848.28</v>
      </c>
      <c r="P217" s="8">
        <f t="shared" si="23"/>
        <v>1848.28</v>
      </c>
      <c r="Q217" s="8">
        <f t="shared" si="24"/>
        <v>0</v>
      </c>
      <c r="R217" s="9">
        <f t="shared" si="25"/>
        <v>1848.28</v>
      </c>
      <c r="S217" s="10">
        <f t="shared" si="26"/>
        <v>154.02333333333334</v>
      </c>
      <c r="T217">
        <v>165</v>
      </c>
      <c r="U217">
        <f t="shared" si="27"/>
        <v>20.800000000000011</v>
      </c>
    </row>
    <row r="218" spans="1:21" ht="14.25" customHeight="1" x14ac:dyDescent="0.35">
      <c r="A218" s="6" t="s">
        <v>837</v>
      </c>
      <c r="B218" s="6" t="s">
        <v>838</v>
      </c>
      <c r="C218" s="6" t="s">
        <v>839</v>
      </c>
      <c r="D218" s="6" t="s">
        <v>165</v>
      </c>
      <c r="E218" s="7" t="s">
        <v>23</v>
      </c>
      <c r="F218" s="6">
        <v>85296</v>
      </c>
      <c r="G218" s="6" t="s">
        <v>125</v>
      </c>
      <c r="H218" s="6" t="s">
        <v>126</v>
      </c>
      <c r="I218" s="6" t="s">
        <v>26</v>
      </c>
      <c r="J218" s="6" t="b">
        <v>1</v>
      </c>
      <c r="K218" s="6" t="s">
        <v>27</v>
      </c>
      <c r="L218" s="6">
        <v>41.2</v>
      </c>
      <c r="M218" s="6">
        <v>144.19999999999999</v>
      </c>
      <c r="N218" s="8">
        <f t="shared" si="21"/>
        <v>76.679999999999993</v>
      </c>
      <c r="O218" s="8">
        <f t="shared" si="22"/>
        <v>1848.28</v>
      </c>
      <c r="P218" s="8">
        <f t="shared" si="23"/>
        <v>1848.28</v>
      </c>
      <c r="Q218" s="8">
        <f t="shared" si="24"/>
        <v>0</v>
      </c>
      <c r="R218" s="9">
        <f t="shared" si="25"/>
        <v>1848.28</v>
      </c>
      <c r="S218" s="10">
        <f t="shared" si="26"/>
        <v>154.02333333333334</v>
      </c>
      <c r="T218">
        <v>165</v>
      </c>
      <c r="U218">
        <f t="shared" si="27"/>
        <v>20.800000000000011</v>
      </c>
    </row>
    <row r="219" spans="1:21" ht="14.25" customHeight="1" x14ac:dyDescent="0.35">
      <c r="A219" s="6" t="s">
        <v>840</v>
      </c>
      <c r="B219" s="6" t="s">
        <v>841</v>
      </c>
      <c r="C219" s="6" t="s">
        <v>842</v>
      </c>
      <c r="D219" s="6" t="s">
        <v>241</v>
      </c>
      <c r="E219" s="7" t="s">
        <v>23</v>
      </c>
      <c r="F219" s="6">
        <v>85331</v>
      </c>
      <c r="G219" s="6" t="s">
        <v>32</v>
      </c>
      <c r="H219" s="6" t="s">
        <v>79</v>
      </c>
      <c r="I219" s="6" t="s">
        <v>40</v>
      </c>
      <c r="J219" s="6" t="b">
        <v>1</v>
      </c>
      <c r="K219" s="6" t="s">
        <v>27</v>
      </c>
      <c r="L219" s="6">
        <v>41.2</v>
      </c>
      <c r="M219" s="6">
        <v>144.19999999999999</v>
      </c>
      <c r="N219" s="8">
        <f t="shared" si="21"/>
        <v>76.679999999999993</v>
      </c>
      <c r="O219" s="8">
        <f t="shared" si="22"/>
        <v>1848.28</v>
      </c>
      <c r="P219" s="8">
        <f t="shared" si="23"/>
        <v>1848.28</v>
      </c>
      <c r="Q219" s="8">
        <f t="shared" si="24"/>
        <v>0</v>
      </c>
      <c r="R219" s="9">
        <f t="shared" si="25"/>
        <v>1848.28</v>
      </c>
      <c r="S219" s="10">
        <f t="shared" si="26"/>
        <v>154.02333333333334</v>
      </c>
      <c r="T219">
        <v>165</v>
      </c>
      <c r="U219">
        <f t="shared" si="27"/>
        <v>20.800000000000011</v>
      </c>
    </row>
    <row r="220" spans="1:21" ht="14.25" customHeight="1" x14ac:dyDescent="0.35">
      <c r="A220" s="6" t="s">
        <v>843</v>
      </c>
      <c r="B220" s="6" t="s">
        <v>844</v>
      </c>
      <c r="C220" s="6" t="s">
        <v>845</v>
      </c>
      <c r="D220" s="6" t="s">
        <v>31</v>
      </c>
      <c r="E220" s="7" t="s">
        <v>23</v>
      </c>
      <c r="F220" s="6">
        <v>85251</v>
      </c>
      <c r="G220" s="6" t="s">
        <v>49</v>
      </c>
      <c r="H220" s="6" t="s">
        <v>50</v>
      </c>
      <c r="I220" s="6" t="s">
        <v>26</v>
      </c>
      <c r="J220" s="6" t="b">
        <v>1</v>
      </c>
      <c r="K220" s="6" t="s">
        <v>27</v>
      </c>
      <c r="L220" s="6">
        <v>41.2</v>
      </c>
      <c r="M220" s="6">
        <v>144.19999999999999</v>
      </c>
      <c r="N220" s="8">
        <f t="shared" si="21"/>
        <v>76.679999999999993</v>
      </c>
      <c r="O220" s="8">
        <f t="shared" si="22"/>
        <v>1848.28</v>
      </c>
      <c r="P220" s="8">
        <f t="shared" si="23"/>
        <v>1848.28</v>
      </c>
      <c r="Q220" s="8">
        <f t="shared" si="24"/>
        <v>0</v>
      </c>
      <c r="R220" s="9">
        <f t="shared" si="25"/>
        <v>1848.28</v>
      </c>
      <c r="S220" s="10">
        <f t="shared" si="26"/>
        <v>154.02333333333334</v>
      </c>
      <c r="T220">
        <v>165</v>
      </c>
      <c r="U220">
        <f t="shared" si="27"/>
        <v>20.800000000000011</v>
      </c>
    </row>
    <row r="221" spans="1:21" ht="14.25" customHeight="1" x14ac:dyDescent="0.35">
      <c r="A221" s="6" t="s">
        <v>846</v>
      </c>
      <c r="B221" s="6" t="s">
        <v>847</v>
      </c>
      <c r="C221" s="6" t="s">
        <v>848</v>
      </c>
      <c r="D221" s="6" t="s">
        <v>44</v>
      </c>
      <c r="E221" s="7" t="s">
        <v>23</v>
      </c>
      <c r="F221" s="6">
        <v>85016</v>
      </c>
      <c r="G221" s="6" t="s">
        <v>49</v>
      </c>
      <c r="H221" s="6" t="s">
        <v>849</v>
      </c>
      <c r="I221" s="6" t="s">
        <v>26</v>
      </c>
      <c r="J221" s="6" t="b">
        <v>1</v>
      </c>
      <c r="K221" s="6" t="s">
        <v>27</v>
      </c>
      <c r="L221" s="6">
        <v>41.2</v>
      </c>
      <c r="M221" s="6">
        <v>144.19999999999999</v>
      </c>
      <c r="N221" s="8">
        <f t="shared" si="21"/>
        <v>76.679999999999993</v>
      </c>
      <c r="O221" s="8">
        <f t="shared" si="22"/>
        <v>1848.28</v>
      </c>
      <c r="P221" s="8">
        <f t="shared" si="23"/>
        <v>1848.28</v>
      </c>
      <c r="Q221" s="8">
        <f t="shared" si="24"/>
        <v>0</v>
      </c>
      <c r="R221" s="9">
        <f t="shared" si="25"/>
        <v>1848.28</v>
      </c>
      <c r="S221" s="10">
        <f t="shared" si="26"/>
        <v>154.02333333333334</v>
      </c>
      <c r="T221">
        <v>165</v>
      </c>
      <c r="U221">
        <f t="shared" si="27"/>
        <v>20.800000000000011</v>
      </c>
    </row>
    <row r="222" spans="1:21" ht="14.25" customHeight="1" x14ac:dyDescent="0.35">
      <c r="A222" s="6" t="s">
        <v>850</v>
      </c>
      <c r="B222" s="6" t="s">
        <v>851</v>
      </c>
      <c r="C222" s="6" t="s">
        <v>852</v>
      </c>
      <c r="D222" s="6" t="s">
        <v>44</v>
      </c>
      <c r="E222" s="7" t="s">
        <v>23</v>
      </c>
      <c r="F222" s="6">
        <v>85021</v>
      </c>
      <c r="G222" s="6" t="s">
        <v>72</v>
      </c>
      <c r="H222" s="6" t="s">
        <v>93</v>
      </c>
      <c r="I222" s="6" t="s">
        <v>26</v>
      </c>
      <c r="J222" s="6" t="b">
        <v>1</v>
      </c>
      <c r="K222" s="6" t="s">
        <v>27</v>
      </c>
      <c r="L222" s="6">
        <v>41.2</v>
      </c>
      <c r="M222" s="6">
        <v>144.19999999999999</v>
      </c>
      <c r="N222" s="8">
        <f t="shared" si="21"/>
        <v>76.679999999999993</v>
      </c>
      <c r="O222" s="8">
        <f t="shared" si="22"/>
        <v>1848.28</v>
      </c>
      <c r="P222" s="8">
        <f t="shared" si="23"/>
        <v>1848.28</v>
      </c>
      <c r="Q222" s="8">
        <f t="shared" si="24"/>
        <v>0</v>
      </c>
      <c r="R222" s="9">
        <f t="shared" si="25"/>
        <v>1848.28</v>
      </c>
      <c r="S222" s="10">
        <f t="shared" si="26"/>
        <v>154.02333333333334</v>
      </c>
      <c r="T222">
        <v>165</v>
      </c>
      <c r="U222">
        <f t="shared" si="27"/>
        <v>20.800000000000011</v>
      </c>
    </row>
    <row r="223" spans="1:21" ht="14.25" customHeight="1" x14ac:dyDescent="0.35">
      <c r="A223" s="6" t="s">
        <v>853</v>
      </c>
      <c r="B223" s="6" t="s">
        <v>854</v>
      </c>
      <c r="C223" s="6" t="s">
        <v>855</v>
      </c>
      <c r="D223" s="6" t="s">
        <v>165</v>
      </c>
      <c r="E223" s="7" t="s">
        <v>23</v>
      </c>
      <c r="F223" s="6">
        <v>85233</v>
      </c>
      <c r="G223" s="6" t="s">
        <v>24</v>
      </c>
      <c r="H223" s="6" t="s">
        <v>25</v>
      </c>
      <c r="I223" s="6" t="s">
        <v>26</v>
      </c>
      <c r="J223" s="6" t="b">
        <v>1</v>
      </c>
      <c r="K223" s="6" t="s">
        <v>27</v>
      </c>
      <c r="L223" s="6">
        <v>41.2</v>
      </c>
      <c r="M223" s="6">
        <v>144.19999999999999</v>
      </c>
      <c r="N223" s="8">
        <f t="shared" si="21"/>
        <v>76.679999999999993</v>
      </c>
      <c r="O223" s="8">
        <f t="shared" si="22"/>
        <v>1848.28</v>
      </c>
      <c r="P223" s="8">
        <f t="shared" si="23"/>
        <v>1848.28</v>
      </c>
      <c r="Q223" s="8">
        <f t="shared" si="24"/>
        <v>0</v>
      </c>
      <c r="R223" s="9">
        <f t="shared" si="25"/>
        <v>1848.28</v>
      </c>
      <c r="S223" s="10">
        <f t="shared" si="26"/>
        <v>154.02333333333334</v>
      </c>
      <c r="T223">
        <v>165</v>
      </c>
      <c r="U223">
        <f t="shared" si="27"/>
        <v>20.800000000000011</v>
      </c>
    </row>
    <row r="224" spans="1:21" ht="14.25" customHeight="1" x14ac:dyDescent="0.35">
      <c r="A224" s="6" t="s">
        <v>856</v>
      </c>
      <c r="B224" s="6" t="s">
        <v>857</v>
      </c>
      <c r="C224" s="6" t="s">
        <v>858</v>
      </c>
      <c r="D224" s="6" t="s">
        <v>165</v>
      </c>
      <c r="E224" s="7" t="s">
        <v>23</v>
      </c>
      <c r="F224" s="6">
        <v>85233</v>
      </c>
      <c r="G224" s="6" t="s">
        <v>24</v>
      </c>
      <c r="H224" s="6" t="s">
        <v>25</v>
      </c>
      <c r="I224" s="6" t="s">
        <v>26</v>
      </c>
      <c r="J224" s="6" t="b">
        <v>1</v>
      </c>
      <c r="K224" s="6" t="s">
        <v>27</v>
      </c>
      <c r="L224" s="6">
        <v>41.2</v>
      </c>
      <c r="M224" s="6">
        <v>144.19999999999999</v>
      </c>
      <c r="N224" s="8">
        <f t="shared" si="21"/>
        <v>76.679999999999993</v>
      </c>
      <c r="O224" s="8">
        <f t="shared" si="22"/>
        <v>1848.28</v>
      </c>
      <c r="P224" s="8">
        <f t="shared" si="23"/>
        <v>1848.28</v>
      </c>
      <c r="Q224" s="8">
        <f t="shared" si="24"/>
        <v>0</v>
      </c>
      <c r="R224" s="9">
        <f t="shared" si="25"/>
        <v>1848.28</v>
      </c>
      <c r="S224" s="10">
        <f t="shared" si="26"/>
        <v>154.02333333333334</v>
      </c>
      <c r="T224">
        <v>165</v>
      </c>
      <c r="U224">
        <f t="shared" si="27"/>
        <v>20.800000000000011</v>
      </c>
    </row>
    <row r="225" spans="1:21" ht="14.25" customHeight="1" x14ac:dyDescent="0.35">
      <c r="A225" s="6" t="s">
        <v>859</v>
      </c>
      <c r="B225" s="6" t="s">
        <v>860</v>
      </c>
      <c r="C225" s="6" t="s">
        <v>861</v>
      </c>
      <c r="D225" s="6" t="s">
        <v>22</v>
      </c>
      <c r="E225" s="7" t="s">
        <v>23</v>
      </c>
      <c r="F225" s="6">
        <v>85225</v>
      </c>
      <c r="G225" s="6" t="s">
        <v>24</v>
      </c>
      <c r="H225" s="6" t="s">
        <v>25</v>
      </c>
      <c r="I225" s="6" t="s">
        <v>26</v>
      </c>
      <c r="J225" s="6" t="b">
        <v>1</v>
      </c>
      <c r="K225" s="6" t="s">
        <v>27</v>
      </c>
      <c r="L225" s="6">
        <v>41.2</v>
      </c>
      <c r="M225" s="6">
        <v>144.19999999999999</v>
      </c>
      <c r="N225" s="8">
        <f t="shared" si="21"/>
        <v>76.679999999999993</v>
      </c>
      <c r="O225" s="8">
        <f t="shared" si="22"/>
        <v>1848.28</v>
      </c>
      <c r="P225" s="8">
        <f t="shared" si="23"/>
        <v>1848.28</v>
      </c>
      <c r="Q225" s="8">
        <f t="shared" si="24"/>
        <v>0</v>
      </c>
      <c r="R225" s="9">
        <f t="shared" si="25"/>
        <v>1848.28</v>
      </c>
      <c r="S225" s="10">
        <f t="shared" si="26"/>
        <v>154.02333333333334</v>
      </c>
      <c r="T225">
        <v>165</v>
      </c>
      <c r="U225">
        <f t="shared" si="27"/>
        <v>20.800000000000011</v>
      </c>
    </row>
    <row r="226" spans="1:21" ht="14.25" customHeight="1" x14ac:dyDescent="0.35">
      <c r="A226" s="6" t="s">
        <v>862</v>
      </c>
      <c r="B226" s="6" t="s">
        <v>863</v>
      </c>
      <c r="C226" s="6" t="s">
        <v>864</v>
      </c>
      <c r="D226" s="6" t="s">
        <v>65</v>
      </c>
      <c r="E226" s="7" t="s">
        <v>23</v>
      </c>
      <c r="F226" s="6">
        <v>85207</v>
      </c>
      <c r="G226" s="6" t="s">
        <v>66</v>
      </c>
      <c r="H226" s="6" t="s">
        <v>67</v>
      </c>
      <c r="I226" s="6" t="s">
        <v>26</v>
      </c>
      <c r="J226" s="6" t="b">
        <v>1</v>
      </c>
      <c r="K226" s="6" t="s">
        <v>27</v>
      </c>
      <c r="L226" s="6">
        <v>41.2</v>
      </c>
      <c r="M226" s="6">
        <v>144.19999999999999</v>
      </c>
      <c r="N226" s="8">
        <f t="shared" si="21"/>
        <v>76.679999999999993</v>
      </c>
      <c r="O226" s="8">
        <f t="shared" si="22"/>
        <v>1848.28</v>
      </c>
      <c r="P226" s="8">
        <f t="shared" si="23"/>
        <v>1848.28</v>
      </c>
      <c r="Q226" s="8">
        <f t="shared" si="24"/>
        <v>0</v>
      </c>
      <c r="R226" s="9">
        <f t="shared" si="25"/>
        <v>1848.28</v>
      </c>
      <c r="S226" s="10">
        <f t="shared" si="26"/>
        <v>154.02333333333334</v>
      </c>
      <c r="T226">
        <v>165</v>
      </c>
      <c r="U226">
        <f t="shared" si="27"/>
        <v>20.800000000000011</v>
      </c>
    </row>
    <row r="227" spans="1:21" ht="14.25" customHeight="1" x14ac:dyDescent="0.35">
      <c r="A227" s="6" t="s">
        <v>865</v>
      </c>
      <c r="B227" s="6" t="s">
        <v>866</v>
      </c>
      <c r="C227" s="6" t="s">
        <v>867</v>
      </c>
      <c r="D227" s="6" t="s">
        <v>31</v>
      </c>
      <c r="E227" s="7" t="s">
        <v>23</v>
      </c>
      <c r="F227" s="6">
        <v>85266</v>
      </c>
      <c r="G227" s="6" t="s">
        <v>32</v>
      </c>
      <c r="H227" s="6" t="s">
        <v>33</v>
      </c>
      <c r="I227" s="6" t="s">
        <v>26</v>
      </c>
      <c r="J227" s="6" t="b">
        <v>1</v>
      </c>
      <c r="K227" s="6" t="s">
        <v>27</v>
      </c>
      <c r="L227" s="6">
        <v>41.2</v>
      </c>
      <c r="M227" s="6">
        <v>144.19999999999999</v>
      </c>
      <c r="N227" s="8">
        <f t="shared" si="21"/>
        <v>76.679999999999993</v>
      </c>
      <c r="O227" s="8">
        <f t="shared" si="22"/>
        <v>1848.28</v>
      </c>
      <c r="P227" s="8">
        <f t="shared" si="23"/>
        <v>1848.28</v>
      </c>
      <c r="Q227" s="8">
        <f t="shared" si="24"/>
        <v>0</v>
      </c>
      <c r="R227" s="9">
        <f t="shared" si="25"/>
        <v>1848.28</v>
      </c>
      <c r="S227" s="10">
        <f t="shared" si="26"/>
        <v>154.02333333333334</v>
      </c>
      <c r="T227">
        <v>165</v>
      </c>
      <c r="U227">
        <f t="shared" si="27"/>
        <v>20.800000000000011</v>
      </c>
    </row>
    <row r="228" spans="1:21" ht="14.25" customHeight="1" x14ac:dyDescent="0.35">
      <c r="A228" s="6" t="s">
        <v>868</v>
      </c>
      <c r="B228" s="6" t="s">
        <v>869</v>
      </c>
      <c r="C228" s="6" t="s">
        <v>870</v>
      </c>
      <c r="D228" s="6" t="s">
        <v>31</v>
      </c>
      <c r="E228" s="7" t="s">
        <v>23</v>
      </c>
      <c r="F228" s="6">
        <v>85258</v>
      </c>
      <c r="G228" s="6" t="s">
        <v>45</v>
      </c>
      <c r="H228" s="6" t="s">
        <v>291</v>
      </c>
      <c r="I228" s="6" t="s">
        <v>26</v>
      </c>
      <c r="J228" s="6" t="b">
        <v>1</v>
      </c>
      <c r="K228" s="6" t="s">
        <v>27</v>
      </c>
      <c r="L228" s="6">
        <v>41.2</v>
      </c>
      <c r="M228" s="6">
        <v>144.19999999999999</v>
      </c>
      <c r="N228" s="8">
        <f t="shared" si="21"/>
        <v>76.679999999999993</v>
      </c>
      <c r="O228" s="8">
        <f t="shared" si="22"/>
        <v>1848.28</v>
      </c>
      <c r="P228" s="8">
        <f t="shared" si="23"/>
        <v>1848.28</v>
      </c>
      <c r="Q228" s="8">
        <f t="shared" si="24"/>
        <v>0</v>
      </c>
      <c r="R228" s="9">
        <f t="shared" si="25"/>
        <v>1848.28</v>
      </c>
      <c r="S228" s="10">
        <f t="shared" si="26"/>
        <v>154.02333333333334</v>
      </c>
      <c r="T228">
        <v>165</v>
      </c>
      <c r="U228">
        <f t="shared" si="27"/>
        <v>20.800000000000011</v>
      </c>
    </row>
    <row r="229" spans="1:21" ht="14.25" customHeight="1" x14ac:dyDescent="0.35">
      <c r="A229" s="6" t="s">
        <v>871</v>
      </c>
      <c r="B229" s="6" t="s">
        <v>872</v>
      </c>
      <c r="C229" s="6" t="s">
        <v>873</v>
      </c>
      <c r="D229" s="6" t="s">
        <v>44</v>
      </c>
      <c r="E229" s="7" t="s">
        <v>23</v>
      </c>
      <c r="F229" s="6">
        <v>85029</v>
      </c>
      <c r="G229" s="6" t="s">
        <v>72</v>
      </c>
      <c r="H229" s="6" t="s">
        <v>93</v>
      </c>
      <c r="I229" s="6" t="s">
        <v>26</v>
      </c>
      <c r="J229" s="6" t="b">
        <v>1</v>
      </c>
      <c r="K229" s="6" t="s">
        <v>27</v>
      </c>
      <c r="L229" s="6">
        <v>41.2</v>
      </c>
      <c r="M229" s="6">
        <v>144.19999999999999</v>
      </c>
      <c r="N229" s="8">
        <f t="shared" si="21"/>
        <v>76.679999999999993</v>
      </c>
      <c r="O229" s="8">
        <f t="shared" si="22"/>
        <v>1848.28</v>
      </c>
      <c r="P229" s="8">
        <f t="shared" si="23"/>
        <v>1848.28</v>
      </c>
      <c r="Q229" s="8">
        <f t="shared" si="24"/>
        <v>0</v>
      </c>
      <c r="R229" s="9">
        <f t="shared" si="25"/>
        <v>1848.28</v>
      </c>
      <c r="S229" s="10">
        <f t="shared" si="26"/>
        <v>154.02333333333334</v>
      </c>
      <c r="T229">
        <v>165</v>
      </c>
      <c r="U229">
        <f t="shared" si="27"/>
        <v>20.800000000000011</v>
      </c>
    </row>
    <row r="230" spans="1:21" ht="14.25" customHeight="1" x14ac:dyDescent="0.35">
      <c r="A230" s="6" t="s">
        <v>874</v>
      </c>
      <c r="B230" s="6" t="s">
        <v>875</v>
      </c>
      <c r="C230" s="6" t="s">
        <v>876</v>
      </c>
      <c r="D230" s="6" t="s">
        <v>430</v>
      </c>
      <c r="E230" s="7" t="s">
        <v>23</v>
      </c>
      <c r="F230" s="6">
        <v>85253</v>
      </c>
      <c r="G230" s="6" t="s">
        <v>49</v>
      </c>
      <c r="H230" s="6" t="s">
        <v>202</v>
      </c>
      <c r="I230" s="6" t="s">
        <v>26</v>
      </c>
      <c r="J230" s="6" t="b">
        <v>1</v>
      </c>
      <c r="K230" s="6" t="s">
        <v>27</v>
      </c>
      <c r="L230" s="6">
        <v>41.2</v>
      </c>
      <c r="M230" s="6">
        <v>144.19999999999999</v>
      </c>
      <c r="N230" s="8">
        <f t="shared" si="21"/>
        <v>76.679999999999993</v>
      </c>
      <c r="O230" s="8">
        <f t="shared" si="22"/>
        <v>1848.28</v>
      </c>
      <c r="P230" s="8">
        <f t="shared" si="23"/>
        <v>1848.28</v>
      </c>
      <c r="Q230" s="8">
        <f t="shared" si="24"/>
        <v>0</v>
      </c>
      <c r="R230" s="9">
        <f t="shared" si="25"/>
        <v>1848.28</v>
      </c>
      <c r="S230" s="10">
        <f t="shared" si="26"/>
        <v>154.02333333333334</v>
      </c>
      <c r="T230">
        <v>165</v>
      </c>
      <c r="U230">
        <f t="shared" si="27"/>
        <v>20.800000000000011</v>
      </c>
    </row>
    <row r="231" spans="1:21" ht="14.25" customHeight="1" x14ac:dyDescent="0.35">
      <c r="A231" s="6" t="s">
        <v>877</v>
      </c>
      <c r="B231" s="6" t="s">
        <v>878</v>
      </c>
      <c r="C231" s="6" t="s">
        <v>879</v>
      </c>
      <c r="D231" s="6" t="s">
        <v>267</v>
      </c>
      <c r="E231" s="7" t="s">
        <v>23</v>
      </c>
      <c r="F231" s="6">
        <v>85388</v>
      </c>
      <c r="G231" s="6" t="s">
        <v>78</v>
      </c>
      <c r="H231" s="6" t="s">
        <v>281</v>
      </c>
      <c r="I231" s="6" t="s">
        <v>26</v>
      </c>
      <c r="J231" s="6" t="b">
        <v>1</v>
      </c>
      <c r="K231" s="6" t="s">
        <v>27</v>
      </c>
      <c r="L231" s="6">
        <v>41.2</v>
      </c>
      <c r="M231" s="6">
        <v>144.19999999999999</v>
      </c>
      <c r="N231" s="8">
        <f t="shared" si="21"/>
        <v>76.679999999999993</v>
      </c>
      <c r="O231" s="8">
        <f t="shared" si="22"/>
        <v>1848.28</v>
      </c>
      <c r="P231" s="8">
        <f t="shared" si="23"/>
        <v>1848.28</v>
      </c>
      <c r="Q231" s="8">
        <f t="shared" si="24"/>
        <v>0</v>
      </c>
      <c r="R231" s="9">
        <f t="shared" si="25"/>
        <v>1848.28</v>
      </c>
      <c r="S231" s="10">
        <f t="shared" si="26"/>
        <v>154.02333333333334</v>
      </c>
      <c r="T231">
        <v>165</v>
      </c>
      <c r="U231">
        <f t="shared" si="27"/>
        <v>20.800000000000011</v>
      </c>
    </row>
    <row r="232" spans="1:21" ht="14.25" customHeight="1" x14ac:dyDescent="0.35">
      <c r="A232" s="6" t="s">
        <v>880</v>
      </c>
      <c r="B232" s="6" t="s">
        <v>881</v>
      </c>
      <c r="C232" s="6" t="s">
        <v>882</v>
      </c>
      <c r="D232" s="6" t="s">
        <v>65</v>
      </c>
      <c r="E232" s="7" t="s">
        <v>23</v>
      </c>
      <c r="F232" s="6">
        <v>85209</v>
      </c>
      <c r="G232" s="6" t="s">
        <v>125</v>
      </c>
      <c r="H232" s="6" t="s">
        <v>180</v>
      </c>
      <c r="I232" s="6" t="s">
        <v>26</v>
      </c>
      <c r="J232" s="6" t="b">
        <v>1</v>
      </c>
      <c r="K232" s="6" t="s">
        <v>27</v>
      </c>
      <c r="L232" s="6">
        <v>41.2</v>
      </c>
      <c r="M232" s="6">
        <v>144.19999999999999</v>
      </c>
      <c r="N232" s="8">
        <f t="shared" si="21"/>
        <v>76.679999999999993</v>
      </c>
      <c r="O232" s="8">
        <f t="shared" si="22"/>
        <v>1848.28</v>
      </c>
      <c r="P232" s="8">
        <f t="shared" si="23"/>
        <v>1848.28</v>
      </c>
      <c r="Q232" s="8">
        <f t="shared" si="24"/>
        <v>0</v>
      </c>
      <c r="R232" s="9">
        <f t="shared" si="25"/>
        <v>1848.28</v>
      </c>
      <c r="S232" s="10">
        <f t="shared" si="26"/>
        <v>154.02333333333334</v>
      </c>
      <c r="T232">
        <v>165</v>
      </c>
      <c r="U232">
        <f t="shared" si="27"/>
        <v>20.800000000000011</v>
      </c>
    </row>
    <row r="233" spans="1:21" ht="14.25" customHeight="1" x14ac:dyDescent="0.35">
      <c r="A233" s="6" t="s">
        <v>883</v>
      </c>
      <c r="B233" s="6" t="s">
        <v>884</v>
      </c>
      <c r="C233" s="6" t="s">
        <v>885</v>
      </c>
      <c r="D233" s="6" t="s">
        <v>65</v>
      </c>
      <c r="E233" s="7" t="s">
        <v>23</v>
      </c>
      <c r="F233" s="6">
        <v>85207</v>
      </c>
      <c r="G233" s="6" t="s">
        <v>66</v>
      </c>
      <c r="H233" s="6" t="s">
        <v>67</v>
      </c>
      <c r="I233" s="6" t="s">
        <v>26</v>
      </c>
      <c r="J233" s="6" t="b">
        <v>1</v>
      </c>
      <c r="K233" s="6" t="s">
        <v>27</v>
      </c>
      <c r="L233" s="6">
        <v>41.2</v>
      </c>
      <c r="M233" s="6">
        <v>144.19999999999999</v>
      </c>
      <c r="N233" s="8">
        <f t="shared" si="21"/>
        <v>76.679999999999993</v>
      </c>
      <c r="O233" s="8">
        <f t="shared" si="22"/>
        <v>1848.28</v>
      </c>
      <c r="P233" s="8">
        <f t="shared" si="23"/>
        <v>1848.28</v>
      </c>
      <c r="Q233" s="8">
        <f t="shared" si="24"/>
        <v>0</v>
      </c>
      <c r="R233" s="9">
        <f t="shared" si="25"/>
        <v>1848.28</v>
      </c>
      <c r="S233" s="10">
        <f t="shared" si="26"/>
        <v>154.02333333333334</v>
      </c>
      <c r="T233">
        <v>165</v>
      </c>
      <c r="U233">
        <f t="shared" si="27"/>
        <v>20.800000000000011</v>
      </c>
    </row>
    <row r="234" spans="1:21" ht="14.25" customHeight="1" x14ac:dyDescent="0.35">
      <c r="A234" s="6" t="s">
        <v>886</v>
      </c>
      <c r="B234" s="6" t="s">
        <v>887</v>
      </c>
      <c r="C234" s="6" t="s">
        <v>888</v>
      </c>
      <c r="D234" s="6" t="s">
        <v>44</v>
      </c>
      <c r="E234" s="7" t="s">
        <v>23</v>
      </c>
      <c r="F234" s="6">
        <v>85018</v>
      </c>
      <c r="G234" s="6" t="s">
        <v>49</v>
      </c>
      <c r="H234" s="6" t="s">
        <v>202</v>
      </c>
      <c r="I234" s="6" t="s">
        <v>26</v>
      </c>
      <c r="J234" s="6" t="b">
        <v>1</v>
      </c>
      <c r="K234" s="6" t="s">
        <v>27</v>
      </c>
      <c r="L234" s="6">
        <v>41.2</v>
      </c>
      <c r="M234" s="6">
        <v>144.19999999999999</v>
      </c>
      <c r="N234" s="8">
        <f t="shared" si="21"/>
        <v>76.679999999999993</v>
      </c>
      <c r="O234" s="8">
        <f t="shared" si="22"/>
        <v>1848.28</v>
      </c>
      <c r="P234" s="8">
        <f t="shared" si="23"/>
        <v>1848.28</v>
      </c>
      <c r="Q234" s="8">
        <f t="shared" si="24"/>
        <v>0</v>
      </c>
      <c r="R234" s="9">
        <f t="shared" si="25"/>
        <v>1848.28</v>
      </c>
      <c r="S234" s="10">
        <f t="shared" si="26"/>
        <v>154.02333333333334</v>
      </c>
      <c r="T234">
        <v>165</v>
      </c>
      <c r="U234">
        <f t="shared" si="27"/>
        <v>20.800000000000011</v>
      </c>
    </row>
    <row r="235" spans="1:21" ht="14.25" customHeight="1" x14ac:dyDescent="0.35">
      <c r="A235" s="6" t="s">
        <v>889</v>
      </c>
      <c r="B235" s="6" t="s">
        <v>890</v>
      </c>
      <c r="C235" s="6" t="s">
        <v>891</v>
      </c>
      <c r="D235" s="6" t="s">
        <v>892</v>
      </c>
      <c r="E235" s="7" t="s">
        <v>23</v>
      </c>
      <c r="F235" s="6">
        <v>85142</v>
      </c>
      <c r="G235" s="6" t="s">
        <v>125</v>
      </c>
      <c r="H235" s="6" t="s">
        <v>225</v>
      </c>
      <c r="I235" s="6" t="s">
        <v>26</v>
      </c>
      <c r="J235" s="6" t="b">
        <v>1</v>
      </c>
      <c r="K235" s="6" t="s">
        <v>27</v>
      </c>
      <c r="L235" s="6">
        <v>41.2</v>
      </c>
      <c r="M235" s="6">
        <v>144.19999999999999</v>
      </c>
      <c r="N235" s="8">
        <f t="shared" si="21"/>
        <v>76.679999999999993</v>
      </c>
      <c r="O235" s="8">
        <f t="shared" si="22"/>
        <v>1848.28</v>
      </c>
      <c r="P235" s="8">
        <f t="shared" si="23"/>
        <v>1848.28</v>
      </c>
      <c r="Q235" s="8">
        <f t="shared" si="24"/>
        <v>0</v>
      </c>
      <c r="R235" s="9">
        <f t="shared" si="25"/>
        <v>1848.28</v>
      </c>
      <c r="S235" s="10">
        <f t="shared" si="26"/>
        <v>154.02333333333334</v>
      </c>
      <c r="T235">
        <v>165</v>
      </c>
      <c r="U235">
        <f t="shared" si="27"/>
        <v>20.800000000000011</v>
      </c>
    </row>
    <row r="236" spans="1:21" ht="14.25" customHeight="1" x14ac:dyDescent="0.35">
      <c r="A236" s="6" t="s">
        <v>893</v>
      </c>
      <c r="B236" s="6" t="s">
        <v>894</v>
      </c>
      <c r="C236" s="6" t="s">
        <v>895</v>
      </c>
      <c r="D236" s="6" t="s">
        <v>44</v>
      </c>
      <c r="E236" s="7" t="s">
        <v>23</v>
      </c>
      <c r="F236" s="6">
        <v>85018</v>
      </c>
      <c r="G236" s="6" t="s">
        <v>49</v>
      </c>
      <c r="H236" s="6" t="s">
        <v>50</v>
      </c>
      <c r="I236" s="6" t="s">
        <v>26</v>
      </c>
      <c r="J236" s="6" t="b">
        <v>1</v>
      </c>
      <c r="K236" s="6" t="s">
        <v>27</v>
      </c>
      <c r="L236" s="6">
        <v>41.2</v>
      </c>
      <c r="M236" s="6">
        <v>144.19999999999999</v>
      </c>
      <c r="N236" s="8">
        <f t="shared" si="21"/>
        <v>76.679999999999993</v>
      </c>
      <c r="O236" s="8">
        <f t="shared" si="22"/>
        <v>1848.28</v>
      </c>
      <c r="P236" s="8">
        <f t="shared" si="23"/>
        <v>1848.28</v>
      </c>
      <c r="Q236" s="8">
        <f t="shared" si="24"/>
        <v>0</v>
      </c>
      <c r="R236" s="9">
        <f t="shared" si="25"/>
        <v>1848.28</v>
      </c>
      <c r="S236" s="10">
        <f t="shared" si="26"/>
        <v>154.02333333333334</v>
      </c>
      <c r="T236">
        <v>165</v>
      </c>
      <c r="U236">
        <f t="shared" si="27"/>
        <v>20.800000000000011</v>
      </c>
    </row>
    <row r="237" spans="1:21" ht="14.25" customHeight="1" x14ac:dyDescent="0.35">
      <c r="A237" s="6" t="s">
        <v>896</v>
      </c>
      <c r="B237" s="6" t="s">
        <v>897</v>
      </c>
      <c r="C237" s="6" t="s">
        <v>898</v>
      </c>
      <c r="D237" s="6" t="s">
        <v>22</v>
      </c>
      <c r="E237" s="7" t="s">
        <v>23</v>
      </c>
      <c r="F237" s="6">
        <v>85226</v>
      </c>
      <c r="G237" s="6" t="s">
        <v>24</v>
      </c>
      <c r="H237" s="6" t="s">
        <v>161</v>
      </c>
      <c r="I237" s="6" t="s">
        <v>26</v>
      </c>
      <c r="J237" s="6" t="b">
        <v>1</v>
      </c>
      <c r="K237" s="6" t="s">
        <v>27</v>
      </c>
      <c r="L237" s="6">
        <v>41.2</v>
      </c>
      <c r="M237" s="6">
        <v>144.19999999999999</v>
      </c>
      <c r="N237" s="8">
        <f t="shared" si="21"/>
        <v>76.679999999999993</v>
      </c>
      <c r="O237" s="8">
        <f t="shared" si="22"/>
        <v>1848.28</v>
      </c>
      <c r="P237" s="8">
        <f t="shared" si="23"/>
        <v>1848.28</v>
      </c>
      <c r="Q237" s="8">
        <f t="shared" si="24"/>
        <v>0</v>
      </c>
      <c r="R237" s="9">
        <f t="shared" si="25"/>
        <v>1848.28</v>
      </c>
      <c r="S237" s="10">
        <f t="shared" si="26"/>
        <v>154.02333333333334</v>
      </c>
      <c r="T237">
        <v>165</v>
      </c>
      <c r="U237">
        <f t="shared" si="27"/>
        <v>20.800000000000011</v>
      </c>
    </row>
    <row r="238" spans="1:21" ht="14.25" customHeight="1" x14ac:dyDescent="0.35">
      <c r="A238" s="6" t="s">
        <v>899</v>
      </c>
      <c r="B238" s="6" t="s">
        <v>900</v>
      </c>
      <c r="C238" s="6" t="s">
        <v>901</v>
      </c>
      <c r="D238" s="6" t="s">
        <v>31</v>
      </c>
      <c r="E238" s="7" t="s">
        <v>23</v>
      </c>
      <c r="F238" s="6">
        <v>85259</v>
      </c>
      <c r="G238" s="6" t="s">
        <v>45</v>
      </c>
      <c r="H238" s="6" t="s">
        <v>291</v>
      </c>
      <c r="I238" s="6" t="s">
        <v>26</v>
      </c>
      <c r="J238" s="6" t="b">
        <v>1</v>
      </c>
      <c r="K238" s="6" t="s">
        <v>27</v>
      </c>
      <c r="L238" s="6">
        <v>41.2</v>
      </c>
      <c r="M238" s="6">
        <v>144.19999999999999</v>
      </c>
      <c r="N238" s="8">
        <f t="shared" si="21"/>
        <v>76.679999999999993</v>
      </c>
      <c r="O238" s="8">
        <f t="shared" si="22"/>
        <v>1848.28</v>
      </c>
      <c r="P238" s="8">
        <f t="shared" si="23"/>
        <v>1848.28</v>
      </c>
      <c r="Q238" s="8">
        <f t="shared" si="24"/>
        <v>0</v>
      </c>
      <c r="R238" s="9">
        <f t="shared" si="25"/>
        <v>1848.28</v>
      </c>
      <c r="S238" s="10">
        <f t="shared" si="26"/>
        <v>154.02333333333334</v>
      </c>
      <c r="T238">
        <v>165</v>
      </c>
      <c r="U238">
        <f t="shared" si="27"/>
        <v>20.800000000000011</v>
      </c>
    </row>
    <row r="239" spans="1:21" ht="14.25" customHeight="1" x14ac:dyDescent="0.35">
      <c r="A239" s="6" t="s">
        <v>902</v>
      </c>
      <c r="B239" s="6" t="s">
        <v>903</v>
      </c>
      <c r="C239" s="6" t="s">
        <v>904</v>
      </c>
      <c r="D239" s="6" t="s">
        <v>65</v>
      </c>
      <c r="E239" s="7" t="s">
        <v>23</v>
      </c>
      <c r="F239" s="6">
        <v>85213</v>
      </c>
      <c r="G239" s="6" t="s">
        <v>66</v>
      </c>
      <c r="H239" s="6" t="s">
        <v>67</v>
      </c>
      <c r="I239" s="6" t="s">
        <v>26</v>
      </c>
      <c r="J239" s="6" t="b">
        <v>1</v>
      </c>
      <c r="K239" s="6" t="s">
        <v>27</v>
      </c>
      <c r="L239" s="6">
        <v>41.2</v>
      </c>
      <c r="M239" s="6">
        <v>144.19999999999999</v>
      </c>
      <c r="N239" s="8">
        <f t="shared" si="21"/>
        <v>76.679999999999993</v>
      </c>
      <c r="O239" s="8">
        <f t="shared" si="22"/>
        <v>1848.28</v>
      </c>
      <c r="P239" s="8">
        <f t="shared" si="23"/>
        <v>1848.28</v>
      </c>
      <c r="Q239" s="8">
        <f t="shared" si="24"/>
        <v>0</v>
      </c>
      <c r="R239" s="9">
        <f t="shared" si="25"/>
        <v>1848.28</v>
      </c>
      <c r="S239" s="10">
        <f t="shared" si="26"/>
        <v>154.02333333333334</v>
      </c>
      <c r="T239">
        <v>165</v>
      </c>
      <c r="U239">
        <f t="shared" si="27"/>
        <v>20.800000000000011</v>
      </c>
    </row>
    <row r="240" spans="1:21" ht="14.25" customHeight="1" x14ac:dyDescent="0.35">
      <c r="A240" s="6" t="s">
        <v>905</v>
      </c>
      <c r="B240" s="6" t="s">
        <v>906</v>
      </c>
      <c r="C240" s="6" t="s">
        <v>907</v>
      </c>
      <c r="D240" s="6" t="s">
        <v>65</v>
      </c>
      <c r="E240" s="7" t="s">
        <v>23</v>
      </c>
      <c r="F240" s="6">
        <v>85207</v>
      </c>
      <c r="G240" s="6" t="s">
        <v>66</v>
      </c>
      <c r="H240" s="6" t="s">
        <v>67</v>
      </c>
      <c r="I240" s="6" t="s">
        <v>26</v>
      </c>
      <c r="J240" s="6" t="b">
        <v>1</v>
      </c>
      <c r="K240" s="6" t="s">
        <v>27</v>
      </c>
      <c r="L240" s="6">
        <v>41.2</v>
      </c>
      <c r="M240" s="6">
        <v>144.19999999999999</v>
      </c>
      <c r="N240" s="8">
        <f t="shared" si="21"/>
        <v>76.679999999999993</v>
      </c>
      <c r="O240" s="8">
        <f t="shared" si="22"/>
        <v>1848.28</v>
      </c>
      <c r="P240" s="8">
        <f t="shared" si="23"/>
        <v>1848.28</v>
      </c>
      <c r="Q240" s="8">
        <f t="shared" si="24"/>
        <v>0</v>
      </c>
      <c r="R240" s="9">
        <f t="shared" si="25"/>
        <v>1848.28</v>
      </c>
      <c r="S240" s="10">
        <f t="shared" si="26"/>
        <v>154.02333333333334</v>
      </c>
      <c r="T240">
        <v>165</v>
      </c>
      <c r="U240">
        <f t="shared" si="27"/>
        <v>20.800000000000011</v>
      </c>
    </row>
    <row r="241" spans="1:21" ht="14.25" customHeight="1" x14ac:dyDescent="0.35">
      <c r="A241" s="6" t="s">
        <v>908</v>
      </c>
      <c r="B241" s="6" t="s">
        <v>909</v>
      </c>
      <c r="C241" s="6" t="s">
        <v>910</v>
      </c>
      <c r="D241" s="6" t="s">
        <v>44</v>
      </c>
      <c r="E241" s="7" t="s">
        <v>23</v>
      </c>
      <c r="F241" s="6">
        <v>85053</v>
      </c>
      <c r="G241" s="6" t="s">
        <v>72</v>
      </c>
      <c r="H241" s="6" t="s">
        <v>93</v>
      </c>
      <c r="I241" s="6" t="s">
        <v>26</v>
      </c>
      <c r="J241" s="6" t="b">
        <v>1</v>
      </c>
      <c r="K241" s="6" t="s">
        <v>27</v>
      </c>
      <c r="L241" s="6">
        <v>41.2</v>
      </c>
      <c r="M241" s="6">
        <v>144.19999999999999</v>
      </c>
      <c r="N241" s="8">
        <f t="shared" si="21"/>
        <v>76.679999999999993</v>
      </c>
      <c r="O241" s="8">
        <f t="shared" si="22"/>
        <v>1848.28</v>
      </c>
      <c r="P241" s="8">
        <f t="shared" si="23"/>
        <v>1848.28</v>
      </c>
      <c r="Q241" s="8">
        <f t="shared" si="24"/>
        <v>0</v>
      </c>
      <c r="R241" s="9">
        <f t="shared" si="25"/>
        <v>1848.28</v>
      </c>
      <c r="S241" s="10">
        <f t="shared" si="26"/>
        <v>154.02333333333334</v>
      </c>
      <c r="T241">
        <v>165</v>
      </c>
      <c r="U241">
        <f t="shared" si="27"/>
        <v>20.800000000000011</v>
      </c>
    </row>
    <row r="242" spans="1:21" ht="14.25" customHeight="1" x14ac:dyDescent="0.35">
      <c r="A242" s="6" t="s">
        <v>911</v>
      </c>
      <c r="B242" s="6" t="s">
        <v>912</v>
      </c>
      <c r="C242" s="6" t="s">
        <v>913</v>
      </c>
      <c r="D242" s="6" t="s">
        <v>44</v>
      </c>
      <c r="E242" s="7" t="s">
        <v>23</v>
      </c>
      <c r="F242" s="6">
        <v>85029</v>
      </c>
      <c r="G242" s="6" t="s">
        <v>72</v>
      </c>
      <c r="H242" s="6" t="s">
        <v>93</v>
      </c>
      <c r="I242" s="6" t="s">
        <v>26</v>
      </c>
      <c r="J242" s="6" t="b">
        <v>1</v>
      </c>
      <c r="K242" s="6" t="s">
        <v>27</v>
      </c>
      <c r="L242" s="6">
        <v>41.2</v>
      </c>
      <c r="M242" s="6">
        <v>144.19999999999999</v>
      </c>
      <c r="N242" s="8">
        <f t="shared" si="21"/>
        <v>76.679999999999993</v>
      </c>
      <c r="O242" s="8">
        <f t="shared" si="22"/>
        <v>1848.28</v>
      </c>
      <c r="P242" s="8">
        <f t="shared" si="23"/>
        <v>1848.28</v>
      </c>
      <c r="Q242" s="8">
        <f t="shared" si="24"/>
        <v>0</v>
      </c>
      <c r="R242" s="9">
        <f t="shared" si="25"/>
        <v>1848.28</v>
      </c>
      <c r="S242" s="10">
        <f t="shared" si="26"/>
        <v>154.02333333333334</v>
      </c>
      <c r="T242">
        <v>165</v>
      </c>
      <c r="U242">
        <f t="shared" si="27"/>
        <v>20.800000000000011</v>
      </c>
    </row>
    <row r="243" spans="1:21" ht="14.25" customHeight="1" x14ac:dyDescent="0.35">
      <c r="A243" s="6" t="s">
        <v>914</v>
      </c>
      <c r="B243" s="6" t="s">
        <v>915</v>
      </c>
      <c r="C243" s="6" t="s">
        <v>916</v>
      </c>
      <c r="D243" s="6" t="s">
        <v>44</v>
      </c>
      <c r="E243" s="7" t="s">
        <v>23</v>
      </c>
      <c r="F243" s="6">
        <v>85042</v>
      </c>
      <c r="G243" s="6" t="s">
        <v>213</v>
      </c>
      <c r="H243" s="6" t="s">
        <v>39</v>
      </c>
      <c r="I243" s="6" t="s">
        <v>26</v>
      </c>
      <c r="J243" s="6" t="b">
        <v>1</v>
      </c>
      <c r="K243" s="6" t="s">
        <v>27</v>
      </c>
      <c r="L243" s="6">
        <v>41.2</v>
      </c>
      <c r="M243" s="6">
        <v>144.19999999999999</v>
      </c>
      <c r="N243" s="8">
        <f t="shared" si="21"/>
        <v>76.679999999999993</v>
      </c>
      <c r="O243" s="8">
        <f t="shared" si="22"/>
        <v>1848.28</v>
      </c>
      <c r="P243" s="8">
        <f t="shared" si="23"/>
        <v>1848.28</v>
      </c>
      <c r="Q243" s="8">
        <f t="shared" si="24"/>
        <v>0</v>
      </c>
      <c r="R243" s="9">
        <f t="shared" si="25"/>
        <v>1848.28</v>
      </c>
      <c r="S243" s="10">
        <f t="shared" si="26"/>
        <v>154.02333333333334</v>
      </c>
      <c r="T243">
        <v>165</v>
      </c>
      <c r="U243">
        <f t="shared" si="27"/>
        <v>20.800000000000011</v>
      </c>
    </row>
    <row r="244" spans="1:21" ht="14.25" customHeight="1" x14ac:dyDescent="0.35">
      <c r="A244" s="6" t="s">
        <v>917</v>
      </c>
      <c r="B244" s="6" t="s">
        <v>918</v>
      </c>
      <c r="C244" s="6" t="s">
        <v>919</v>
      </c>
      <c r="D244" s="6" t="s">
        <v>454</v>
      </c>
      <c r="E244" s="7" t="s">
        <v>23</v>
      </c>
      <c r="F244" s="6">
        <v>85338</v>
      </c>
      <c r="G244" s="6" t="s">
        <v>38</v>
      </c>
      <c r="H244" s="6" t="s">
        <v>378</v>
      </c>
      <c r="I244" s="6" t="s">
        <v>57</v>
      </c>
      <c r="J244" s="6" t="b">
        <v>1</v>
      </c>
      <c r="K244" s="6" t="s">
        <v>27</v>
      </c>
      <c r="L244" s="6">
        <v>41.2</v>
      </c>
      <c r="M244" s="6">
        <v>144.19999999999999</v>
      </c>
      <c r="N244" s="8">
        <f t="shared" si="21"/>
        <v>76.679999999999993</v>
      </c>
      <c r="O244" s="8">
        <f t="shared" si="22"/>
        <v>1848.28</v>
      </c>
      <c r="P244" s="8">
        <f t="shared" si="23"/>
        <v>1848.28</v>
      </c>
      <c r="Q244" s="8">
        <f t="shared" si="24"/>
        <v>0</v>
      </c>
      <c r="R244" s="9">
        <f t="shared" si="25"/>
        <v>1848.28</v>
      </c>
      <c r="S244" s="10">
        <f t="shared" si="26"/>
        <v>154.02333333333334</v>
      </c>
      <c r="T244">
        <v>165</v>
      </c>
      <c r="U244">
        <f t="shared" si="27"/>
        <v>20.800000000000011</v>
      </c>
    </row>
    <row r="245" spans="1:21" ht="14.25" customHeight="1" x14ac:dyDescent="0.35">
      <c r="A245" s="6" t="s">
        <v>920</v>
      </c>
      <c r="B245" s="6" t="s">
        <v>921</v>
      </c>
      <c r="C245" s="6" t="s">
        <v>922</v>
      </c>
      <c r="D245" s="6" t="s">
        <v>65</v>
      </c>
      <c r="E245" s="7" t="s">
        <v>23</v>
      </c>
      <c r="F245" s="6">
        <v>85207</v>
      </c>
      <c r="G245" s="6" t="s">
        <v>66</v>
      </c>
      <c r="H245" s="6" t="s">
        <v>67</v>
      </c>
      <c r="I245" s="6" t="s">
        <v>26</v>
      </c>
      <c r="J245" s="6" t="b">
        <v>1</v>
      </c>
      <c r="K245" s="6" t="s">
        <v>27</v>
      </c>
      <c r="L245" s="6">
        <v>41.2</v>
      </c>
      <c r="M245" s="6">
        <v>144.19999999999999</v>
      </c>
      <c r="N245" s="8">
        <f t="shared" si="21"/>
        <v>76.679999999999993</v>
      </c>
      <c r="O245" s="8">
        <f t="shared" si="22"/>
        <v>1848.28</v>
      </c>
      <c r="P245" s="8">
        <f t="shared" si="23"/>
        <v>1848.28</v>
      </c>
      <c r="Q245" s="8">
        <f t="shared" si="24"/>
        <v>0</v>
      </c>
      <c r="R245" s="9">
        <f t="shared" si="25"/>
        <v>1848.28</v>
      </c>
      <c r="S245" s="10">
        <f t="shared" si="26"/>
        <v>154.02333333333334</v>
      </c>
      <c r="T245">
        <v>165</v>
      </c>
      <c r="U245">
        <f t="shared" si="27"/>
        <v>20.800000000000011</v>
      </c>
    </row>
    <row r="246" spans="1:21" ht="14.25" customHeight="1" x14ac:dyDescent="0.35">
      <c r="A246" s="6" t="s">
        <v>923</v>
      </c>
      <c r="B246" s="6" t="s">
        <v>924</v>
      </c>
      <c r="C246" s="6" t="s">
        <v>925</v>
      </c>
      <c r="D246" s="6" t="s">
        <v>44</v>
      </c>
      <c r="E246" s="7" t="s">
        <v>23</v>
      </c>
      <c r="F246" s="6">
        <v>85083</v>
      </c>
      <c r="G246" s="6" t="s">
        <v>78</v>
      </c>
      <c r="H246" s="6" t="s">
        <v>281</v>
      </c>
      <c r="I246" s="6" t="s">
        <v>26</v>
      </c>
      <c r="J246" s="6" t="b">
        <v>1</v>
      </c>
      <c r="K246" s="6" t="s">
        <v>27</v>
      </c>
      <c r="L246" s="6">
        <v>41.2</v>
      </c>
      <c r="M246" s="6">
        <v>144.19999999999999</v>
      </c>
      <c r="N246" s="8">
        <f t="shared" si="21"/>
        <v>76.679999999999993</v>
      </c>
      <c r="O246" s="8">
        <f t="shared" si="22"/>
        <v>1848.28</v>
      </c>
      <c r="P246" s="8">
        <f t="shared" si="23"/>
        <v>1848.28</v>
      </c>
      <c r="Q246" s="8">
        <f t="shared" si="24"/>
        <v>0</v>
      </c>
      <c r="R246" s="9">
        <f t="shared" si="25"/>
        <v>1848.28</v>
      </c>
      <c r="S246" s="10">
        <f t="shared" si="26"/>
        <v>154.02333333333334</v>
      </c>
      <c r="T246">
        <v>165</v>
      </c>
      <c r="U246">
        <f t="shared" si="27"/>
        <v>20.800000000000011</v>
      </c>
    </row>
    <row r="247" spans="1:21" ht="14.25" customHeight="1" x14ac:dyDescent="0.35">
      <c r="A247" s="6" t="s">
        <v>926</v>
      </c>
      <c r="B247" s="6" t="s">
        <v>927</v>
      </c>
      <c r="C247" s="6" t="s">
        <v>928</v>
      </c>
      <c r="D247" s="6" t="s">
        <v>44</v>
      </c>
      <c r="E247" s="7" t="s">
        <v>23</v>
      </c>
      <c r="F247" s="6">
        <v>85021</v>
      </c>
      <c r="G247" s="6" t="s">
        <v>72</v>
      </c>
      <c r="H247" s="6" t="s">
        <v>93</v>
      </c>
      <c r="I247" s="6" t="s">
        <v>26</v>
      </c>
      <c r="J247" s="6" t="b">
        <v>1</v>
      </c>
      <c r="K247" s="6" t="s">
        <v>27</v>
      </c>
      <c r="L247" s="6">
        <v>41.2</v>
      </c>
      <c r="M247" s="6">
        <v>144.19999999999999</v>
      </c>
      <c r="N247" s="8">
        <f t="shared" si="21"/>
        <v>76.679999999999993</v>
      </c>
      <c r="O247" s="8">
        <f t="shared" si="22"/>
        <v>1848.28</v>
      </c>
      <c r="P247" s="8">
        <f t="shared" si="23"/>
        <v>1848.28</v>
      </c>
      <c r="Q247" s="8">
        <f t="shared" si="24"/>
        <v>0</v>
      </c>
      <c r="R247" s="9">
        <f t="shared" si="25"/>
        <v>1848.28</v>
      </c>
      <c r="S247" s="10">
        <f t="shared" si="26"/>
        <v>154.02333333333334</v>
      </c>
      <c r="T247">
        <v>165</v>
      </c>
      <c r="U247">
        <f t="shared" si="27"/>
        <v>20.800000000000011</v>
      </c>
    </row>
    <row r="248" spans="1:21" ht="14.25" customHeight="1" x14ac:dyDescent="0.35">
      <c r="A248" s="6" t="s">
        <v>929</v>
      </c>
      <c r="B248" s="6" t="s">
        <v>930</v>
      </c>
      <c r="C248" s="6" t="s">
        <v>931</v>
      </c>
      <c r="D248" s="6" t="s">
        <v>31</v>
      </c>
      <c r="E248" s="7" t="s">
        <v>23</v>
      </c>
      <c r="F248" s="6">
        <v>85255</v>
      </c>
      <c r="G248" s="6" t="s">
        <v>32</v>
      </c>
      <c r="H248" s="6" t="s">
        <v>169</v>
      </c>
      <c r="I248" s="6" t="s">
        <v>61</v>
      </c>
      <c r="J248" s="6" t="b">
        <v>1</v>
      </c>
      <c r="K248" s="6" t="s">
        <v>27</v>
      </c>
      <c r="L248" s="6">
        <v>41.2</v>
      </c>
      <c r="M248" s="6">
        <v>144.19999999999999</v>
      </c>
      <c r="N248" s="8">
        <f t="shared" si="21"/>
        <v>76.679999999999993</v>
      </c>
      <c r="O248" s="8">
        <f t="shared" si="22"/>
        <v>1848.28</v>
      </c>
      <c r="P248" s="8">
        <f t="shared" si="23"/>
        <v>1848.28</v>
      </c>
      <c r="Q248" s="8">
        <f t="shared" si="24"/>
        <v>0</v>
      </c>
      <c r="R248" s="9">
        <f t="shared" si="25"/>
        <v>1848.28</v>
      </c>
      <c r="S248" s="10">
        <f t="shared" si="26"/>
        <v>154.02333333333334</v>
      </c>
      <c r="T248">
        <v>165</v>
      </c>
      <c r="U248">
        <f t="shared" si="27"/>
        <v>20.800000000000011</v>
      </c>
    </row>
    <row r="249" spans="1:21" ht="14.25" customHeight="1" x14ac:dyDescent="0.35">
      <c r="A249" s="6" t="s">
        <v>932</v>
      </c>
      <c r="B249" s="6" t="s">
        <v>933</v>
      </c>
      <c r="C249" s="6" t="s">
        <v>934</v>
      </c>
      <c r="D249" s="6" t="s">
        <v>31</v>
      </c>
      <c r="E249" s="7" t="s">
        <v>23</v>
      </c>
      <c r="F249" s="6">
        <v>85266</v>
      </c>
      <c r="G249" s="6" t="s">
        <v>32</v>
      </c>
      <c r="H249" s="6" t="s">
        <v>50</v>
      </c>
      <c r="I249" s="6" t="s">
        <v>40</v>
      </c>
      <c r="J249" s="6" t="b">
        <v>1</v>
      </c>
      <c r="K249" s="6" t="s">
        <v>27</v>
      </c>
      <c r="L249" s="6">
        <v>41.2</v>
      </c>
      <c r="M249" s="6">
        <v>144.19999999999999</v>
      </c>
      <c r="N249" s="8">
        <f t="shared" si="21"/>
        <v>76.679999999999993</v>
      </c>
      <c r="O249" s="8">
        <f t="shared" si="22"/>
        <v>1848.28</v>
      </c>
      <c r="P249" s="8">
        <f t="shared" si="23"/>
        <v>1848.28</v>
      </c>
      <c r="Q249" s="8">
        <f t="shared" si="24"/>
        <v>0</v>
      </c>
      <c r="R249" s="9">
        <f t="shared" si="25"/>
        <v>1848.28</v>
      </c>
      <c r="S249" s="10">
        <f t="shared" si="26"/>
        <v>154.02333333333334</v>
      </c>
      <c r="T249">
        <v>165</v>
      </c>
      <c r="U249">
        <f t="shared" si="27"/>
        <v>20.800000000000011</v>
      </c>
    </row>
    <row r="250" spans="1:21" ht="14.25" customHeight="1" x14ac:dyDescent="0.35">
      <c r="A250" s="6" t="s">
        <v>935</v>
      </c>
      <c r="B250" s="6" t="s">
        <v>936</v>
      </c>
      <c r="C250" s="6" t="s">
        <v>937</v>
      </c>
      <c r="D250" s="6" t="s">
        <v>224</v>
      </c>
      <c r="E250" s="7" t="s">
        <v>23</v>
      </c>
      <c r="F250" s="6">
        <v>85248</v>
      </c>
      <c r="G250" s="6" t="s">
        <v>125</v>
      </c>
      <c r="H250" s="6" t="s">
        <v>225</v>
      </c>
      <c r="I250" s="6" t="s">
        <v>26</v>
      </c>
      <c r="J250" s="6" t="b">
        <v>1</v>
      </c>
      <c r="K250" s="6" t="s">
        <v>27</v>
      </c>
      <c r="L250" s="6">
        <v>41.2</v>
      </c>
      <c r="M250" s="6">
        <v>144.19999999999999</v>
      </c>
      <c r="N250" s="8">
        <f t="shared" si="21"/>
        <v>76.679999999999993</v>
      </c>
      <c r="O250" s="8">
        <f t="shared" si="22"/>
        <v>1848.28</v>
      </c>
      <c r="P250" s="8">
        <f t="shared" si="23"/>
        <v>1848.28</v>
      </c>
      <c r="Q250" s="8">
        <f t="shared" si="24"/>
        <v>0</v>
      </c>
      <c r="R250" s="9">
        <f t="shared" si="25"/>
        <v>1848.28</v>
      </c>
      <c r="S250" s="10">
        <f t="shared" si="26"/>
        <v>154.02333333333334</v>
      </c>
      <c r="T250">
        <v>165</v>
      </c>
      <c r="U250">
        <f t="shared" si="27"/>
        <v>20.800000000000011</v>
      </c>
    </row>
    <row r="251" spans="1:21" ht="14.25" customHeight="1" x14ac:dyDescent="0.35">
      <c r="A251" s="6" t="s">
        <v>938</v>
      </c>
      <c r="B251" s="6" t="s">
        <v>939</v>
      </c>
      <c r="C251" s="6" t="s">
        <v>940</v>
      </c>
      <c r="D251" s="6" t="s">
        <v>44</v>
      </c>
      <c r="E251" s="7" t="s">
        <v>23</v>
      </c>
      <c r="F251" s="6">
        <v>85042</v>
      </c>
      <c r="G251" s="6" t="s">
        <v>213</v>
      </c>
      <c r="H251" s="6" t="s">
        <v>39</v>
      </c>
      <c r="I251" s="6" t="s">
        <v>26</v>
      </c>
      <c r="J251" s="6" t="b">
        <v>1</v>
      </c>
      <c r="K251" s="6" t="s">
        <v>27</v>
      </c>
      <c r="L251" s="6">
        <v>41.2</v>
      </c>
      <c r="M251" s="6">
        <v>144.19999999999999</v>
      </c>
      <c r="N251" s="8">
        <f t="shared" si="21"/>
        <v>76.679999999999993</v>
      </c>
      <c r="O251" s="8">
        <f t="shared" si="22"/>
        <v>1848.28</v>
      </c>
      <c r="P251" s="8">
        <f t="shared" si="23"/>
        <v>1848.28</v>
      </c>
      <c r="Q251" s="8">
        <f t="shared" si="24"/>
        <v>0</v>
      </c>
      <c r="R251" s="9">
        <f t="shared" si="25"/>
        <v>1848.28</v>
      </c>
      <c r="S251" s="10">
        <f t="shared" si="26"/>
        <v>154.02333333333334</v>
      </c>
      <c r="T251">
        <v>165</v>
      </c>
      <c r="U251">
        <f t="shared" si="27"/>
        <v>20.800000000000011</v>
      </c>
    </row>
    <row r="252" spans="1:21" ht="14.25" customHeight="1" x14ac:dyDescent="0.35">
      <c r="A252" s="6" t="s">
        <v>941</v>
      </c>
      <c r="B252" s="6" t="s">
        <v>942</v>
      </c>
      <c r="C252" s="6" t="s">
        <v>943</v>
      </c>
      <c r="D252" s="6" t="s">
        <v>65</v>
      </c>
      <c r="E252" s="7" t="s">
        <v>23</v>
      </c>
      <c r="F252" s="6">
        <v>85213</v>
      </c>
      <c r="G252" s="6" t="s">
        <v>66</v>
      </c>
      <c r="H252" s="6" t="s">
        <v>67</v>
      </c>
      <c r="I252" s="6" t="s">
        <v>26</v>
      </c>
      <c r="J252" s="6" t="b">
        <v>1</v>
      </c>
      <c r="K252" s="6" t="s">
        <v>27</v>
      </c>
      <c r="L252" s="6">
        <v>41.2</v>
      </c>
      <c r="M252" s="6">
        <v>144.19999999999999</v>
      </c>
      <c r="N252" s="8">
        <f t="shared" si="21"/>
        <v>76.679999999999993</v>
      </c>
      <c r="O252" s="8">
        <f t="shared" si="22"/>
        <v>1848.28</v>
      </c>
      <c r="P252" s="8">
        <f t="shared" si="23"/>
        <v>1848.28</v>
      </c>
      <c r="Q252" s="8">
        <f t="shared" si="24"/>
        <v>0</v>
      </c>
      <c r="R252" s="9">
        <f t="shared" si="25"/>
        <v>1848.28</v>
      </c>
      <c r="S252" s="10">
        <f t="shared" si="26"/>
        <v>154.02333333333334</v>
      </c>
      <c r="T252">
        <v>165</v>
      </c>
      <c r="U252">
        <f t="shared" si="27"/>
        <v>20.800000000000011</v>
      </c>
    </row>
    <row r="253" spans="1:21" ht="14.25" customHeight="1" x14ac:dyDescent="0.35">
      <c r="A253" s="6" t="s">
        <v>944</v>
      </c>
      <c r="B253" s="6" t="s">
        <v>945</v>
      </c>
      <c r="C253" s="6" t="s">
        <v>946</v>
      </c>
      <c r="D253" s="6" t="s">
        <v>71</v>
      </c>
      <c r="E253" s="7" t="s">
        <v>23</v>
      </c>
      <c r="F253" s="6">
        <v>85382</v>
      </c>
      <c r="G253" s="6" t="s">
        <v>78</v>
      </c>
      <c r="H253" s="6" t="s">
        <v>268</v>
      </c>
      <c r="I253" s="6" t="s">
        <v>40</v>
      </c>
      <c r="J253" s="6" t="b">
        <v>1</v>
      </c>
      <c r="K253" s="6" t="s">
        <v>27</v>
      </c>
      <c r="L253" s="6">
        <v>41.2</v>
      </c>
      <c r="M253" s="6">
        <v>144.19999999999999</v>
      </c>
      <c r="N253" s="8">
        <f t="shared" si="21"/>
        <v>76.679999999999993</v>
      </c>
      <c r="O253" s="8">
        <f t="shared" si="22"/>
        <v>1848.28</v>
      </c>
      <c r="P253" s="8">
        <f t="shared" si="23"/>
        <v>1848.28</v>
      </c>
      <c r="Q253" s="8">
        <f t="shared" si="24"/>
        <v>0</v>
      </c>
      <c r="R253" s="9">
        <f t="shared" si="25"/>
        <v>1848.28</v>
      </c>
      <c r="S253" s="10">
        <f t="shared" si="26"/>
        <v>154.02333333333334</v>
      </c>
      <c r="T253">
        <v>165</v>
      </c>
      <c r="U253">
        <f t="shared" si="27"/>
        <v>20.800000000000011</v>
      </c>
    </row>
    <row r="254" spans="1:21" ht="14.25" customHeight="1" x14ac:dyDescent="0.35">
      <c r="A254" s="6" t="s">
        <v>947</v>
      </c>
      <c r="B254" s="6" t="s">
        <v>948</v>
      </c>
      <c r="C254" s="6" t="s">
        <v>949</v>
      </c>
      <c r="D254" s="6" t="s">
        <v>65</v>
      </c>
      <c r="E254" s="7" t="s">
        <v>23</v>
      </c>
      <c r="F254" s="6">
        <v>85209</v>
      </c>
      <c r="G254" s="6" t="s">
        <v>125</v>
      </c>
      <c r="H254" s="6" t="s">
        <v>180</v>
      </c>
      <c r="I254" s="6" t="s">
        <v>26</v>
      </c>
      <c r="J254" s="6" t="b">
        <v>1</v>
      </c>
      <c r="K254" s="6" t="s">
        <v>27</v>
      </c>
      <c r="L254" s="6">
        <v>41.2</v>
      </c>
      <c r="M254" s="6">
        <v>144.19999999999999</v>
      </c>
      <c r="N254" s="8">
        <f t="shared" si="21"/>
        <v>76.679999999999993</v>
      </c>
      <c r="O254" s="8">
        <f t="shared" si="22"/>
        <v>1848.28</v>
      </c>
      <c r="P254" s="8">
        <f t="shared" si="23"/>
        <v>1848.28</v>
      </c>
      <c r="Q254" s="8">
        <f t="shared" si="24"/>
        <v>0</v>
      </c>
      <c r="R254" s="9">
        <f t="shared" si="25"/>
        <v>1848.28</v>
      </c>
      <c r="S254" s="10">
        <f t="shared" si="26"/>
        <v>154.02333333333334</v>
      </c>
      <c r="T254">
        <v>165</v>
      </c>
      <c r="U254">
        <f t="shared" si="27"/>
        <v>20.800000000000011</v>
      </c>
    </row>
    <row r="255" spans="1:21" ht="14.25" customHeight="1" x14ac:dyDescent="0.35">
      <c r="A255" s="6" t="s">
        <v>950</v>
      </c>
      <c r="B255" s="6" t="s">
        <v>951</v>
      </c>
      <c r="C255" s="6" t="s">
        <v>952</v>
      </c>
      <c r="D255" s="6" t="s">
        <v>65</v>
      </c>
      <c r="E255" s="7" t="s">
        <v>23</v>
      </c>
      <c r="F255" s="6">
        <v>85207</v>
      </c>
      <c r="G255" s="6" t="s">
        <v>66</v>
      </c>
      <c r="H255" s="6" t="s">
        <v>67</v>
      </c>
      <c r="I255" s="6" t="s">
        <v>26</v>
      </c>
      <c r="J255" s="6" t="b">
        <v>1</v>
      </c>
      <c r="K255" s="6" t="s">
        <v>27</v>
      </c>
      <c r="L255" s="6">
        <v>41.2</v>
      </c>
      <c r="M255" s="6">
        <v>144.19999999999999</v>
      </c>
      <c r="N255" s="8">
        <f t="shared" si="21"/>
        <v>76.679999999999993</v>
      </c>
      <c r="O255" s="8">
        <f t="shared" si="22"/>
        <v>1848.28</v>
      </c>
      <c r="P255" s="8">
        <f t="shared" si="23"/>
        <v>1848.28</v>
      </c>
      <c r="Q255" s="8">
        <f t="shared" si="24"/>
        <v>0</v>
      </c>
      <c r="R255" s="9">
        <f t="shared" si="25"/>
        <v>1848.28</v>
      </c>
      <c r="S255" s="10">
        <f t="shared" si="26"/>
        <v>154.02333333333334</v>
      </c>
      <c r="T255">
        <v>165</v>
      </c>
      <c r="U255">
        <f t="shared" si="27"/>
        <v>20.800000000000011</v>
      </c>
    </row>
    <row r="256" spans="1:21" ht="14.25" customHeight="1" x14ac:dyDescent="0.35">
      <c r="A256" s="6" t="s">
        <v>953</v>
      </c>
      <c r="B256" s="6" t="s">
        <v>954</v>
      </c>
      <c r="C256" s="6" t="s">
        <v>955</v>
      </c>
      <c r="D256" s="6" t="s">
        <v>22</v>
      </c>
      <c r="E256" s="7" t="s">
        <v>23</v>
      </c>
      <c r="F256" s="6">
        <v>85224</v>
      </c>
      <c r="G256" s="6" t="s">
        <v>24</v>
      </c>
      <c r="H256" s="6" t="s">
        <v>25</v>
      </c>
      <c r="I256" s="6" t="s">
        <v>26</v>
      </c>
      <c r="J256" s="6" t="b">
        <v>1</v>
      </c>
      <c r="K256" s="6" t="s">
        <v>27</v>
      </c>
      <c r="L256" s="6">
        <v>41.2</v>
      </c>
      <c r="M256" s="6">
        <v>144.19999999999999</v>
      </c>
      <c r="N256" s="8">
        <f t="shared" si="21"/>
        <v>76.679999999999993</v>
      </c>
      <c r="O256" s="8">
        <f t="shared" si="22"/>
        <v>1848.28</v>
      </c>
      <c r="P256" s="8">
        <f t="shared" si="23"/>
        <v>1848.28</v>
      </c>
      <c r="Q256" s="8">
        <f t="shared" si="24"/>
        <v>0</v>
      </c>
      <c r="R256" s="9">
        <f t="shared" si="25"/>
        <v>1848.28</v>
      </c>
      <c r="S256" s="10">
        <f t="shared" si="26"/>
        <v>154.02333333333334</v>
      </c>
      <c r="T256">
        <v>165</v>
      </c>
      <c r="U256">
        <f t="shared" si="27"/>
        <v>20.800000000000011</v>
      </c>
    </row>
    <row r="257" spans="1:21" ht="14.25" customHeight="1" x14ac:dyDescent="0.35">
      <c r="A257" s="6" t="s">
        <v>956</v>
      </c>
      <c r="B257" s="6" t="s">
        <v>957</v>
      </c>
      <c r="C257" s="6" t="s">
        <v>958</v>
      </c>
      <c r="D257" s="6" t="s">
        <v>363</v>
      </c>
      <c r="E257" s="7" t="s">
        <v>23</v>
      </c>
      <c r="F257" s="6">
        <v>85282</v>
      </c>
      <c r="G257" s="6" t="s">
        <v>364</v>
      </c>
      <c r="H257" s="6" t="s">
        <v>365</v>
      </c>
      <c r="I257" s="6" t="s">
        <v>26</v>
      </c>
      <c r="J257" s="6" t="b">
        <v>1</v>
      </c>
      <c r="K257" s="6" t="s">
        <v>27</v>
      </c>
      <c r="L257" s="6">
        <v>41.2</v>
      </c>
      <c r="M257" s="6">
        <v>144.19999999999999</v>
      </c>
      <c r="N257" s="8">
        <f t="shared" si="21"/>
        <v>76.679999999999993</v>
      </c>
      <c r="O257" s="8">
        <f t="shared" si="22"/>
        <v>1848.28</v>
      </c>
      <c r="P257" s="8">
        <f t="shared" si="23"/>
        <v>1848.28</v>
      </c>
      <c r="Q257" s="8">
        <f t="shared" si="24"/>
        <v>0</v>
      </c>
      <c r="R257" s="9">
        <f t="shared" si="25"/>
        <v>1848.28</v>
      </c>
      <c r="S257" s="10">
        <f t="shared" si="26"/>
        <v>154.02333333333334</v>
      </c>
      <c r="T257">
        <v>165</v>
      </c>
      <c r="U257">
        <f t="shared" si="27"/>
        <v>20.800000000000011</v>
      </c>
    </row>
    <row r="258" spans="1:21" ht="14.25" customHeight="1" x14ac:dyDescent="0.35">
      <c r="A258" s="6" t="s">
        <v>959</v>
      </c>
      <c r="B258" s="6" t="s">
        <v>960</v>
      </c>
      <c r="C258" s="6" t="s">
        <v>961</v>
      </c>
      <c r="D258" s="6" t="s">
        <v>363</v>
      </c>
      <c r="E258" s="7" t="s">
        <v>23</v>
      </c>
      <c r="F258" s="6">
        <v>85284</v>
      </c>
      <c r="G258" s="6" t="s">
        <v>24</v>
      </c>
      <c r="H258" s="6" t="s">
        <v>365</v>
      </c>
      <c r="I258" s="6" t="s">
        <v>26</v>
      </c>
      <c r="J258" s="6" t="b">
        <v>1</v>
      </c>
      <c r="K258" s="6" t="s">
        <v>27</v>
      </c>
      <c r="L258" s="6">
        <v>41.2</v>
      </c>
      <c r="M258" s="6">
        <v>144.19999999999999</v>
      </c>
      <c r="N258" s="8">
        <f t="shared" ref="N258:N321" si="28">IF(J258=TRUE, 6.39*12, "0")</f>
        <v>76.679999999999993</v>
      </c>
      <c r="O258" s="8">
        <f t="shared" ref="O258:O321" si="29">L258+(M258*12)+N258</f>
        <v>1848.28</v>
      </c>
      <c r="P258" s="8">
        <f t="shared" ref="P258:P321" si="30">IF(OR(K258="Check",K258="ACH"), O258*0.97, O258)</f>
        <v>1848.28</v>
      </c>
      <c r="Q258" s="8">
        <f t="shared" ref="Q258:Q321" si="31">P258-O258</f>
        <v>0</v>
      </c>
      <c r="R258" s="9">
        <f t="shared" ref="R258:R321" si="32">O258-Q258</f>
        <v>1848.28</v>
      </c>
      <c r="S258" s="10">
        <f t="shared" ref="S258:S321" si="33">R258/12</f>
        <v>154.02333333333334</v>
      </c>
      <c r="T258">
        <v>165</v>
      </c>
      <c r="U258">
        <f t="shared" si="27"/>
        <v>20.800000000000011</v>
      </c>
    </row>
    <row r="259" spans="1:21" ht="14.25" customHeight="1" x14ac:dyDescent="0.35">
      <c r="A259" s="6" t="s">
        <v>962</v>
      </c>
      <c r="B259" s="6" t="s">
        <v>963</v>
      </c>
      <c r="C259" s="6" t="s">
        <v>964</v>
      </c>
      <c r="D259" s="6" t="s">
        <v>22</v>
      </c>
      <c r="E259" s="7" t="s">
        <v>23</v>
      </c>
      <c r="F259" s="6">
        <v>85248</v>
      </c>
      <c r="G259" s="6" t="s">
        <v>125</v>
      </c>
      <c r="H259" s="6" t="s">
        <v>126</v>
      </c>
      <c r="I259" s="6" t="s">
        <v>26</v>
      </c>
      <c r="J259" s="6" t="b">
        <v>1</v>
      </c>
      <c r="K259" s="6" t="s">
        <v>27</v>
      </c>
      <c r="L259" s="6">
        <v>41.2</v>
      </c>
      <c r="M259" s="6">
        <v>144.19999999999999</v>
      </c>
      <c r="N259" s="8">
        <f t="shared" si="28"/>
        <v>76.679999999999993</v>
      </c>
      <c r="O259" s="8">
        <f t="shared" si="29"/>
        <v>1848.28</v>
      </c>
      <c r="P259" s="8">
        <f t="shared" si="30"/>
        <v>1848.28</v>
      </c>
      <c r="Q259" s="8">
        <f t="shared" si="31"/>
        <v>0</v>
      </c>
      <c r="R259" s="9">
        <f t="shared" si="32"/>
        <v>1848.28</v>
      </c>
      <c r="S259" s="10">
        <f t="shared" si="33"/>
        <v>154.02333333333334</v>
      </c>
      <c r="T259">
        <v>165</v>
      </c>
      <c r="U259">
        <f t="shared" si="27"/>
        <v>20.800000000000011</v>
      </c>
    </row>
    <row r="260" spans="1:21" ht="14.25" customHeight="1" x14ac:dyDescent="0.35">
      <c r="A260" s="6" t="s">
        <v>965</v>
      </c>
      <c r="B260" s="6" t="s">
        <v>966</v>
      </c>
      <c r="C260" s="6" t="s">
        <v>967</v>
      </c>
      <c r="D260" s="6" t="s">
        <v>44</v>
      </c>
      <c r="E260" s="7" t="s">
        <v>23</v>
      </c>
      <c r="F260" s="6">
        <v>85044</v>
      </c>
      <c r="G260" s="6" t="s">
        <v>24</v>
      </c>
      <c r="H260" s="6" t="s">
        <v>161</v>
      </c>
      <c r="I260" s="6" t="s">
        <v>26</v>
      </c>
      <c r="J260" s="6" t="b">
        <v>1</v>
      </c>
      <c r="K260" s="6" t="s">
        <v>27</v>
      </c>
      <c r="L260" s="6">
        <v>41.2</v>
      </c>
      <c r="M260" s="6">
        <v>144.19999999999999</v>
      </c>
      <c r="N260" s="8">
        <f t="shared" si="28"/>
        <v>76.679999999999993</v>
      </c>
      <c r="O260" s="8">
        <f t="shared" si="29"/>
        <v>1848.28</v>
      </c>
      <c r="P260" s="8">
        <f t="shared" si="30"/>
        <v>1848.28</v>
      </c>
      <c r="Q260" s="8">
        <f t="shared" si="31"/>
        <v>0</v>
      </c>
      <c r="R260" s="9">
        <f t="shared" si="32"/>
        <v>1848.28</v>
      </c>
      <c r="S260" s="10">
        <f t="shared" si="33"/>
        <v>154.02333333333334</v>
      </c>
      <c r="T260">
        <v>165</v>
      </c>
      <c r="U260">
        <f t="shared" ref="U260:U323" si="34">SUM(T260-M260)</f>
        <v>20.800000000000011</v>
      </c>
    </row>
    <row r="261" spans="1:21" ht="14.25" customHeight="1" x14ac:dyDescent="0.35">
      <c r="A261" s="6" t="s">
        <v>968</v>
      </c>
      <c r="B261" s="6" t="s">
        <v>969</v>
      </c>
      <c r="C261" s="6" t="s">
        <v>970</v>
      </c>
      <c r="D261" s="6" t="s">
        <v>37</v>
      </c>
      <c r="E261" s="7" t="s">
        <v>23</v>
      </c>
      <c r="F261" s="6">
        <v>85392</v>
      </c>
      <c r="G261" s="6" t="s">
        <v>38</v>
      </c>
      <c r="H261" s="6" t="s">
        <v>378</v>
      </c>
      <c r="I261" s="6" t="s">
        <v>40</v>
      </c>
      <c r="J261" s="6" t="b">
        <v>1</v>
      </c>
      <c r="K261" s="6" t="s">
        <v>27</v>
      </c>
      <c r="L261" s="6">
        <v>41.2</v>
      </c>
      <c r="M261" s="6">
        <v>144.19999999999999</v>
      </c>
      <c r="N261" s="8">
        <f t="shared" si="28"/>
        <v>76.679999999999993</v>
      </c>
      <c r="O261" s="8">
        <f t="shared" si="29"/>
        <v>1848.28</v>
      </c>
      <c r="P261" s="8">
        <f t="shared" si="30"/>
        <v>1848.28</v>
      </c>
      <c r="Q261" s="8">
        <f t="shared" si="31"/>
        <v>0</v>
      </c>
      <c r="R261" s="9">
        <f t="shared" si="32"/>
        <v>1848.28</v>
      </c>
      <c r="S261" s="10">
        <f t="shared" si="33"/>
        <v>154.02333333333334</v>
      </c>
      <c r="T261">
        <v>165</v>
      </c>
      <c r="U261">
        <f t="shared" si="34"/>
        <v>20.800000000000011</v>
      </c>
    </row>
    <row r="262" spans="1:21" ht="14.25" customHeight="1" x14ac:dyDescent="0.35">
      <c r="A262" s="6" t="s">
        <v>971</v>
      </c>
      <c r="B262" s="6" t="s">
        <v>972</v>
      </c>
      <c r="C262" s="6" t="s">
        <v>973</v>
      </c>
      <c r="D262" s="6" t="s">
        <v>65</v>
      </c>
      <c r="E262" s="7" t="s">
        <v>23</v>
      </c>
      <c r="F262" s="6">
        <v>85215</v>
      </c>
      <c r="G262" s="6" t="s">
        <v>66</v>
      </c>
      <c r="H262" s="6" t="s">
        <v>67</v>
      </c>
      <c r="I262" s="6" t="s">
        <v>26</v>
      </c>
      <c r="J262" s="6" t="b">
        <v>1</v>
      </c>
      <c r="K262" s="6" t="s">
        <v>27</v>
      </c>
      <c r="L262" s="6">
        <v>41.2</v>
      </c>
      <c r="M262" s="6">
        <v>144.19999999999999</v>
      </c>
      <c r="N262" s="8">
        <f t="shared" si="28"/>
        <v>76.679999999999993</v>
      </c>
      <c r="O262" s="8">
        <f t="shared" si="29"/>
        <v>1848.28</v>
      </c>
      <c r="P262" s="8">
        <f t="shared" si="30"/>
        <v>1848.28</v>
      </c>
      <c r="Q262" s="8">
        <f t="shared" si="31"/>
        <v>0</v>
      </c>
      <c r="R262" s="9">
        <f t="shared" si="32"/>
        <v>1848.28</v>
      </c>
      <c r="S262" s="10">
        <f t="shared" si="33"/>
        <v>154.02333333333334</v>
      </c>
      <c r="T262">
        <v>165</v>
      </c>
      <c r="U262">
        <f t="shared" si="34"/>
        <v>20.800000000000011</v>
      </c>
    </row>
    <row r="263" spans="1:21" ht="14.25" customHeight="1" x14ac:dyDescent="0.35">
      <c r="A263" s="6" t="s">
        <v>974</v>
      </c>
      <c r="B263" s="6" t="s">
        <v>975</v>
      </c>
      <c r="C263" s="6" t="s">
        <v>976</v>
      </c>
      <c r="D263" s="6" t="s">
        <v>363</v>
      </c>
      <c r="E263" s="7" t="s">
        <v>23</v>
      </c>
      <c r="F263" s="6">
        <v>85284</v>
      </c>
      <c r="G263" s="6" t="s">
        <v>24</v>
      </c>
      <c r="H263" s="6" t="s">
        <v>365</v>
      </c>
      <c r="I263" s="6" t="s">
        <v>26</v>
      </c>
      <c r="J263" s="6" t="b">
        <v>1</v>
      </c>
      <c r="K263" s="6" t="s">
        <v>27</v>
      </c>
      <c r="L263" s="6">
        <v>41.2</v>
      </c>
      <c r="M263" s="6">
        <v>144.19999999999999</v>
      </c>
      <c r="N263" s="8">
        <f t="shared" si="28"/>
        <v>76.679999999999993</v>
      </c>
      <c r="O263" s="8">
        <f t="shared" si="29"/>
        <v>1848.28</v>
      </c>
      <c r="P263" s="8">
        <f t="shared" si="30"/>
        <v>1848.28</v>
      </c>
      <c r="Q263" s="8">
        <f t="shared" si="31"/>
        <v>0</v>
      </c>
      <c r="R263" s="9">
        <f t="shared" si="32"/>
        <v>1848.28</v>
      </c>
      <c r="S263" s="10">
        <f t="shared" si="33"/>
        <v>154.02333333333334</v>
      </c>
      <c r="T263">
        <v>165</v>
      </c>
      <c r="U263">
        <f t="shared" si="34"/>
        <v>20.800000000000011</v>
      </c>
    </row>
    <row r="264" spans="1:21" ht="14.25" customHeight="1" x14ac:dyDescent="0.35">
      <c r="A264" s="6" t="s">
        <v>977</v>
      </c>
      <c r="B264" s="6" t="s">
        <v>978</v>
      </c>
      <c r="C264" s="6" t="s">
        <v>979</v>
      </c>
      <c r="D264" s="6" t="s">
        <v>248</v>
      </c>
      <c r="E264" s="7" t="s">
        <v>23</v>
      </c>
      <c r="F264" s="6">
        <v>85339</v>
      </c>
      <c r="G264" s="6" t="s">
        <v>213</v>
      </c>
      <c r="H264" s="6" t="s">
        <v>39</v>
      </c>
      <c r="I264" s="6" t="s">
        <v>26</v>
      </c>
      <c r="J264" s="6" t="b">
        <v>1</v>
      </c>
      <c r="K264" s="6" t="s">
        <v>27</v>
      </c>
      <c r="L264" s="6">
        <v>41.2</v>
      </c>
      <c r="M264" s="6">
        <v>144.19999999999999</v>
      </c>
      <c r="N264" s="8">
        <f t="shared" si="28"/>
        <v>76.679999999999993</v>
      </c>
      <c r="O264" s="8">
        <f t="shared" si="29"/>
        <v>1848.28</v>
      </c>
      <c r="P264" s="8">
        <f t="shared" si="30"/>
        <v>1848.28</v>
      </c>
      <c r="Q264" s="8">
        <f t="shared" si="31"/>
        <v>0</v>
      </c>
      <c r="R264" s="9">
        <f t="shared" si="32"/>
        <v>1848.28</v>
      </c>
      <c r="S264" s="10">
        <f t="shared" si="33"/>
        <v>154.02333333333334</v>
      </c>
      <c r="T264">
        <v>165</v>
      </c>
      <c r="U264">
        <f t="shared" si="34"/>
        <v>20.800000000000011</v>
      </c>
    </row>
    <row r="265" spans="1:21" ht="14.25" customHeight="1" x14ac:dyDescent="0.35">
      <c r="A265" s="6" t="s">
        <v>980</v>
      </c>
      <c r="B265" s="6" t="s">
        <v>981</v>
      </c>
      <c r="C265" s="6" t="s">
        <v>982</v>
      </c>
      <c r="D265" s="6" t="s">
        <v>44</v>
      </c>
      <c r="E265" s="7" t="s">
        <v>23</v>
      </c>
      <c r="F265" s="6">
        <v>85050</v>
      </c>
      <c r="G265" s="6" t="s">
        <v>32</v>
      </c>
      <c r="H265" s="6" t="s">
        <v>50</v>
      </c>
      <c r="I265" s="6" t="s">
        <v>40</v>
      </c>
      <c r="J265" s="6" t="b">
        <v>1</v>
      </c>
      <c r="K265" s="6" t="s">
        <v>27</v>
      </c>
      <c r="L265" s="6">
        <v>41.2</v>
      </c>
      <c r="M265" s="6">
        <v>144.19999999999999</v>
      </c>
      <c r="N265" s="8">
        <f t="shared" si="28"/>
        <v>76.679999999999993</v>
      </c>
      <c r="O265" s="8">
        <f t="shared" si="29"/>
        <v>1848.28</v>
      </c>
      <c r="P265" s="8">
        <f t="shared" si="30"/>
        <v>1848.28</v>
      </c>
      <c r="Q265" s="8">
        <f t="shared" si="31"/>
        <v>0</v>
      </c>
      <c r="R265" s="9">
        <f t="shared" si="32"/>
        <v>1848.28</v>
      </c>
      <c r="S265" s="10">
        <f t="shared" si="33"/>
        <v>154.02333333333334</v>
      </c>
      <c r="T265">
        <v>165</v>
      </c>
      <c r="U265">
        <f t="shared" si="34"/>
        <v>20.800000000000011</v>
      </c>
    </row>
    <row r="266" spans="1:21" ht="14.25" customHeight="1" x14ac:dyDescent="0.35">
      <c r="A266" s="6" t="s">
        <v>983</v>
      </c>
      <c r="B266" s="6" t="s">
        <v>984</v>
      </c>
      <c r="C266" s="6" t="s">
        <v>985</v>
      </c>
      <c r="D266" s="6" t="s">
        <v>65</v>
      </c>
      <c r="E266" s="7" t="s">
        <v>23</v>
      </c>
      <c r="F266" s="6">
        <v>85209</v>
      </c>
      <c r="G266" s="6" t="s">
        <v>125</v>
      </c>
      <c r="H266" s="6" t="s">
        <v>180</v>
      </c>
      <c r="I266" s="6" t="s">
        <v>26</v>
      </c>
      <c r="J266" s="6" t="b">
        <v>1</v>
      </c>
      <c r="K266" s="6" t="s">
        <v>27</v>
      </c>
      <c r="L266" s="6">
        <v>41.2</v>
      </c>
      <c r="M266" s="6">
        <v>144.19999999999999</v>
      </c>
      <c r="N266" s="8">
        <f t="shared" si="28"/>
        <v>76.679999999999993</v>
      </c>
      <c r="O266" s="8">
        <f t="shared" si="29"/>
        <v>1848.28</v>
      </c>
      <c r="P266" s="8">
        <f t="shared" si="30"/>
        <v>1848.28</v>
      </c>
      <c r="Q266" s="8">
        <f t="shared" si="31"/>
        <v>0</v>
      </c>
      <c r="R266" s="9">
        <f t="shared" si="32"/>
        <v>1848.28</v>
      </c>
      <c r="S266" s="10">
        <f t="shared" si="33"/>
        <v>154.02333333333334</v>
      </c>
      <c r="T266">
        <v>165</v>
      </c>
      <c r="U266">
        <f t="shared" si="34"/>
        <v>20.800000000000011</v>
      </c>
    </row>
    <row r="267" spans="1:21" ht="14.25" customHeight="1" x14ac:dyDescent="0.35">
      <c r="A267" s="6" t="s">
        <v>986</v>
      </c>
      <c r="B267" s="6" t="s">
        <v>987</v>
      </c>
      <c r="C267" s="6" t="s">
        <v>988</v>
      </c>
      <c r="D267" s="6" t="s">
        <v>31</v>
      </c>
      <c r="E267" s="7" t="s">
        <v>23</v>
      </c>
      <c r="F267" s="6">
        <v>85254</v>
      </c>
      <c r="G267" s="6" t="s">
        <v>45</v>
      </c>
      <c r="H267" s="6" t="s">
        <v>169</v>
      </c>
      <c r="I267" s="6" t="s">
        <v>26</v>
      </c>
      <c r="J267" s="6" t="b">
        <v>1</v>
      </c>
      <c r="K267" s="6" t="s">
        <v>27</v>
      </c>
      <c r="L267" s="6">
        <v>41.2</v>
      </c>
      <c r="M267" s="6">
        <v>144.19999999999999</v>
      </c>
      <c r="N267" s="8">
        <f t="shared" si="28"/>
        <v>76.679999999999993</v>
      </c>
      <c r="O267" s="8">
        <f t="shared" si="29"/>
        <v>1848.28</v>
      </c>
      <c r="P267" s="8">
        <f t="shared" si="30"/>
        <v>1848.28</v>
      </c>
      <c r="Q267" s="8">
        <f t="shared" si="31"/>
        <v>0</v>
      </c>
      <c r="R267" s="9">
        <f t="shared" si="32"/>
        <v>1848.28</v>
      </c>
      <c r="S267" s="10">
        <f t="shared" si="33"/>
        <v>154.02333333333334</v>
      </c>
      <c r="T267">
        <v>165</v>
      </c>
      <c r="U267">
        <f t="shared" si="34"/>
        <v>20.800000000000011</v>
      </c>
    </row>
    <row r="268" spans="1:21" ht="14.25" customHeight="1" x14ac:dyDescent="0.35">
      <c r="A268" s="6" t="s">
        <v>989</v>
      </c>
      <c r="B268" s="6" t="s">
        <v>990</v>
      </c>
      <c r="C268" s="6" t="s">
        <v>991</v>
      </c>
      <c r="D268" s="6" t="s">
        <v>992</v>
      </c>
      <c r="E268" s="7" t="s">
        <v>23</v>
      </c>
      <c r="F268" s="6">
        <v>85335</v>
      </c>
      <c r="G268" s="6" t="s">
        <v>78</v>
      </c>
      <c r="H268" s="6" t="s">
        <v>281</v>
      </c>
      <c r="I268" s="6" t="s">
        <v>26</v>
      </c>
      <c r="J268" s="6" t="b">
        <v>1</v>
      </c>
      <c r="K268" s="6" t="s">
        <v>27</v>
      </c>
      <c r="L268" s="6">
        <v>41.2</v>
      </c>
      <c r="M268" s="6">
        <v>144.19999999999999</v>
      </c>
      <c r="N268" s="8">
        <f t="shared" si="28"/>
        <v>76.679999999999993</v>
      </c>
      <c r="O268" s="8">
        <f t="shared" si="29"/>
        <v>1848.28</v>
      </c>
      <c r="P268" s="8">
        <f t="shared" si="30"/>
        <v>1848.28</v>
      </c>
      <c r="Q268" s="8">
        <f t="shared" si="31"/>
        <v>0</v>
      </c>
      <c r="R268" s="9">
        <f t="shared" si="32"/>
        <v>1848.28</v>
      </c>
      <c r="S268" s="10">
        <f t="shared" si="33"/>
        <v>154.02333333333334</v>
      </c>
      <c r="T268">
        <v>165</v>
      </c>
      <c r="U268">
        <f t="shared" si="34"/>
        <v>20.800000000000011</v>
      </c>
    </row>
    <row r="269" spans="1:21" ht="14.25" customHeight="1" x14ac:dyDescent="0.35">
      <c r="A269" s="6" t="s">
        <v>993</v>
      </c>
      <c r="B269" s="6" t="s">
        <v>994</v>
      </c>
      <c r="C269" s="6" t="s">
        <v>995</v>
      </c>
      <c r="D269" s="6" t="s">
        <v>44</v>
      </c>
      <c r="E269" s="7" t="s">
        <v>23</v>
      </c>
      <c r="F269" s="6">
        <v>85020</v>
      </c>
      <c r="G269" s="6" t="s">
        <v>173</v>
      </c>
      <c r="H269" s="6" t="s">
        <v>79</v>
      </c>
      <c r="I269" s="6" t="s">
        <v>26</v>
      </c>
      <c r="J269" s="6" t="b">
        <v>1</v>
      </c>
      <c r="K269" s="6" t="s">
        <v>27</v>
      </c>
      <c r="L269" s="6">
        <v>41.2</v>
      </c>
      <c r="M269" s="6">
        <v>144.19999999999999</v>
      </c>
      <c r="N269" s="8">
        <f t="shared" si="28"/>
        <v>76.679999999999993</v>
      </c>
      <c r="O269" s="8">
        <f t="shared" si="29"/>
        <v>1848.28</v>
      </c>
      <c r="P269" s="8">
        <f t="shared" si="30"/>
        <v>1848.28</v>
      </c>
      <c r="Q269" s="8">
        <f t="shared" si="31"/>
        <v>0</v>
      </c>
      <c r="R269" s="9">
        <f t="shared" si="32"/>
        <v>1848.28</v>
      </c>
      <c r="S269" s="10">
        <f t="shared" si="33"/>
        <v>154.02333333333334</v>
      </c>
      <c r="T269">
        <v>165</v>
      </c>
      <c r="U269">
        <f t="shared" si="34"/>
        <v>20.800000000000011</v>
      </c>
    </row>
    <row r="270" spans="1:21" ht="14.25" customHeight="1" x14ac:dyDescent="0.35">
      <c r="A270" s="6" t="s">
        <v>996</v>
      </c>
      <c r="B270" s="6" t="s">
        <v>997</v>
      </c>
      <c r="C270" s="6" t="s">
        <v>998</v>
      </c>
      <c r="D270" s="6" t="s">
        <v>31</v>
      </c>
      <c r="E270" s="7" t="s">
        <v>23</v>
      </c>
      <c r="F270" s="6">
        <v>85258</v>
      </c>
      <c r="G270" s="6" t="s">
        <v>45</v>
      </c>
      <c r="H270" s="6" t="s">
        <v>291</v>
      </c>
      <c r="I270" s="6" t="s">
        <v>26</v>
      </c>
      <c r="J270" s="6" t="b">
        <v>1</v>
      </c>
      <c r="K270" s="6" t="s">
        <v>27</v>
      </c>
      <c r="L270" s="6">
        <v>41.2</v>
      </c>
      <c r="M270" s="6">
        <v>144.19999999999999</v>
      </c>
      <c r="N270" s="8">
        <f t="shared" si="28"/>
        <v>76.679999999999993</v>
      </c>
      <c r="O270" s="8">
        <f t="shared" si="29"/>
        <v>1848.28</v>
      </c>
      <c r="P270" s="8">
        <f t="shared" si="30"/>
        <v>1848.28</v>
      </c>
      <c r="Q270" s="8">
        <f t="shared" si="31"/>
        <v>0</v>
      </c>
      <c r="R270" s="9">
        <f t="shared" si="32"/>
        <v>1848.28</v>
      </c>
      <c r="S270" s="10">
        <f t="shared" si="33"/>
        <v>154.02333333333334</v>
      </c>
      <c r="T270">
        <v>165</v>
      </c>
      <c r="U270">
        <f t="shared" si="34"/>
        <v>20.800000000000011</v>
      </c>
    </row>
    <row r="271" spans="1:21" ht="14.25" customHeight="1" x14ac:dyDescent="0.35">
      <c r="A271" s="6" t="s">
        <v>999</v>
      </c>
      <c r="B271" s="6" t="s">
        <v>1000</v>
      </c>
      <c r="C271" s="6" t="s">
        <v>1001</v>
      </c>
      <c r="D271" s="6" t="s">
        <v>77</v>
      </c>
      <c r="E271" s="7" t="s">
        <v>23</v>
      </c>
      <c r="F271" s="6">
        <v>85303</v>
      </c>
      <c r="G271" s="6" t="s">
        <v>72</v>
      </c>
      <c r="H271" s="6" t="s">
        <v>73</v>
      </c>
      <c r="I271" s="6" t="s">
        <v>26</v>
      </c>
      <c r="J271" s="6" t="b">
        <v>1</v>
      </c>
      <c r="K271" s="6" t="s">
        <v>27</v>
      </c>
      <c r="L271" s="6">
        <v>41.2</v>
      </c>
      <c r="M271" s="6">
        <v>144.19999999999999</v>
      </c>
      <c r="N271" s="8">
        <f t="shared" si="28"/>
        <v>76.679999999999993</v>
      </c>
      <c r="O271" s="8">
        <f t="shared" si="29"/>
        <v>1848.28</v>
      </c>
      <c r="P271" s="8">
        <f t="shared" si="30"/>
        <v>1848.28</v>
      </c>
      <c r="Q271" s="8">
        <f t="shared" si="31"/>
        <v>0</v>
      </c>
      <c r="R271" s="9">
        <f t="shared" si="32"/>
        <v>1848.28</v>
      </c>
      <c r="S271" s="10">
        <f t="shared" si="33"/>
        <v>154.02333333333334</v>
      </c>
      <c r="T271">
        <v>165</v>
      </c>
      <c r="U271">
        <f t="shared" si="34"/>
        <v>20.800000000000011</v>
      </c>
    </row>
    <row r="272" spans="1:21" ht="14.25" customHeight="1" x14ac:dyDescent="0.35">
      <c r="A272" s="6" t="s">
        <v>1002</v>
      </c>
      <c r="B272" s="6" t="s">
        <v>1003</v>
      </c>
      <c r="C272" s="6" t="s">
        <v>1004</v>
      </c>
      <c r="D272" s="6" t="s">
        <v>65</v>
      </c>
      <c r="E272" s="7" t="s">
        <v>23</v>
      </c>
      <c r="F272" s="6">
        <v>85210</v>
      </c>
      <c r="G272" s="6" t="s">
        <v>24</v>
      </c>
      <c r="H272" s="6" t="s">
        <v>25</v>
      </c>
      <c r="I272" s="6" t="s">
        <v>26</v>
      </c>
      <c r="J272" s="6" t="b">
        <v>1</v>
      </c>
      <c r="K272" s="6" t="s">
        <v>27</v>
      </c>
      <c r="L272" s="6">
        <v>41.2</v>
      </c>
      <c r="M272" s="6">
        <v>144.19999999999999</v>
      </c>
      <c r="N272" s="8">
        <f t="shared" si="28"/>
        <v>76.679999999999993</v>
      </c>
      <c r="O272" s="8">
        <f t="shared" si="29"/>
        <v>1848.28</v>
      </c>
      <c r="P272" s="8">
        <f t="shared" si="30"/>
        <v>1848.28</v>
      </c>
      <c r="Q272" s="8">
        <f t="shared" si="31"/>
        <v>0</v>
      </c>
      <c r="R272" s="9">
        <f t="shared" si="32"/>
        <v>1848.28</v>
      </c>
      <c r="S272" s="10">
        <f t="shared" si="33"/>
        <v>154.02333333333334</v>
      </c>
      <c r="T272">
        <v>165</v>
      </c>
      <c r="U272">
        <f t="shared" si="34"/>
        <v>20.800000000000011</v>
      </c>
    </row>
    <row r="273" spans="1:21" ht="14.25" customHeight="1" x14ac:dyDescent="0.35">
      <c r="A273" s="6" t="s">
        <v>1005</v>
      </c>
      <c r="B273" s="6" t="s">
        <v>1006</v>
      </c>
      <c r="C273" s="6" t="s">
        <v>1007</v>
      </c>
      <c r="D273" s="6" t="s">
        <v>165</v>
      </c>
      <c r="E273" s="7" t="s">
        <v>23</v>
      </c>
      <c r="F273" s="6">
        <v>85297</v>
      </c>
      <c r="G273" s="6" t="s">
        <v>125</v>
      </c>
      <c r="H273" s="6" t="s">
        <v>180</v>
      </c>
      <c r="I273" s="6" t="s">
        <v>26</v>
      </c>
      <c r="J273" s="6" t="b">
        <v>1</v>
      </c>
      <c r="K273" s="6" t="s">
        <v>27</v>
      </c>
      <c r="L273" s="6">
        <v>41.2</v>
      </c>
      <c r="M273" s="6">
        <v>144.19999999999999</v>
      </c>
      <c r="N273" s="8">
        <f t="shared" si="28"/>
        <v>76.679999999999993</v>
      </c>
      <c r="O273" s="8">
        <f t="shared" si="29"/>
        <v>1848.28</v>
      </c>
      <c r="P273" s="8">
        <f t="shared" si="30"/>
        <v>1848.28</v>
      </c>
      <c r="Q273" s="8">
        <f t="shared" si="31"/>
        <v>0</v>
      </c>
      <c r="R273" s="9">
        <f t="shared" si="32"/>
        <v>1848.28</v>
      </c>
      <c r="S273" s="10">
        <f t="shared" si="33"/>
        <v>154.02333333333334</v>
      </c>
      <c r="T273">
        <v>165</v>
      </c>
      <c r="U273">
        <f t="shared" si="34"/>
        <v>20.800000000000011</v>
      </c>
    </row>
    <row r="274" spans="1:21" ht="14.25" customHeight="1" x14ac:dyDescent="0.35">
      <c r="A274" s="6" t="s">
        <v>1008</v>
      </c>
      <c r="B274" s="6" t="s">
        <v>1009</v>
      </c>
      <c r="C274" s="6" t="s">
        <v>1010</v>
      </c>
      <c r="D274" s="6" t="s">
        <v>31</v>
      </c>
      <c r="E274" s="7" t="s">
        <v>23</v>
      </c>
      <c r="F274" s="6">
        <v>85255</v>
      </c>
      <c r="G274" s="6" t="s">
        <v>45</v>
      </c>
      <c r="H274" s="6" t="s">
        <v>33</v>
      </c>
      <c r="I274" s="6" t="s">
        <v>26</v>
      </c>
      <c r="J274" s="6" t="b">
        <v>1</v>
      </c>
      <c r="K274" s="6" t="s">
        <v>27</v>
      </c>
      <c r="L274" s="6">
        <v>41.2</v>
      </c>
      <c r="M274" s="6">
        <v>144.19999999999999</v>
      </c>
      <c r="N274" s="8">
        <f t="shared" si="28"/>
        <v>76.679999999999993</v>
      </c>
      <c r="O274" s="8">
        <f t="shared" si="29"/>
        <v>1848.28</v>
      </c>
      <c r="P274" s="8">
        <f t="shared" si="30"/>
        <v>1848.28</v>
      </c>
      <c r="Q274" s="8">
        <f t="shared" si="31"/>
        <v>0</v>
      </c>
      <c r="R274" s="9">
        <f t="shared" si="32"/>
        <v>1848.28</v>
      </c>
      <c r="S274" s="10">
        <f t="shared" si="33"/>
        <v>154.02333333333334</v>
      </c>
      <c r="T274">
        <v>165</v>
      </c>
      <c r="U274">
        <f t="shared" si="34"/>
        <v>20.800000000000011</v>
      </c>
    </row>
    <row r="275" spans="1:21" ht="14.25" customHeight="1" x14ac:dyDescent="0.35">
      <c r="A275" s="6" t="s">
        <v>218</v>
      </c>
      <c r="B275" s="6" t="s">
        <v>219</v>
      </c>
      <c r="C275" s="6" t="s">
        <v>220</v>
      </c>
      <c r="D275" s="6" t="s">
        <v>165</v>
      </c>
      <c r="E275" s="7" t="s">
        <v>23</v>
      </c>
      <c r="F275" s="6">
        <v>85295</v>
      </c>
      <c r="G275" s="6" t="s">
        <v>125</v>
      </c>
      <c r="H275" s="6" t="s">
        <v>126</v>
      </c>
      <c r="I275" s="6" t="s">
        <v>26</v>
      </c>
      <c r="J275" s="6" t="b">
        <v>0</v>
      </c>
      <c r="K275" s="6" t="s">
        <v>27</v>
      </c>
      <c r="L275" s="6">
        <v>0</v>
      </c>
      <c r="M275" s="6">
        <v>145</v>
      </c>
      <c r="N275" s="8" t="str">
        <f t="shared" si="28"/>
        <v>0</v>
      </c>
      <c r="O275" s="8">
        <f t="shared" si="29"/>
        <v>1740</v>
      </c>
      <c r="P275" s="8">
        <f t="shared" si="30"/>
        <v>1740</v>
      </c>
      <c r="Q275" s="8">
        <f t="shared" si="31"/>
        <v>0</v>
      </c>
      <c r="R275" s="9">
        <f t="shared" si="32"/>
        <v>1740</v>
      </c>
      <c r="S275" s="10">
        <f t="shared" si="33"/>
        <v>145</v>
      </c>
      <c r="T275">
        <v>165</v>
      </c>
      <c r="U275">
        <f t="shared" si="34"/>
        <v>20</v>
      </c>
    </row>
    <row r="276" spans="1:21" ht="14.25" customHeight="1" x14ac:dyDescent="0.35">
      <c r="A276" s="6" t="s">
        <v>403</v>
      </c>
      <c r="B276" s="6" t="s">
        <v>404</v>
      </c>
      <c r="C276" s="6" t="s">
        <v>405</v>
      </c>
      <c r="D276" s="6" t="s">
        <v>363</v>
      </c>
      <c r="E276" s="7" t="s">
        <v>23</v>
      </c>
      <c r="F276" s="6">
        <v>85284</v>
      </c>
      <c r="G276" s="6" t="s">
        <v>24</v>
      </c>
      <c r="H276" s="6" t="s">
        <v>161</v>
      </c>
      <c r="I276" s="6" t="s">
        <v>26</v>
      </c>
      <c r="J276" s="6" t="b">
        <v>1</v>
      </c>
      <c r="K276" s="6" t="s">
        <v>27</v>
      </c>
      <c r="L276" s="6">
        <v>0</v>
      </c>
      <c r="M276" s="6">
        <v>145</v>
      </c>
      <c r="N276" s="8">
        <f t="shared" si="28"/>
        <v>76.679999999999993</v>
      </c>
      <c r="O276" s="8">
        <f t="shared" si="29"/>
        <v>1816.68</v>
      </c>
      <c r="P276" s="8">
        <f t="shared" si="30"/>
        <v>1816.68</v>
      </c>
      <c r="Q276" s="8">
        <f t="shared" si="31"/>
        <v>0</v>
      </c>
      <c r="R276" s="9">
        <f t="shared" si="32"/>
        <v>1816.68</v>
      </c>
      <c r="S276" s="10">
        <f t="shared" si="33"/>
        <v>151.39000000000001</v>
      </c>
      <c r="T276">
        <v>165</v>
      </c>
      <c r="U276">
        <f t="shared" si="34"/>
        <v>20</v>
      </c>
    </row>
    <row r="277" spans="1:21" ht="14.25" customHeight="1" x14ac:dyDescent="0.35">
      <c r="A277" s="6" t="s">
        <v>406</v>
      </c>
      <c r="B277" s="6" t="s">
        <v>407</v>
      </c>
      <c r="C277" s="6" t="s">
        <v>408</v>
      </c>
      <c r="D277" s="6" t="s">
        <v>44</v>
      </c>
      <c r="E277" s="7" t="s">
        <v>23</v>
      </c>
      <c r="F277" s="6">
        <v>85023</v>
      </c>
      <c r="G277" s="6" t="s">
        <v>72</v>
      </c>
      <c r="H277" s="6" t="s">
        <v>93</v>
      </c>
      <c r="I277" s="6" t="s">
        <v>26</v>
      </c>
      <c r="J277" s="6" t="b">
        <v>1</v>
      </c>
      <c r="K277" s="6" t="s">
        <v>27</v>
      </c>
      <c r="L277" s="6">
        <v>0</v>
      </c>
      <c r="M277" s="6">
        <v>145</v>
      </c>
      <c r="N277" s="8">
        <f t="shared" si="28"/>
        <v>76.679999999999993</v>
      </c>
      <c r="O277" s="8">
        <f t="shared" si="29"/>
        <v>1816.68</v>
      </c>
      <c r="P277" s="8">
        <f t="shared" si="30"/>
        <v>1816.68</v>
      </c>
      <c r="Q277" s="8">
        <f t="shared" si="31"/>
        <v>0</v>
      </c>
      <c r="R277" s="9">
        <f t="shared" si="32"/>
        <v>1816.68</v>
      </c>
      <c r="S277" s="10">
        <f t="shared" si="33"/>
        <v>151.39000000000001</v>
      </c>
      <c r="T277">
        <v>165</v>
      </c>
      <c r="U277">
        <f t="shared" si="34"/>
        <v>20</v>
      </c>
    </row>
    <row r="278" spans="1:21" ht="14.25" customHeight="1" x14ac:dyDescent="0.35">
      <c r="A278" s="6" t="s">
        <v>1014</v>
      </c>
      <c r="B278" s="6" t="s">
        <v>1015</v>
      </c>
      <c r="C278" s="6" t="s">
        <v>1016</v>
      </c>
      <c r="D278" s="6" t="s">
        <v>71</v>
      </c>
      <c r="E278" s="7" t="s">
        <v>23</v>
      </c>
      <c r="F278" s="6">
        <v>85381</v>
      </c>
      <c r="G278" s="6" t="s">
        <v>78</v>
      </c>
      <c r="H278" s="6" t="s">
        <v>73</v>
      </c>
      <c r="I278" s="6" t="s">
        <v>26</v>
      </c>
      <c r="J278" s="6" t="b">
        <v>1</v>
      </c>
      <c r="K278" s="6" t="s">
        <v>27</v>
      </c>
      <c r="L278" s="6">
        <v>40</v>
      </c>
      <c r="M278" s="6">
        <v>145</v>
      </c>
      <c r="N278" s="8">
        <f t="shared" si="28"/>
        <v>76.679999999999993</v>
      </c>
      <c r="O278" s="8">
        <f t="shared" si="29"/>
        <v>1856.68</v>
      </c>
      <c r="P278" s="8">
        <f t="shared" si="30"/>
        <v>1856.68</v>
      </c>
      <c r="Q278" s="8">
        <f t="shared" si="31"/>
        <v>0</v>
      </c>
      <c r="R278" s="9">
        <f t="shared" si="32"/>
        <v>1856.68</v>
      </c>
      <c r="S278" s="10">
        <f t="shared" si="33"/>
        <v>154.72333333333333</v>
      </c>
      <c r="T278">
        <v>165</v>
      </c>
      <c r="U278">
        <f t="shared" si="34"/>
        <v>20</v>
      </c>
    </row>
    <row r="279" spans="1:21" ht="14.25" customHeight="1" x14ac:dyDescent="0.35">
      <c r="A279" s="6" t="s">
        <v>1075</v>
      </c>
      <c r="B279" s="6" t="s">
        <v>1076</v>
      </c>
      <c r="C279" s="6" t="s">
        <v>1077</v>
      </c>
      <c r="D279" s="6" t="s">
        <v>77</v>
      </c>
      <c r="E279" s="7" t="s">
        <v>23</v>
      </c>
      <c r="F279" s="6">
        <v>85308</v>
      </c>
      <c r="G279" s="6" t="s">
        <v>78</v>
      </c>
      <c r="H279" s="6" t="s">
        <v>79</v>
      </c>
      <c r="I279" s="6" t="s">
        <v>110</v>
      </c>
      <c r="J279" s="6" t="b">
        <v>1</v>
      </c>
      <c r="K279" s="6" t="s">
        <v>27</v>
      </c>
      <c r="L279" s="6">
        <v>41.2</v>
      </c>
      <c r="M279" s="6">
        <v>147.69</v>
      </c>
      <c r="N279" s="8">
        <f t="shared" si="28"/>
        <v>76.679999999999993</v>
      </c>
      <c r="O279" s="8">
        <f t="shared" si="29"/>
        <v>1890.16</v>
      </c>
      <c r="P279" s="8">
        <f t="shared" si="30"/>
        <v>1890.16</v>
      </c>
      <c r="Q279" s="8">
        <f t="shared" si="31"/>
        <v>0</v>
      </c>
      <c r="R279" s="9">
        <f t="shared" si="32"/>
        <v>1890.16</v>
      </c>
      <c r="S279" s="10">
        <f t="shared" si="33"/>
        <v>157.51333333333335</v>
      </c>
      <c r="T279">
        <v>165</v>
      </c>
      <c r="U279">
        <f t="shared" si="34"/>
        <v>17.310000000000002</v>
      </c>
    </row>
    <row r="280" spans="1:21" ht="14.25" customHeight="1" x14ac:dyDescent="0.35">
      <c r="A280" s="6" t="s">
        <v>409</v>
      </c>
      <c r="B280" s="6" t="s">
        <v>410</v>
      </c>
      <c r="C280" s="6" t="s">
        <v>411</v>
      </c>
      <c r="D280" s="6" t="s">
        <v>363</v>
      </c>
      <c r="E280" s="7" t="s">
        <v>23</v>
      </c>
      <c r="F280" s="6">
        <v>85284</v>
      </c>
      <c r="G280" s="6" t="s">
        <v>24</v>
      </c>
      <c r="H280" s="6" t="s">
        <v>161</v>
      </c>
      <c r="I280" s="6" t="s">
        <v>26</v>
      </c>
      <c r="J280" s="6" t="b">
        <v>0</v>
      </c>
      <c r="K280" s="6" t="s">
        <v>27</v>
      </c>
      <c r="L280" s="6">
        <v>41.2</v>
      </c>
      <c r="M280" s="6">
        <v>149.35</v>
      </c>
      <c r="N280" s="8" t="str">
        <f t="shared" si="28"/>
        <v>0</v>
      </c>
      <c r="O280" s="8">
        <f t="shared" si="29"/>
        <v>1833.3999999999999</v>
      </c>
      <c r="P280" s="8">
        <f t="shared" si="30"/>
        <v>1833.3999999999999</v>
      </c>
      <c r="Q280" s="8">
        <f t="shared" si="31"/>
        <v>0</v>
      </c>
      <c r="R280" s="9">
        <f t="shared" si="32"/>
        <v>1833.3999999999999</v>
      </c>
      <c r="S280" s="10">
        <f t="shared" si="33"/>
        <v>152.78333333333333</v>
      </c>
      <c r="T280">
        <v>165</v>
      </c>
      <c r="U280">
        <f t="shared" si="34"/>
        <v>15.650000000000006</v>
      </c>
    </row>
    <row r="281" spans="1:21" ht="14.25" customHeight="1" x14ac:dyDescent="0.35">
      <c r="A281" s="6" t="s">
        <v>412</v>
      </c>
      <c r="B281" s="6" t="s">
        <v>413</v>
      </c>
      <c r="C281" s="6" t="s">
        <v>414</v>
      </c>
      <c r="D281" s="6" t="s">
        <v>22</v>
      </c>
      <c r="E281" s="7" t="s">
        <v>23</v>
      </c>
      <c r="F281" s="6">
        <v>85225</v>
      </c>
      <c r="G281" s="6" t="s">
        <v>24</v>
      </c>
      <c r="H281" s="6" t="s">
        <v>25</v>
      </c>
      <c r="I281" s="6" t="s">
        <v>26</v>
      </c>
      <c r="J281" s="6" t="b">
        <v>0</v>
      </c>
      <c r="K281" s="6" t="s">
        <v>27</v>
      </c>
      <c r="L281" s="6">
        <v>41.2</v>
      </c>
      <c r="M281" s="6">
        <v>149.35</v>
      </c>
      <c r="N281" s="8" t="str">
        <f t="shared" si="28"/>
        <v>0</v>
      </c>
      <c r="O281" s="8">
        <f t="shared" si="29"/>
        <v>1833.3999999999999</v>
      </c>
      <c r="P281" s="8">
        <f t="shared" si="30"/>
        <v>1833.3999999999999</v>
      </c>
      <c r="Q281" s="8">
        <f t="shared" si="31"/>
        <v>0</v>
      </c>
      <c r="R281" s="9">
        <f t="shared" si="32"/>
        <v>1833.3999999999999</v>
      </c>
      <c r="S281" s="10">
        <f t="shared" si="33"/>
        <v>152.78333333333333</v>
      </c>
      <c r="T281">
        <v>165</v>
      </c>
      <c r="U281">
        <f t="shared" si="34"/>
        <v>15.650000000000006</v>
      </c>
    </row>
    <row r="282" spans="1:21" ht="14.25" customHeight="1" x14ac:dyDescent="0.35">
      <c r="A282" s="6" t="s">
        <v>415</v>
      </c>
      <c r="B282" s="6" t="s">
        <v>416</v>
      </c>
      <c r="C282" s="6" t="s">
        <v>417</v>
      </c>
      <c r="D282" s="6" t="s">
        <v>44</v>
      </c>
      <c r="E282" s="7" t="s">
        <v>23</v>
      </c>
      <c r="F282" s="6">
        <v>85042</v>
      </c>
      <c r="G282" s="6" t="s">
        <v>213</v>
      </c>
      <c r="H282" s="6" t="s">
        <v>39</v>
      </c>
      <c r="I282" s="6" t="s">
        <v>57</v>
      </c>
      <c r="J282" s="6" t="b">
        <v>0</v>
      </c>
      <c r="K282" s="6" t="s">
        <v>27</v>
      </c>
      <c r="L282" s="6">
        <v>41.2</v>
      </c>
      <c r="M282" s="6">
        <v>149.35</v>
      </c>
      <c r="N282" s="8" t="str">
        <f t="shared" si="28"/>
        <v>0</v>
      </c>
      <c r="O282" s="8">
        <f t="shared" si="29"/>
        <v>1833.3999999999999</v>
      </c>
      <c r="P282" s="8">
        <f t="shared" si="30"/>
        <v>1833.3999999999999</v>
      </c>
      <c r="Q282" s="8">
        <f t="shared" si="31"/>
        <v>0</v>
      </c>
      <c r="R282" s="9">
        <f t="shared" si="32"/>
        <v>1833.3999999999999</v>
      </c>
      <c r="S282" s="10">
        <f t="shared" si="33"/>
        <v>152.78333333333333</v>
      </c>
      <c r="T282">
        <v>165</v>
      </c>
      <c r="U282">
        <f t="shared" si="34"/>
        <v>15.650000000000006</v>
      </c>
    </row>
    <row r="283" spans="1:21" ht="14.25" customHeight="1" x14ac:dyDescent="0.35">
      <c r="A283" s="6" t="s">
        <v>418</v>
      </c>
      <c r="B283" s="6" t="s">
        <v>419</v>
      </c>
      <c r="C283" s="6" t="s">
        <v>420</v>
      </c>
      <c r="D283" s="6" t="s">
        <v>165</v>
      </c>
      <c r="E283" s="7" t="s">
        <v>23</v>
      </c>
      <c r="F283" s="6">
        <v>85295</v>
      </c>
      <c r="G283" s="6" t="s">
        <v>125</v>
      </c>
      <c r="H283" s="6" t="s">
        <v>126</v>
      </c>
      <c r="I283" s="6" t="s">
        <v>26</v>
      </c>
      <c r="J283" s="6" t="b">
        <v>1</v>
      </c>
      <c r="K283" s="6" t="s">
        <v>27</v>
      </c>
      <c r="L283" s="6">
        <v>41.2</v>
      </c>
      <c r="M283" s="6">
        <v>149.35</v>
      </c>
      <c r="N283" s="8">
        <f t="shared" si="28"/>
        <v>76.679999999999993</v>
      </c>
      <c r="O283" s="8">
        <f t="shared" si="29"/>
        <v>1910.08</v>
      </c>
      <c r="P283" s="8">
        <f t="shared" si="30"/>
        <v>1910.08</v>
      </c>
      <c r="Q283" s="8">
        <f t="shared" si="31"/>
        <v>0</v>
      </c>
      <c r="R283" s="9">
        <f t="shared" si="32"/>
        <v>1910.08</v>
      </c>
      <c r="S283" s="10">
        <f t="shared" si="33"/>
        <v>159.17333333333332</v>
      </c>
      <c r="T283">
        <v>165</v>
      </c>
      <c r="U283">
        <f t="shared" si="34"/>
        <v>15.650000000000006</v>
      </c>
    </row>
    <row r="284" spans="1:21" ht="14.25" customHeight="1" x14ac:dyDescent="0.35">
      <c r="A284" s="6" t="s">
        <v>421</v>
      </c>
      <c r="B284" s="6" t="s">
        <v>422</v>
      </c>
      <c r="C284" s="6" t="s">
        <v>423</v>
      </c>
      <c r="D284" s="6" t="s">
        <v>165</v>
      </c>
      <c r="E284" s="7" t="s">
        <v>23</v>
      </c>
      <c r="F284" s="6">
        <v>85295</v>
      </c>
      <c r="G284" s="6" t="s">
        <v>125</v>
      </c>
      <c r="H284" s="6" t="s">
        <v>225</v>
      </c>
      <c r="I284" s="6" t="s">
        <v>26</v>
      </c>
      <c r="J284" s="6" t="b">
        <v>1</v>
      </c>
      <c r="K284" s="6" t="s">
        <v>27</v>
      </c>
      <c r="L284" s="6">
        <v>41.2</v>
      </c>
      <c r="M284" s="6">
        <v>149.35</v>
      </c>
      <c r="N284" s="8">
        <f t="shared" si="28"/>
        <v>76.679999999999993</v>
      </c>
      <c r="O284" s="8">
        <f t="shared" si="29"/>
        <v>1910.08</v>
      </c>
      <c r="P284" s="8">
        <f t="shared" si="30"/>
        <v>1910.08</v>
      </c>
      <c r="Q284" s="8">
        <f t="shared" si="31"/>
        <v>0</v>
      </c>
      <c r="R284" s="9">
        <f t="shared" si="32"/>
        <v>1910.08</v>
      </c>
      <c r="S284" s="10">
        <f t="shared" si="33"/>
        <v>159.17333333333332</v>
      </c>
      <c r="T284">
        <v>165</v>
      </c>
      <c r="U284">
        <f t="shared" si="34"/>
        <v>15.650000000000006</v>
      </c>
    </row>
    <row r="285" spans="1:21" ht="14.25" customHeight="1" x14ac:dyDescent="0.35">
      <c r="A285" s="6" t="s">
        <v>424</v>
      </c>
      <c r="B285" s="6" t="s">
        <v>425</v>
      </c>
      <c r="C285" s="6" t="s">
        <v>426</v>
      </c>
      <c r="D285" s="6" t="s">
        <v>31</v>
      </c>
      <c r="E285" s="7" t="s">
        <v>23</v>
      </c>
      <c r="F285" s="6">
        <v>85260</v>
      </c>
      <c r="G285" s="6" t="s">
        <v>45</v>
      </c>
      <c r="H285" s="6" t="s">
        <v>291</v>
      </c>
      <c r="I285" s="6" t="s">
        <v>26</v>
      </c>
      <c r="J285" s="6" t="b">
        <v>1</v>
      </c>
      <c r="K285" s="6" t="s">
        <v>27</v>
      </c>
      <c r="L285" s="6">
        <v>41.2</v>
      </c>
      <c r="M285" s="6">
        <v>149.35</v>
      </c>
      <c r="N285" s="8">
        <f t="shared" si="28"/>
        <v>76.679999999999993</v>
      </c>
      <c r="O285" s="8">
        <f t="shared" si="29"/>
        <v>1910.08</v>
      </c>
      <c r="P285" s="8">
        <f t="shared" si="30"/>
        <v>1910.08</v>
      </c>
      <c r="Q285" s="8">
        <f t="shared" si="31"/>
        <v>0</v>
      </c>
      <c r="R285" s="9">
        <f t="shared" si="32"/>
        <v>1910.08</v>
      </c>
      <c r="S285" s="10">
        <f t="shared" si="33"/>
        <v>159.17333333333332</v>
      </c>
      <c r="T285">
        <v>165</v>
      </c>
      <c r="U285">
        <f t="shared" si="34"/>
        <v>15.650000000000006</v>
      </c>
    </row>
    <row r="286" spans="1:21" ht="14.25" customHeight="1" x14ac:dyDescent="0.35">
      <c r="A286" s="6" t="s">
        <v>427</v>
      </c>
      <c r="B286" s="6" t="s">
        <v>428</v>
      </c>
      <c r="C286" s="6" t="s">
        <v>429</v>
      </c>
      <c r="D286" s="6" t="s">
        <v>430</v>
      </c>
      <c r="E286" s="7" t="s">
        <v>23</v>
      </c>
      <c r="F286" s="6">
        <v>85253</v>
      </c>
      <c r="G286" s="6" t="s">
        <v>49</v>
      </c>
      <c r="H286" s="6" t="s">
        <v>202</v>
      </c>
      <c r="I286" s="6" t="s">
        <v>26</v>
      </c>
      <c r="J286" s="6" t="b">
        <v>1</v>
      </c>
      <c r="K286" s="6" t="s">
        <v>27</v>
      </c>
      <c r="L286" s="6">
        <v>41.2</v>
      </c>
      <c r="M286" s="6">
        <v>149.35</v>
      </c>
      <c r="N286" s="8">
        <f t="shared" si="28"/>
        <v>76.679999999999993</v>
      </c>
      <c r="O286" s="8">
        <f t="shared" si="29"/>
        <v>1910.08</v>
      </c>
      <c r="P286" s="8">
        <f t="shared" si="30"/>
        <v>1910.08</v>
      </c>
      <c r="Q286" s="8">
        <f t="shared" si="31"/>
        <v>0</v>
      </c>
      <c r="R286" s="9">
        <f t="shared" si="32"/>
        <v>1910.08</v>
      </c>
      <c r="S286" s="10">
        <f t="shared" si="33"/>
        <v>159.17333333333332</v>
      </c>
      <c r="T286">
        <v>165</v>
      </c>
      <c r="U286">
        <f t="shared" si="34"/>
        <v>15.650000000000006</v>
      </c>
    </row>
    <row r="287" spans="1:21" ht="14.25" customHeight="1" x14ac:dyDescent="0.35">
      <c r="A287" s="6" t="s">
        <v>431</v>
      </c>
      <c r="B287" s="6" t="s">
        <v>432</v>
      </c>
      <c r="C287" s="6" t="s">
        <v>433</v>
      </c>
      <c r="D287" s="6" t="s">
        <v>77</v>
      </c>
      <c r="E287" s="7" t="s">
        <v>23</v>
      </c>
      <c r="F287" s="6">
        <v>85304</v>
      </c>
      <c r="G287" s="6" t="s">
        <v>72</v>
      </c>
      <c r="H287" s="6" t="s">
        <v>93</v>
      </c>
      <c r="I287" s="6" t="s">
        <v>26</v>
      </c>
      <c r="J287" s="6" t="b">
        <v>1</v>
      </c>
      <c r="K287" s="6" t="s">
        <v>27</v>
      </c>
      <c r="L287" s="6">
        <v>41.2</v>
      </c>
      <c r="M287" s="6">
        <v>149.35</v>
      </c>
      <c r="N287" s="8">
        <f t="shared" si="28"/>
        <v>76.679999999999993</v>
      </c>
      <c r="O287" s="8">
        <f t="shared" si="29"/>
        <v>1910.08</v>
      </c>
      <c r="P287" s="8">
        <f t="shared" si="30"/>
        <v>1910.08</v>
      </c>
      <c r="Q287" s="8">
        <f t="shared" si="31"/>
        <v>0</v>
      </c>
      <c r="R287" s="9">
        <f t="shared" si="32"/>
        <v>1910.08</v>
      </c>
      <c r="S287" s="10">
        <f t="shared" si="33"/>
        <v>159.17333333333332</v>
      </c>
      <c r="T287">
        <v>165</v>
      </c>
      <c r="U287">
        <f t="shared" si="34"/>
        <v>15.650000000000006</v>
      </c>
    </row>
    <row r="288" spans="1:21" ht="14.25" customHeight="1" x14ac:dyDescent="0.35">
      <c r="A288" s="6" t="s">
        <v>434</v>
      </c>
      <c r="B288" s="6" t="s">
        <v>435</v>
      </c>
      <c r="C288" s="6" t="s">
        <v>436</v>
      </c>
      <c r="D288" s="6" t="s">
        <v>77</v>
      </c>
      <c r="E288" s="7" t="s">
        <v>23</v>
      </c>
      <c r="F288" s="6">
        <v>85304</v>
      </c>
      <c r="G288" s="6" t="s">
        <v>72</v>
      </c>
      <c r="H288" s="6" t="s">
        <v>93</v>
      </c>
      <c r="I288" s="6" t="s">
        <v>26</v>
      </c>
      <c r="J288" s="6" t="b">
        <v>1</v>
      </c>
      <c r="K288" s="6" t="s">
        <v>27</v>
      </c>
      <c r="L288" s="6">
        <v>41.2</v>
      </c>
      <c r="M288" s="6">
        <v>149.35</v>
      </c>
      <c r="N288" s="8">
        <f t="shared" si="28"/>
        <v>76.679999999999993</v>
      </c>
      <c r="O288" s="8">
        <f t="shared" si="29"/>
        <v>1910.08</v>
      </c>
      <c r="P288" s="8">
        <f t="shared" si="30"/>
        <v>1910.08</v>
      </c>
      <c r="Q288" s="8">
        <f t="shared" si="31"/>
        <v>0</v>
      </c>
      <c r="R288" s="9">
        <f t="shared" si="32"/>
        <v>1910.08</v>
      </c>
      <c r="S288" s="10">
        <f t="shared" si="33"/>
        <v>159.17333333333332</v>
      </c>
      <c r="T288">
        <v>165</v>
      </c>
      <c r="U288">
        <f t="shared" si="34"/>
        <v>15.650000000000006</v>
      </c>
    </row>
    <row r="289" spans="1:21" ht="14.25" customHeight="1" x14ac:dyDescent="0.35">
      <c r="A289" s="6" t="s">
        <v>437</v>
      </c>
      <c r="B289" s="6" t="s">
        <v>340</v>
      </c>
      <c r="C289" s="6" t="s">
        <v>438</v>
      </c>
      <c r="D289" s="6" t="s">
        <v>44</v>
      </c>
      <c r="E289" s="7" t="s">
        <v>23</v>
      </c>
      <c r="F289" s="6">
        <v>85018</v>
      </c>
      <c r="G289" s="6" t="s">
        <v>49</v>
      </c>
      <c r="H289" s="6" t="s">
        <v>50</v>
      </c>
      <c r="I289" s="6" t="s">
        <v>26</v>
      </c>
      <c r="J289" s="6" t="b">
        <v>1</v>
      </c>
      <c r="K289" s="6" t="s">
        <v>27</v>
      </c>
      <c r="L289" s="6">
        <v>41.2</v>
      </c>
      <c r="M289" s="6">
        <v>149.35</v>
      </c>
      <c r="N289" s="8">
        <f t="shared" si="28"/>
        <v>76.679999999999993</v>
      </c>
      <c r="O289" s="8">
        <f t="shared" si="29"/>
        <v>1910.08</v>
      </c>
      <c r="P289" s="8">
        <f t="shared" si="30"/>
        <v>1910.08</v>
      </c>
      <c r="Q289" s="8">
        <f t="shared" si="31"/>
        <v>0</v>
      </c>
      <c r="R289" s="9">
        <f t="shared" si="32"/>
        <v>1910.08</v>
      </c>
      <c r="S289" s="10">
        <f t="shared" si="33"/>
        <v>159.17333333333332</v>
      </c>
      <c r="T289">
        <v>165</v>
      </c>
      <c r="U289">
        <f t="shared" si="34"/>
        <v>15.650000000000006</v>
      </c>
    </row>
    <row r="290" spans="1:21" ht="14.25" customHeight="1" x14ac:dyDescent="0.35">
      <c r="A290" s="6" t="s">
        <v>439</v>
      </c>
      <c r="B290" s="6" t="s">
        <v>440</v>
      </c>
      <c r="C290" s="6" t="s">
        <v>441</v>
      </c>
      <c r="D290" s="6" t="s">
        <v>44</v>
      </c>
      <c r="E290" s="7" t="s">
        <v>23</v>
      </c>
      <c r="F290" s="6">
        <v>85037</v>
      </c>
      <c r="G290" s="6" t="s">
        <v>38</v>
      </c>
      <c r="H290" s="6" t="s">
        <v>268</v>
      </c>
      <c r="I290" s="6" t="s">
        <v>26</v>
      </c>
      <c r="J290" s="6" t="b">
        <v>1</v>
      </c>
      <c r="K290" s="6" t="s">
        <v>27</v>
      </c>
      <c r="L290" s="6">
        <v>41.2</v>
      </c>
      <c r="M290" s="6">
        <v>149.35</v>
      </c>
      <c r="N290" s="8">
        <f t="shared" si="28"/>
        <v>76.679999999999993</v>
      </c>
      <c r="O290" s="8">
        <f t="shared" si="29"/>
        <v>1910.08</v>
      </c>
      <c r="P290" s="8">
        <f t="shared" si="30"/>
        <v>1910.08</v>
      </c>
      <c r="Q290" s="8">
        <f t="shared" si="31"/>
        <v>0</v>
      </c>
      <c r="R290" s="9">
        <f t="shared" si="32"/>
        <v>1910.08</v>
      </c>
      <c r="S290" s="10">
        <f t="shared" si="33"/>
        <v>159.17333333333332</v>
      </c>
      <c r="T290">
        <v>165</v>
      </c>
      <c r="U290">
        <f t="shared" si="34"/>
        <v>15.650000000000006</v>
      </c>
    </row>
    <row r="291" spans="1:21" ht="14.25" customHeight="1" x14ac:dyDescent="0.35">
      <c r="A291" s="6" t="s">
        <v>442</v>
      </c>
      <c r="B291" s="6" t="s">
        <v>443</v>
      </c>
      <c r="C291" s="6" t="s">
        <v>444</v>
      </c>
      <c r="D291" s="6" t="s">
        <v>65</v>
      </c>
      <c r="E291" s="7" t="s">
        <v>23</v>
      </c>
      <c r="F291" s="6">
        <v>85205</v>
      </c>
      <c r="G291" s="6" t="s">
        <v>66</v>
      </c>
      <c r="H291" s="6" t="s">
        <v>67</v>
      </c>
      <c r="I291" s="6" t="s">
        <v>57</v>
      </c>
      <c r="J291" s="6" t="b">
        <v>1</v>
      </c>
      <c r="K291" s="6" t="s">
        <v>27</v>
      </c>
      <c r="L291" s="6">
        <v>41.2</v>
      </c>
      <c r="M291" s="6">
        <v>149.35</v>
      </c>
      <c r="N291" s="8">
        <f t="shared" si="28"/>
        <v>76.679999999999993</v>
      </c>
      <c r="O291" s="8">
        <f t="shared" si="29"/>
        <v>1910.08</v>
      </c>
      <c r="P291" s="8">
        <f t="shared" si="30"/>
        <v>1910.08</v>
      </c>
      <c r="Q291" s="8">
        <f t="shared" si="31"/>
        <v>0</v>
      </c>
      <c r="R291" s="9">
        <f t="shared" si="32"/>
        <v>1910.08</v>
      </c>
      <c r="S291" s="10">
        <f t="shared" si="33"/>
        <v>159.17333333333332</v>
      </c>
      <c r="T291">
        <v>165</v>
      </c>
      <c r="U291">
        <f t="shared" si="34"/>
        <v>15.650000000000006</v>
      </c>
    </row>
    <row r="292" spans="1:21" ht="14.25" customHeight="1" x14ac:dyDescent="0.35">
      <c r="A292" s="6" t="s">
        <v>445</v>
      </c>
      <c r="B292" s="6" t="s">
        <v>446</v>
      </c>
      <c r="C292" s="6" t="s">
        <v>447</v>
      </c>
      <c r="D292" s="6" t="s">
        <v>165</v>
      </c>
      <c r="E292" s="7" t="s">
        <v>23</v>
      </c>
      <c r="F292" s="6">
        <v>85233</v>
      </c>
      <c r="G292" s="6" t="s">
        <v>24</v>
      </c>
      <c r="H292" s="6" t="s">
        <v>25</v>
      </c>
      <c r="I292" s="6" t="s">
        <v>26</v>
      </c>
      <c r="J292" s="6" t="b">
        <v>0</v>
      </c>
      <c r="K292" s="6" t="s">
        <v>27</v>
      </c>
      <c r="L292" s="6">
        <v>41.2</v>
      </c>
      <c r="M292" s="6">
        <v>149.35</v>
      </c>
      <c r="N292" s="8" t="str">
        <f t="shared" si="28"/>
        <v>0</v>
      </c>
      <c r="O292" s="8">
        <f t="shared" si="29"/>
        <v>1833.3999999999999</v>
      </c>
      <c r="P292" s="8">
        <f t="shared" si="30"/>
        <v>1833.3999999999999</v>
      </c>
      <c r="Q292" s="8">
        <f t="shared" si="31"/>
        <v>0</v>
      </c>
      <c r="R292" s="9">
        <f t="shared" si="32"/>
        <v>1833.3999999999999</v>
      </c>
      <c r="S292" s="10">
        <f t="shared" si="33"/>
        <v>152.78333333333333</v>
      </c>
      <c r="T292">
        <v>165</v>
      </c>
      <c r="U292">
        <f t="shared" si="34"/>
        <v>15.650000000000006</v>
      </c>
    </row>
    <row r="293" spans="1:21" ht="14.25" customHeight="1" x14ac:dyDescent="0.35">
      <c r="A293" s="6" t="s">
        <v>448</v>
      </c>
      <c r="B293" s="6" t="s">
        <v>449</v>
      </c>
      <c r="C293" s="6" t="s">
        <v>450</v>
      </c>
      <c r="D293" s="6" t="s">
        <v>31</v>
      </c>
      <c r="E293" s="7" t="s">
        <v>23</v>
      </c>
      <c r="F293" s="6">
        <v>85254</v>
      </c>
      <c r="G293" s="6" t="s">
        <v>45</v>
      </c>
      <c r="H293" s="6" t="s">
        <v>169</v>
      </c>
      <c r="I293" s="6" t="s">
        <v>26</v>
      </c>
      <c r="J293" s="6" t="b">
        <v>1</v>
      </c>
      <c r="K293" s="6" t="s">
        <v>27</v>
      </c>
      <c r="L293" s="6">
        <v>41.2</v>
      </c>
      <c r="M293" s="6">
        <v>149.35</v>
      </c>
      <c r="N293" s="8">
        <f t="shared" si="28"/>
        <v>76.679999999999993</v>
      </c>
      <c r="O293" s="8">
        <f t="shared" si="29"/>
        <v>1910.08</v>
      </c>
      <c r="P293" s="8">
        <f t="shared" si="30"/>
        <v>1910.08</v>
      </c>
      <c r="Q293" s="8">
        <f t="shared" si="31"/>
        <v>0</v>
      </c>
      <c r="R293" s="9">
        <f t="shared" si="32"/>
        <v>1910.08</v>
      </c>
      <c r="S293" s="10">
        <f t="shared" si="33"/>
        <v>159.17333333333332</v>
      </c>
      <c r="T293">
        <v>165</v>
      </c>
      <c r="U293">
        <f t="shared" si="34"/>
        <v>15.650000000000006</v>
      </c>
    </row>
    <row r="294" spans="1:21" ht="14.25" customHeight="1" x14ac:dyDescent="0.35">
      <c r="A294" s="6" t="s">
        <v>451</v>
      </c>
      <c r="B294" s="6" t="s">
        <v>452</v>
      </c>
      <c r="C294" s="6" t="s">
        <v>453</v>
      </c>
      <c r="D294" s="6" t="s">
        <v>454</v>
      </c>
      <c r="E294" s="7" t="s">
        <v>23</v>
      </c>
      <c r="F294" s="6">
        <v>85338</v>
      </c>
      <c r="G294" s="6" t="s">
        <v>38</v>
      </c>
      <c r="H294" s="6" t="s">
        <v>378</v>
      </c>
      <c r="I294" s="6" t="s">
        <v>57</v>
      </c>
      <c r="J294" s="6" t="b">
        <v>1</v>
      </c>
      <c r="K294" s="6" t="s">
        <v>27</v>
      </c>
      <c r="L294" s="6">
        <v>41.2</v>
      </c>
      <c r="M294" s="6">
        <v>149.35</v>
      </c>
      <c r="N294" s="8">
        <f t="shared" si="28"/>
        <v>76.679999999999993</v>
      </c>
      <c r="O294" s="8">
        <f t="shared" si="29"/>
        <v>1910.08</v>
      </c>
      <c r="P294" s="8">
        <f t="shared" si="30"/>
        <v>1910.08</v>
      </c>
      <c r="Q294" s="8">
        <f t="shared" si="31"/>
        <v>0</v>
      </c>
      <c r="R294" s="9">
        <f t="shared" si="32"/>
        <v>1910.08</v>
      </c>
      <c r="S294" s="10">
        <f t="shared" si="33"/>
        <v>159.17333333333332</v>
      </c>
      <c r="T294">
        <v>165</v>
      </c>
      <c r="U294">
        <f t="shared" si="34"/>
        <v>15.650000000000006</v>
      </c>
    </row>
    <row r="295" spans="1:21" ht="14.25" customHeight="1" x14ac:dyDescent="0.35">
      <c r="A295" s="6" t="s">
        <v>455</v>
      </c>
      <c r="B295" s="6" t="s">
        <v>456</v>
      </c>
      <c r="C295" s="6" t="s">
        <v>457</v>
      </c>
      <c r="D295" s="6" t="s">
        <v>165</v>
      </c>
      <c r="E295" s="7" t="s">
        <v>23</v>
      </c>
      <c r="F295" s="6">
        <v>85234</v>
      </c>
      <c r="G295" s="6" t="s">
        <v>125</v>
      </c>
      <c r="H295" s="6" t="s">
        <v>126</v>
      </c>
      <c r="I295" s="6" t="s">
        <v>26</v>
      </c>
      <c r="J295" s="6" t="b">
        <v>1</v>
      </c>
      <c r="K295" s="6" t="s">
        <v>27</v>
      </c>
      <c r="L295" s="6">
        <v>41.2</v>
      </c>
      <c r="M295" s="6">
        <v>149.35</v>
      </c>
      <c r="N295" s="8">
        <f t="shared" si="28"/>
        <v>76.679999999999993</v>
      </c>
      <c r="O295" s="8">
        <f t="shared" si="29"/>
        <v>1910.08</v>
      </c>
      <c r="P295" s="8">
        <f t="shared" si="30"/>
        <v>1910.08</v>
      </c>
      <c r="Q295" s="8">
        <f t="shared" si="31"/>
        <v>0</v>
      </c>
      <c r="R295" s="9">
        <f t="shared" si="32"/>
        <v>1910.08</v>
      </c>
      <c r="S295" s="10">
        <f t="shared" si="33"/>
        <v>159.17333333333332</v>
      </c>
      <c r="T295">
        <v>165</v>
      </c>
      <c r="U295">
        <f t="shared" si="34"/>
        <v>15.650000000000006</v>
      </c>
    </row>
    <row r="296" spans="1:21" ht="14.25" customHeight="1" x14ac:dyDescent="0.35">
      <c r="A296" s="6" t="s">
        <v>458</v>
      </c>
      <c r="B296" s="6" t="s">
        <v>459</v>
      </c>
      <c r="C296" s="6" t="s">
        <v>460</v>
      </c>
      <c r="D296" s="6" t="s">
        <v>65</v>
      </c>
      <c r="E296" s="7" t="s">
        <v>23</v>
      </c>
      <c r="F296" s="6">
        <v>85213</v>
      </c>
      <c r="G296" s="6" t="s">
        <v>66</v>
      </c>
      <c r="H296" s="6" t="s">
        <v>67</v>
      </c>
      <c r="I296" s="6" t="s">
        <v>26</v>
      </c>
      <c r="J296" s="6" t="b">
        <v>1</v>
      </c>
      <c r="K296" s="6" t="s">
        <v>27</v>
      </c>
      <c r="L296" s="6">
        <v>41.2</v>
      </c>
      <c r="M296" s="6">
        <v>149.35</v>
      </c>
      <c r="N296" s="8">
        <f t="shared" si="28"/>
        <v>76.679999999999993</v>
      </c>
      <c r="O296" s="8">
        <f t="shared" si="29"/>
        <v>1910.08</v>
      </c>
      <c r="P296" s="8">
        <f t="shared" si="30"/>
        <v>1910.08</v>
      </c>
      <c r="Q296" s="8">
        <f t="shared" si="31"/>
        <v>0</v>
      </c>
      <c r="R296" s="9">
        <f t="shared" si="32"/>
        <v>1910.08</v>
      </c>
      <c r="S296" s="10">
        <f t="shared" si="33"/>
        <v>159.17333333333332</v>
      </c>
      <c r="T296">
        <v>165</v>
      </c>
      <c r="U296">
        <f t="shared" si="34"/>
        <v>15.650000000000006</v>
      </c>
    </row>
    <row r="297" spans="1:21" ht="14.25" customHeight="1" x14ac:dyDescent="0.35">
      <c r="A297" s="6" t="s">
        <v>1041</v>
      </c>
      <c r="B297" s="6" t="s">
        <v>1042</v>
      </c>
      <c r="C297" s="6" t="s">
        <v>1043</v>
      </c>
      <c r="D297" s="6" t="s">
        <v>98</v>
      </c>
      <c r="E297" s="7" t="s">
        <v>23</v>
      </c>
      <c r="F297" s="6">
        <v>85122</v>
      </c>
      <c r="G297" s="6" t="s">
        <v>87</v>
      </c>
      <c r="H297" s="6" t="s">
        <v>88</v>
      </c>
      <c r="I297" s="6" t="s">
        <v>61</v>
      </c>
      <c r="J297" s="6" t="b">
        <v>1</v>
      </c>
      <c r="K297" s="6" t="s">
        <v>27</v>
      </c>
      <c r="L297" s="6">
        <v>0</v>
      </c>
      <c r="M297" s="6">
        <v>149.35</v>
      </c>
      <c r="N297" s="8">
        <f t="shared" si="28"/>
        <v>76.679999999999993</v>
      </c>
      <c r="O297" s="8">
        <f t="shared" si="29"/>
        <v>1868.8799999999999</v>
      </c>
      <c r="P297" s="8">
        <f t="shared" si="30"/>
        <v>1868.8799999999999</v>
      </c>
      <c r="Q297" s="8">
        <f t="shared" si="31"/>
        <v>0</v>
      </c>
      <c r="R297" s="9">
        <f t="shared" si="32"/>
        <v>1868.8799999999999</v>
      </c>
      <c r="S297" s="10">
        <f t="shared" si="33"/>
        <v>155.73999999999998</v>
      </c>
      <c r="T297">
        <v>165</v>
      </c>
      <c r="U297">
        <f t="shared" si="34"/>
        <v>15.650000000000006</v>
      </c>
    </row>
    <row r="298" spans="1:21" ht="14.25" customHeight="1" x14ac:dyDescent="0.35">
      <c r="A298" s="6" t="s">
        <v>1165</v>
      </c>
      <c r="B298" s="6" t="s">
        <v>1166</v>
      </c>
      <c r="C298" s="6" t="s">
        <v>1167</v>
      </c>
      <c r="D298" s="6" t="s">
        <v>22</v>
      </c>
      <c r="E298" s="7" t="s">
        <v>23</v>
      </c>
      <c r="F298" s="6">
        <v>85226</v>
      </c>
      <c r="G298" s="6" t="s">
        <v>24</v>
      </c>
      <c r="H298" s="6" t="s">
        <v>25</v>
      </c>
      <c r="I298" s="6" t="s">
        <v>26</v>
      </c>
      <c r="J298" s="6" t="b">
        <v>1</v>
      </c>
      <c r="K298" s="6" t="s">
        <v>27</v>
      </c>
      <c r="L298" s="6">
        <v>41.2</v>
      </c>
      <c r="M298" s="6">
        <v>149.35</v>
      </c>
      <c r="N298" s="8">
        <f t="shared" si="28"/>
        <v>76.679999999999993</v>
      </c>
      <c r="O298" s="8">
        <f t="shared" si="29"/>
        <v>1910.08</v>
      </c>
      <c r="P298" s="8">
        <f t="shared" si="30"/>
        <v>1910.08</v>
      </c>
      <c r="Q298" s="8">
        <f t="shared" si="31"/>
        <v>0</v>
      </c>
      <c r="R298" s="9">
        <f t="shared" si="32"/>
        <v>1910.08</v>
      </c>
      <c r="S298" s="10">
        <f t="shared" si="33"/>
        <v>159.17333333333332</v>
      </c>
      <c r="T298">
        <v>165</v>
      </c>
      <c r="U298">
        <f t="shared" si="34"/>
        <v>15.650000000000006</v>
      </c>
    </row>
    <row r="299" spans="1:21" ht="14.25" customHeight="1" x14ac:dyDescent="0.35">
      <c r="A299" s="6" t="s">
        <v>1168</v>
      </c>
      <c r="B299" s="6" t="s">
        <v>1169</v>
      </c>
      <c r="C299" s="6" t="s">
        <v>1170</v>
      </c>
      <c r="D299" s="6" t="s">
        <v>165</v>
      </c>
      <c r="E299" s="7" t="s">
        <v>23</v>
      </c>
      <c r="F299" s="6">
        <v>85233</v>
      </c>
      <c r="G299" s="6" t="s">
        <v>24</v>
      </c>
      <c r="H299" s="6" t="s">
        <v>25</v>
      </c>
      <c r="I299" s="6" t="s">
        <v>26</v>
      </c>
      <c r="J299" s="6" t="b">
        <v>1</v>
      </c>
      <c r="K299" s="6" t="s">
        <v>27</v>
      </c>
      <c r="L299" s="6">
        <v>41.2</v>
      </c>
      <c r="M299" s="6">
        <v>149.35</v>
      </c>
      <c r="N299" s="8">
        <f t="shared" si="28"/>
        <v>76.679999999999993</v>
      </c>
      <c r="O299" s="8">
        <f t="shared" si="29"/>
        <v>1910.08</v>
      </c>
      <c r="P299" s="8">
        <f t="shared" si="30"/>
        <v>1910.08</v>
      </c>
      <c r="Q299" s="8">
        <f t="shared" si="31"/>
        <v>0</v>
      </c>
      <c r="R299" s="9">
        <f t="shared" si="32"/>
        <v>1910.08</v>
      </c>
      <c r="S299" s="10">
        <f t="shared" si="33"/>
        <v>159.17333333333332</v>
      </c>
      <c r="T299">
        <v>165</v>
      </c>
      <c r="U299">
        <f t="shared" si="34"/>
        <v>15.650000000000006</v>
      </c>
    </row>
    <row r="300" spans="1:21" ht="14.25" customHeight="1" x14ac:dyDescent="0.35">
      <c r="A300" s="6" t="s">
        <v>1171</v>
      </c>
      <c r="B300" s="6" t="s">
        <v>1172</v>
      </c>
      <c r="C300" s="6" t="s">
        <v>1173</v>
      </c>
      <c r="D300" s="6" t="s">
        <v>44</v>
      </c>
      <c r="E300" s="7" t="s">
        <v>23</v>
      </c>
      <c r="F300" s="6">
        <v>85048</v>
      </c>
      <c r="G300" s="6" t="s">
        <v>24</v>
      </c>
      <c r="H300" s="6" t="s">
        <v>161</v>
      </c>
      <c r="I300" s="6" t="s">
        <v>26</v>
      </c>
      <c r="J300" s="6" t="b">
        <v>1</v>
      </c>
      <c r="K300" s="6" t="s">
        <v>27</v>
      </c>
      <c r="L300" s="6">
        <v>41.2</v>
      </c>
      <c r="M300" s="6">
        <v>149.35</v>
      </c>
      <c r="N300" s="8">
        <f t="shared" si="28"/>
        <v>76.679999999999993</v>
      </c>
      <c r="O300" s="8">
        <f t="shared" si="29"/>
        <v>1910.08</v>
      </c>
      <c r="P300" s="8">
        <f t="shared" si="30"/>
        <v>1910.08</v>
      </c>
      <c r="Q300" s="8">
        <f t="shared" si="31"/>
        <v>0</v>
      </c>
      <c r="R300" s="9">
        <f t="shared" si="32"/>
        <v>1910.08</v>
      </c>
      <c r="S300" s="10">
        <f t="shared" si="33"/>
        <v>159.17333333333332</v>
      </c>
      <c r="T300">
        <v>165</v>
      </c>
      <c r="U300">
        <f t="shared" si="34"/>
        <v>15.650000000000006</v>
      </c>
    </row>
    <row r="301" spans="1:21" ht="14.25" customHeight="1" x14ac:dyDescent="0.35">
      <c r="A301" s="6" t="s">
        <v>1174</v>
      </c>
      <c r="B301" s="6" t="s">
        <v>1175</v>
      </c>
      <c r="C301" s="6" t="s">
        <v>1176</v>
      </c>
      <c r="D301" s="6" t="s">
        <v>818</v>
      </c>
      <c r="E301" s="7" t="s">
        <v>23</v>
      </c>
      <c r="F301" s="6">
        <v>85340</v>
      </c>
      <c r="G301" s="6" t="s">
        <v>38</v>
      </c>
      <c r="H301" s="6" t="s">
        <v>378</v>
      </c>
      <c r="I301" s="6" t="s">
        <v>110</v>
      </c>
      <c r="J301" s="6" t="b">
        <v>1</v>
      </c>
      <c r="K301" s="6" t="s">
        <v>27</v>
      </c>
      <c r="L301" s="6">
        <v>41.2</v>
      </c>
      <c r="M301" s="6">
        <v>149.35</v>
      </c>
      <c r="N301" s="8">
        <f t="shared" si="28"/>
        <v>76.679999999999993</v>
      </c>
      <c r="O301" s="8">
        <f t="shared" si="29"/>
        <v>1910.08</v>
      </c>
      <c r="P301" s="8">
        <f t="shared" si="30"/>
        <v>1910.08</v>
      </c>
      <c r="Q301" s="8">
        <f t="shared" si="31"/>
        <v>0</v>
      </c>
      <c r="R301" s="9">
        <f t="shared" si="32"/>
        <v>1910.08</v>
      </c>
      <c r="S301" s="10">
        <f t="shared" si="33"/>
        <v>159.17333333333332</v>
      </c>
      <c r="T301">
        <v>165</v>
      </c>
      <c r="U301">
        <f t="shared" si="34"/>
        <v>15.650000000000006</v>
      </c>
    </row>
    <row r="302" spans="1:21" ht="14.25" customHeight="1" x14ac:dyDescent="0.35">
      <c r="A302" s="6" t="s">
        <v>1177</v>
      </c>
      <c r="B302" s="6" t="s">
        <v>1178</v>
      </c>
      <c r="C302" s="6" t="s">
        <v>1179</v>
      </c>
      <c r="D302" s="6" t="s">
        <v>22</v>
      </c>
      <c r="E302" s="7" t="s">
        <v>23</v>
      </c>
      <c r="F302" s="6">
        <v>85225</v>
      </c>
      <c r="G302" s="6" t="s">
        <v>24</v>
      </c>
      <c r="H302" s="6" t="s">
        <v>25</v>
      </c>
      <c r="I302" s="6" t="s">
        <v>26</v>
      </c>
      <c r="J302" s="6" t="b">
        <v>1</v>
      </c>
      <c r="K302" s="6" t="s">
        <v>27</v>
      </c>
      <c r="L302" s="6">
        <v>41.2</v>
      </c>
      <c r="M302" s="6">
        <v>149.35</v>
      </c>
      <c r="N302" s="8">
        <f t="shared" si="28"/>
        <v>76.679999999999993</v>
      </c>
      <c r="O302" s="8">
        <f t="shared" si="29"/>
        <v>1910.08</v>
      </c>
      <c r="P302" s="8">
        <f t="shared" si="30"/>
        <v>1910.08</v>
      </c>
      <c r="Q302" s="8">
        <f t="shared" si="31"/>
        <v>0</v>
      </c>
      <c r="R302" s="9">
        <f t="shared" si="32"/>
        <v>1910.08</v>
      </c>
      <c r="S302" s="10">
        <f t="shared" si="33"/>
        <v>159.17333333333332</v>
      </c>
      <c r="T302">
        <v>165</v>
      </c>
      <c r="U302">
        <f t="shared" si="34"/>
        <v>15.650000000000006</v>
      </c>
    </row>
    <row r="303" spans="1:21" ht="14.25" customHeight="1" x14ac:dyDescent="0.35">
      <c r="A303" s="6" t="s">
        <v>1180</v>
      </c>
      <c r="B303" s="6" t="s">
        <v>1181</v>
      </c>
      <c r="C303" s="6" t="s">
        <v>1182</v>
      </c>
      <c r="D303" s="6" t="s">
        <v>44</v>
      </c>
      <c r="E303" s="7" t="s">
        <v>23</v>
      </c>
      <c r="F303" s="6">
        <v>85040</v>
      </c>
      <c r="G303" s="6" t="s">
        <v>213</v>
      </c>
      <c r="H303" s="6" t="s">
        <v>39</v>
      </c>
      <c r="I303" s="6" t="s">
        <v>26</v>
      </c>
      <c r="J303" s="6" t="b">
        <v>1</v>
      </c>
      <c r="K303" s="6" t="s">
        <v>27</v>
      </c>
      <c r="L303" s="6">
        <v>41.2</v>
      </c>
      <c r="M303" s="6">
        <v>149.35</v>
      </c>
      <c r="N303" s="8">
        <f t="shared" si="28"/>
        <v>76.679999999999993</v>
      </c>
      <c r="O303" s="8">
        <f t="shared" si="29"/>
        <v>1910.08</v>
      </c>
      <c r="P303" s="8">
        <f t="shared" si="30"/>
        <v>1910.08</v>
      </c>
      <c r="Q303" s="8">
        <f t="shared" si="31"/>
        <v>0</v>
      </c>
      <c r="R303" s="9">
        <f t="shared" si="32"/>
        <v>1910.08</v>
      </c>
      <c r="S303" s="10">
        <f t="shared" si="33"/>
        <v>159.17333333333332</v>
      </c>
      <c r="T303">
        <v>165</v>
      </c>
      <c r="U303">
        <f t="shared" si="34"/>
        <v>15.650000000000006</v>
      </c>
    </row>
    <row r="304" spans="1:21" ht="14.25" customHeight="1" x14ac:dyDescent="0.35">
      <c r="A304" s="6" t="s">
        <v>1183</v>
      </c>
      <c r="B304" s="6" t="s">
        <v>1184</v>
      </c>
      <c r="C304" s="6" t="s">
        <v>1185</v>
      </c>
      <c r="D304" s="6" t="s">
        <v>22</v>
      </c>
      <c r="E304" s="7" t="s">
        <v>23</v>
      </c>
      <c r="F304" s="6">
        <v>85286</v>
      </c>
      <c r="G304" s="6" t="s">
        <v>125</v>
      </c>
      <c r="H304" s="6" t="s">
        <v>126</v>
      </c>
      <c r="I304" s="6" t="s">
        <v>26</v>
      </c>
      <c r="J304" s="6" t="b">
        <v>1</v>
      </c>
      <c r="K304" s="6" t="s">
        <v>27</v>
      </c>
      <c r="L304" s="6">
        <v>41.2</v>
      </c>
      <c r="M304" s="6">
        <v>149.35</v>
      </c>
      <c r="N304" s="8">
        <f t="shared" si="28"/>
        <v>76.679999999999993</v>
      </c>
      <c r="O304" s="8">
        <f t="shared" si="29"/>
        <v>1910.08</v>
      </c>
      <c r="P304" s="8">
        <f t="shared" si="30"/>
        <v>1910.08</v>
      </c>
      <c r="Q304" s="8">
        <f t="shared" si="31"/>
        <v>0</v>
      </c>
      <c r="R304" s="9">
        <f t="shared" si="32"/>
        <v>1910.08</v>
      </c>
      <c r="S304" s="10">
        <f t="shared" si="33"/>
        <v>159.17333333333332</v>
      </c>
      <c r="T304">
        <v>165</v>
      </c>
      <c r="U304">
        <f t="shared" si="34"/>
        <v>15.650000000000006</v>
      </c>
    </row>
    <row r="305" spans="1:21" ht="14.25" customHeight="1" x14ac:dyDescent="0.35">
      <c r="A305" s="6" t="s">
        <v>1186</v>
      </c>
      <c r="B305" s="6" t="s">
        <v>1187</v>
      </c>
      <c r="C305" s="6" t="s">
        <v>1188</v>
      </c>
      <c r="D305" s="6" t="s">
        <v>31</v>
      </c>
      <c r="E305" s="7" t="s">
        <v>23</v>
      </c>
      <c r="F305" s="6">
        <v>85258</v>
      </c>
      <c r="G305" s="6" t="s">
        <v>45</v>
      </c>
      <c r="H305" s="6" t="s">
        <v>50</v>
      </c>
      <c r="I305" s="6" t="s">
        <v>26</v>
      </c>
      <c r="J305" s="6" t="b">
        <v>1</v>
      </c>
      <c r="K305" s="6" t="s">
        <v>27</v>
      </c>
      <c r="L305" s="6">
        <v>41.2</v>
      </c>
      <c r="M305" s="6">
        <v>149.35</v>
      </c>
      <c r="N305" s="8">
        <f t="shared" si="28"/>
        <v>76.679999999999993</v>
      </c>
      <c r="O305" s="8">
        <f t="shared" si="29"/>
        <v>1910.08</v>
      </c>
      <c r="P305" s="8">
        <f t="shared" si="30"/>
        <v>1910.08</v>
      </c>
      <c r="Q305" s="8">
        <f t="shared" si="31"/>
        <v>0</v>
      </c>
      <c r="R305" s="9">
        <f t="shared" si="32"/>
        <v>1910.08</v>
      </c>
      <c r="S305" s="10">
        <f t="shared" si="33"/>
        <v>159.17333333333332</v>
      </c>
      <c r="T305">
        <v>165</v>
      </c>
      <c r="U305">
        <f t="shared" si="34"/>
        <v>15.650000000000006</v>
      </c>
    </row>
    <row r="306" spans="1:21" ht="14.25" customHeight="1" x14ac:dyDescent="0.35">
      <c r="A306" s="6" t="s">
        <v>1189</v>
      </c>
      <c r="B306" s="6" t="s">
        <v>1190</v>
      </c>
      <c r="C306" s="6" t="s">
        <v>1191</v>
      </c>
      <c r="D306" s="6" t="s">
        <v>44</v>
      </c>
      <c r="E306" s="7" t="s">
        <v>23</v>
      </c>
      <c r="F306" s="6">
        <v>85018</v>
      </c>
      <c r="G306" s="6" t="s">
        <v>49</v>
      </c>
      <c r="H306" s="6" t="s">
        <v>202</v>
      </c>
      <c r="I306" s="6" t="s">
        <v>26</v>
      </c>
      <c r="J306" s="6" t="b">
        <v>1</v>
      </c>
      <c r="K306" s="6" t="s">
        <v>27</v>
      </c>
      <c r="L306" s="6">
        <v>41.2</v>
      </c>
      <c r="M306" s="6">
        <v>149.35</v>
      </c>
      <c r="N306" s="8">
        <f t="shared" si="28"/>
        <v>76.679999999999993</v>
      </c>
      <c r="O306" s="8">
        <f t="shared" si="29"/>
        <v>1910.08</v>
      </c>
      <c r="P306" s="8">
        <f t="shared" si="30"/>
        <v>1910.08</v>
      </c>
      <c r="Q306" s="8">
        <f t="shared" si="31"/>
        <v>0</v>
      </c>
      <c r="R306" s="9">
        <f t="shared" si="32"/>
        <v>1910.08</v>
      </c>
      <c r="S306" s="10">
        <f t="shared" si="33"/>
        <v>159.17333333333332</v>
      </c>
      <c r="T306">
        <v>165</v>
      </c>
      <c r="U306">
        <f t="shared" si="34"/>
        <v>15.650000000000006</v>
      </c>
    </row>
    <row r="307" spans="1:21" ht="14.25" customHeight="1" x14ac:dyDescent="0.35">
      <c r="A307" s="6" t="s">
        <v>1192</v>
      </c>
      <c r="B307" s="6" t="s">
        <v>1193</v>
      </c>
      <c r="C307" s="6" t="s">
        <v>1194</v>
      </c>
      <c r="D307" s="6" t="s">
        <v>77</v>
      </c>
      <c r="E307" s="7" t="s">
        <v>23</v>
      </c>
      <c r="F307" s="6">
        <v>85308</v>
      </c>
      <c r="G307" s="6" t="s">
        <v>78</v>
      </c>
      <c r="H307" s="6" t="s">
        <v>79</v>
      </c>
      <c r="I307" s="6" t="s">
        <v>110</v>
      </c>
      <c r="J307" s="6" t="b">
        <v>1</v>
      </c>
      <c r="K307" s="6" t="s">
        <v>27</v>
      </c>
      <c r="L307" s="6">
        <v>41.2</v>
      </c>
      <c r="M307" s="6">
        <v>149.35</v>
      </c>
      <c r="N307" s="8">
        <f t="shared" si="28"/>
        <v>76.679999999999993</v>
      </c>
      <c r="O307" s="8">
        <f t="shared" si="29"/>
        <v>1910.08</v>
      </c>
      <c r="P307" s="8">
        <f t="shared" si="30"/>
        <v>1910.08</v>
      </c>
      <c r="Q307" s="8">
        <f t="shared" si="31"/>
        <v>0</v>
      </c>
      <c r="R307" s="9">
        <f t="shared" si="32"/>
        <v>1910.08</v>
      </c>
      <c r="S307" s="10">
        <f t="shared" si="33"/>
        <v>159.17333333333332</v>
      </c>
      <c r="T307">
        <v>165</v>
      </c>
      <c r="U307">
        <f t="shared" si="34"/>
        <v>15.650000000000006</v>
      </c>
    </row>
    <row r="308" spans="1:21" ht="14.25" customHeight="1" x14ac:dyDescent="0.35">
      <c r="A308" s="6" t="s">
        <v>1195</v>
      </c>
      <c r="B308" s="6" t="s">
        <v>1196</v>
      </c>
      <c r="C308" s="6" t="s">
        <v>1197</v>
      </c>
      <c r="D308" s="6" t="s">
        <v>31</v>
      </c>
      <c r="E308" s="7" t="s">
        <v>23</v>
      </c>
      <c r="F308" s="6">
        <v>85262</v>
      </c>
      <c r="G308" s="6" t="s">
        <v>32</v>
      </c>
      <c r="H308" s="6" t="s">
        <v>33</v>
      </c>
      <c r="I308" s="6" t="s">
        <v>26</v>
      </c>
      <c r="J308" s="6" t="b">
        <v>1</v>
      </c>
      <c r="K308" s="6" t="s">
        <v>27</v>
      </c>
      <c r="L308" s="6">
        <v>41.2</v>
      </c>
      <c r="M308" s="6">
        <v>149.35</v>
      </c>
      <c r="N308" s="8">
        <f t="shared" si="28"/>
        <v>76.679999999999993</v>
      </c>
      <c r="O308" s="8">
        <f t="shared" si="29"/>
        <v>1910.08</v>
      </c>
      <c r="P308" s="8">
        <f t="shared" si="30"/>
        <v>1910.08</v>
      </c>
      <c r="Q308" s="8">
        <f t="shared" si="31"/>
        <v>0</v>
      </c>
      <c r="R308" s="9">
        <f t="shared" si="32"/>
        <v>1910.08</v>
      </c>
      <c r="S308" s="10">
        <f t="shared" si="33"/>
        <v>159.17333333333332</v>
      </c>
      <c r="T308">
        <v>165</v>
      </c>
      <c r="U308">
        <f t="shared" si="34"/>
        <v>15.650000000000006</v>
      </c>
    </row>
    <row r="309" spans="1:21" ht="14.25" customHeight="1" x14ac:dyDescent="0.35">
      <c r="A309" s="6" t="s">
        <v>1198</v>
      </c>
      <c r="B309" s="6" t="s">
        <v>1199</v>
      </c>
      <c r="C309" s="6" t="s">
        <v>1200</v>
      </c>
      <c r="D309" s="6" t="s">
        <v>44</v>
      </c>
      <c r="E309" s="7" t="s">
        <v>23</v>
      </c>
      <c r="F309" s="6">
        <v>85045</v>
      </c>
      <c r="G309" s="6" t="s">
        <v>24</v>
      </c>
      <c r="H309" s="6" t="s">
        <v>161</v>
      </c>
      <c r="I309" s="6" t="s">
        <v>26</v>
      </c>
      <c r="J309" s="6" t="b">
        <v>1</v>
      </c>
      <c r="K309" s="6" t="s">
        <v>27</v>
      </c>
      <c r="L309" s="6">
        <v>41.2</v>
      </c>
      <c r="M309" s="6">
        <v>149.35</v>
      </c>
      <c r="N309" s="8">
        <f t="shared" si="28"/>
        <v>76.679999999999993</v>
      </c>
      <c r="O309" s="8">
        <f t="shared" si="29"/>
        <v>1910.08</v>
      </c>
      <c r="P309" s="8">
        <f t="shared" si="30"/>
        <v>1910.08</v>
      </c>
      <c r="Q309" s="8">
        <f t="shared" si="31"/>
        <v>0</v>
      </c>
      <c r="R309" s="9">
        <f t="shared" si="32"/>
        <v>1910.08</v>
      </c>
      <c r="S309" s="10">
        <f t="shared" si="33"/>
        <v>159.17333333333332</v>
      </c>
      <c r="T309">
        <v>165</v>
      </c>
      <c r="U309">
        <f t="shared" si="34"/>
        <v>15.650000000000006</v>
      </c>
    </row>
    <row r="310" spans="1:21" ht="14.25" customHeight="1" x14ac:dyDescent="0.35">
      <c r="A310" s="6" t="s">
        <v>1201</v>
      </c>
      <c r="B310" s="6" t="s">
        <v>1202</v>
      </c>
      <c r="C310" s="6" t="s">
        <v>1203</v>
      </c>
      <c r="D310" s="6" t="s">
        <v>363</v>
      </c>
      <c r="E310" s="7" t="s">
        <v>23</v>
      </c>
      <c r="F310" s="6">
        <v>85282</v>
      </c>
      <c r="G310" s="6" t="s">
        <v>364</v>
      </c>
      <c r="H310" s="6" t="s">
        <v>365</v>
      </c>
      <c r="I310" s="6" t="s">
        <v>26</v>
      </c>
      <c r="J310" s="6" t="b">
        <v>1</v>
      </c>
      <c r="K310" s="6" t="s">
        <v>27</v>
      </c>
      <c r="L310" s="6">
        <v>41.2</v>
      </c>
      <c r="M310" s="6">
        <v>149.35</v>
      </c>
      <c r="N310" s="8">
        <f t="shared" si="28"/>
        <v>76.679999999999993</v>
      </c>
      <c r="O310" s="8">
        <f t="shared" si="29"/>
        <v>1910.08</v>
      </c>
      <c r="P310" s="8">
        <f t="shared" si="30"/>
        <v>1910.08</v>
      </c>
      <c r="Q310" s="8">
        <f t="shared" si="31"/>
        <v>0</v>
      </c>
      <c r="R310" s="9">
        <f t="shared" si="32"/>
        <v>1910.08</v>
      </c>
      <c r="S310" s="10">
        <f t="shared" si="33"/>
        <v>159.17333333333332</v>
      </c>
      <c r="T310">
        <v>165</v>
      </c>
      <c r="U310">
        <f t="shared" si="34"/>
        <v>15.650000000000006</v>
      </c>
    </row>
    <row r="311" spans="1:21" ht="14.25" customHeight="1" x14ac:dyDescent="0.35">
      <c r="A311" s="6" t="s">
        <v>1204</v>
      </c>
      <c r="B311" s="6" t="s">
        <v>1205</v>
      </c>
      <c r="C311" s="6" t="s">
        <v>1206</v>
      </c>
      <c r="D311" s="6" t="s">
        <v>1207</v>
      </c>
      <c r="E311" s="7" t="s">
        <v>23</v>
      </c>
      <c r="F311" s="6">
        <v>85118</v>
      </c>
      <c r="G311" s="6" t="s">
        <v>66</v>
      </c>
      <c r="H311" s="6" t="s">
        <v>67</v>
      </c>
      <c r="I311" s="6" t="s">
        <v>26</v>
      </c>
      <c r="J311" s="6" t="b">
        <v>1</v>
      </c>
      <c r="K311" s="6" t="s">
        <v>27</v>
      </c>
      <c r="L311" s="6">
        <v>41.2</v>
      </c>
      <c r="M311" s="6">
        <v>149.35</v>
      </c>
      <c r="N311" s="8">
        <f t="shared" si="28"/>
        <v>76.679999999999993</v>
      </c>
      <c r="O311" s="8">
        <f t="shared" si="29"/>
        <v>1910.08</v>
      </c>
      <c r="P311" s="8">
        <f t="shared" si="30"/>
        <v>1910.08</v>
      </c>
      <c r="Q311" s="8">
        <f t="shared" si="31"/>
        <v>0</v>
      </c>
      <c r="R311" s="9">
        <f t="shared" si="32"/>
        <v>1910.08</v>
      </c>
      <c r="S311" s="10">
        <f t="shared" si="33"/>
        <v>159.17333333333332</v>
      </c>
      <c r="T311">
        <v>165</v>
      </c>
      <c r="U311">
        <f t="shared" si="34"/>
        <v>15.650000000000006</v>
      </c>
    </row>
    <row r="312" spans="1:21" ht="14.25" customHeight="1" x14ac:dyDescent="0.35">
      <c r="A312" s="6" t="s">
        <v>1208</v>
      </c>
      <c r="B312" s="6" t="s">
        <v>1209</v>
      </c>
      <c r="C312" s="6" t="s">
        <v>1210</v>
      </c>
      <c r="D312" s="6" t="s">
        <v>818</v>
      </c>
      <c r="E312" s="7" t="s">
        <v>23</v>
      </c>
      <c r="F312" s="6">
        <v>85340</v>
      </c>
      <c r="G312" s="6" t="s">
        <v>38</v>
      </c>
      <c r="H312" s="6" t="s">
        <v>378</v>
      </c>
      <c r="I312" s="6" t="s">
        <v>110</v>
      </c>
      <c r="J312" s="6" t="b">
        <v>1</v>
      </c>
      <c r="K312" s="6" t="s">
        <v>27</v>
      </c>
      <c r="L312" s="6">
        <v>41.2</v>
      </c>
      <c r="M312" s="6">
        <v>149.35</v>
      </c>
      <c r="N312" s="8">
        <f t="shared" si="28"/>
        <v>76.679999999999993</v>
      </c>
      <c r="O312" s="8">
        <f t="shared" si="29"/>
        <v>1910.08</v>
      </c>
      <c r="P312" s="8">
        <f t="shared" si="30"/>
        <v>1910.08</v>
      </c>
      <c r="Q312" s="8">
        <f t="shared" si="31"/>
        <v>0</v>
      </c>
      <c r="R312" s="9">
        <f t="shared" si="32"/>
        <v>1910.08</v>
      </c>
      <c r="S312" s="10">
        <f t="shared" si="33"/>
        <v>159.17333333333332</v>
      </c>
      <c r="T312">
        <v>165</v>
      </c>
      <c r="U312">
        <f t="shared" si="34"/>
        <v>15.650000000000006</v>
      </c>
    </row>
    <row r="313" spans="1:21" ht="14.25" customHeight="1" x14ac:dyDescent="0.35">
      <c r="A313" s="6" t="s">
        <v>1211</v>
      </c>
      <c r="B313" s="6" t="s">
        <v>1212</v>
      </c>
      <c r="C313" s="6" t="s">
        <v>1213</v>
      </c>
      <c r="D313" s="6" t="s">
        <v>267</v>
      </c>
      <c r="E313" s="7" t="s">
        <v>23</v>
      </c>
      <c r="F313" s="6">
        <v>85388</v>
      </c>
      <c r="G313" s="6" t="s">
        <v>78</v>
      </c>
      <c r="H313" s="6" t="s">
        <v>281</v>
      </c>
      <c r="I313" s="6" t="s">
        <v>26</v>
      </c>
      <c r="J313" s="6" t="b">
        <v>1</v>
      </c>
      <c r="K313" s="6" t="s">
        <v>27</v>
      </c>
      <c r="L313" s="6">
        <v>41.2</v>
      </c>
      <c r="M313" s="6">
        <v>149.35</v>
      </c>
      <c r="N313" s="8">
        <f t="shared" si="28"/>
        <v>76.679999999999993</v>
      </c>
      <c r="O313" s="8">
        <f t="shared" si="29"/>
        <v>1910.08</v>
      </c>
      <c r="P313" s="8">
        <f t="shared" si="30"/>
        <v>1910.08</v>
      </c>
      <c r="Q313" s="8">
        <f t="shared" si="31"/>
        <v>0</v>
      </c>
      <c r="R313" s="9">
        <f t="shared" si="32"/>
        <v>1910.08</v>
      </c>
      <c r="S313" s="10">
        <f t="shared" si="33"/>
        <v>159.17333333333332</v>
      </c>
      <c r="T313">
        <v>165</v>
      </c>
      <c r="U313">
        <f t="shared" si="34"/>
        <v>15.650000000000006</v>
      </c>
    </row>
    <row r="314" spans="1:21" ht="14.25" customHeight="1" x14ac:dyDescent="0.35">
      <c r="A314" s="6" t="s">
        <v>1214</v>
      </c>
      <c r="B314" s="6" t="s">
        <v>1215</v>
      </c>
      <c r="C314" s="6" t="s">
        <v>1216</v>
      </c>
      <c r="D314" s="6" t="s">
        <v>454</v>
      </c>
      <c r="E314" s="7" t="s">
        <v>23</v>
      </c>
      <c r="F314" s="6">
        <v>85395</v>
      </c>
      <c r="G314" s="6" t="s">
        <v>38</v>
      </c>
      <c r="H314" s="6" t="s">
        <v>378</v>
      </c>
      <c r="I314" s="6" t="s">
        <v>110</v>
      </c>
      <c r="J314" s="6" t="b">
        <v>1</v>
      </c>
      <c r="K314" s="6" t="s">
        <v>27</v>
      </c>
      <c r="L314" s="6">
        <v>41.2</v>
      </c>
      <c r="M314" s="6">
        <v>149.35</v>
      </c>
      <c r="N314" s="8">
        <f t="shared" si="28"/>
        <v>76.679999999999993</v>
      </c>
      <c r="O314" s="8">
        <f t="shared" si="29"/>
        <v>1910.08</v>
      </c>
      <c r="P314" s="8">
        <f t="shared" si="30"/>
        <v>1910.08</v>
      </c>
      <c r="Q314" s="8">
        <f t="shared" si="31"/>
        <v>0</v>
      </c>
      <c r="R314" s="9">
        <f t="shared" si="32"/>
        <v>1910.08</v>
      </c>
      <c r="S314" s="10">
        <f t="shared" si="33"/>
        <v>159.17333333333332</v>
      </c>
      <c r="T314">
        <v>165</v>
      </c>
      <c r="U314">
        <f t="shared" si="34"/>
        <v>15.650000000000006</v>
      </c>
    </row>
    <row r="315" spans="1:21" ht="14.25" customHeight="1" x14ac:dyDescent="0.35">
      <c r="A315" s="6" t="s">
        <v>1217</v>
      </c>
      <c r="B315" s="6" t="s">
        <v>1218</v>
      </c>
      <c r="C315" s="6" t="s">
        <v>1219</v>
      </c>
      <c r="D315" s="6" t="s">
        <v>44</v>
      </c>
      <c r="E315" s="7" t="s">
        <v>23</v>
      </c>
      <c r="F315" s="6">
        <v>85041</v>
      </c>
      <c r="G315" s="6" t="s">
        <v>213</v>
      </c>
      <c r="H315" s="6" t="s">
        <v>39</v>
      </c>
      <c r="I315" s="6" t="s">
        <v>61</v>
      </c>
      <c r="J315" s="6" t="b">
        <v>1</v>
      </c>
      <c r="K315" s="6" t="s">
        <v>27</v>
      </c>
      <c r="L315" s="6">
        <v>41.2</v>
      </c>
      <c r="M315" s="6">
        <v>149.35</v>
      </c>
      <c r="N315" s="8">
        <f t="shared" si="28"/>
        <v>76.679999999999993</v>
      </c>
      <c r="O315" s="8">
        <f t="shared" si="29"/>
        <v>1910.08</v>
      </c>
      <c r="P315" s="8">
        <f t="shared" si="30"/>
        <v>1910.08</v>
      </c>
      <c r="Q315" s="8">
        <f t="shared" si="31"/>
        <v>0</v>
      </c>
      <c r="R315" s="9">
        <f t="shared" si="32"/>
        <v>1910.08</v>
      </c>
      <c r="S315" s="10">
        <f t="shared" si="33"/>
        <v>159.17333333333332</v>
      </c>
      <c r="T315">
        <v>165</v>
      </c>
      <c r="U315">
        <f t="shared" si="34"/>
        <v>15.650000000000006</v>
      </c>
    </row>
    <row r="316" spans="1:21" ht="14.25" customHeight="1" x14ac:dyDescent="0.35">
      <c r="A316" s="6" t="s">
        <v>1220</v>
      </c>
      <c r="B316" s="6" t="s">
        <v>1221</v>
      </c>
      <c r="C316" s="6" t="s">
        <v>1222</v>
      </c>
      <c r="D316" s="6" t="s">
        <v>44</v>
      </c>
      <c r="E316" s="7" t="s">
        <v>23</v>
      </c>
      <c r="F316" s="6">
        <v>85035</v>
      </c>
      <c r="G316" s="6" t="s">
        <v>72</v>
      </c>
      <c r="H316" s="6" t="s">
        <v>73</v>
      </c>
      <c r="I316" s="6" t="s">
        <v>61</v>
      </c>
      <c r="J316" s="6" t="b">
        <v>1</v>
      </c>
      <c r="K316" s="6" t="s">
        <v>27</v>
      </c>
      <c r="L316" s="6">
        <v>41.2</v>
      </c>
      <c r="M316" s="6">
        <v>149.35</v>
      </c>
      <c r="N316" s="8">
        <f t="shared" si="28"/>
        <v>76.679999999999993</v>
      </c>
      <c r="O316" s="8">
        <f t="shared" si="29"/>
        <v>1910.08</v>
      </c>
      <c r="P316" s="8">
        <f t="shared" si="30"/>
        <v>1910.08</v>
      </c>
      <c r="Q316" s="8">
        <f t="shared" si="31"/>
        <v>0</v>
      </c>
      <c r="R316" s="9">
        <f t="shared" si="32"/>
        <v>1910.08</v>
      </c>
      <c r="S316" s="10">
        <f t="shared" si="33"/>
        <v>159.17333333333332</v>
      </c>
      <c r="T316">
        <v>165</v>
      </c>
      <c r="U316">
        <f t="shared" si="34"/>
        <v>15.650000000000006</v>
      </c>
    </row>
    <row r="317" spans="1:21" ht="14.25" customHeight="1" x14ac:dyDescent="0.35">
      <c r="A317" s="6" t="s">
        <v>1223</v>
      </c>
      <c r="B317" s="6" t="s">
        <v>1224</v>
      </c>
      <c r="C317" s="6" t="s">
        <v>1225</v>
      </c>
      <c r="D317" s="6" t="s">
        <v>1226</v>
      </c>
      <c r="E317" s="7" t="s">
        <v>23</v>
      </c>
      <c r="F317" s="6">
        <v>85128</v>
      </c>
      <c r="G317" s="6" t="s">
        <v>87</v>
      </c>
      <c r="H317" s="6" t="s">
        <v>109</v>
      </c>
      <c r="I317" s="6" t="s">
        <v>40</v>
      </c>
      <c r="J317" s="6" t="b">
        <v>1</v>
      </c>
      <c r="K317" s="6" t="s">
        <v>27</v>
      </c>
      <c r="L317" s="6">
        <v>41.2</v>
      </c>
      <c r="M317" s="6">
        <v>149.35</v>
      </c>
      <c r="N317" s="8">
        <f t="shared" si="28"/>
        <v>76.679999999999993</v>
      </c>
      <c r="O317" s="8">
        <f t="shared" si="29"/>
        <v>1910.08</v>
      </c>
      <c r="P317" s="8">
        <f t="shared" si="30"/>
        <v>1910.08</v>
      </c>
      <c r="Q317" s="8">
        <f t="shared" si="31"/>
        <v>0</v>
      </c>
      <c r="R317" s="9">
        <f t="shared" si="32"/>
        <v>1910.08</v>
      </c>
      <c r="S317" s="10">
        <f t="shared" si="33"/>
        <v>159.17333333333332</v>
      </c>
      <c r="T317">
        <v>165</v>
      </c>
      <c r="U317">
        <f t="shared" si="34"/>
        <v>15.650000000000006</v>
      </c>
    </row>
    <row r="318" spans="1:21" ht="14.25" customHeight="1" x14ac:dyDescent="0.35">
      <c r="A318" s="6" t="s">
        <v>1227</v>
      </c>
      <c r="B318" s="6" t="s">
        <v>1228</v>
      </c>
      <c r="C318" s="6" t="s">
        <v>1229</v>
      </c>
      <c r="D318" s="6" t="s">
        <v>241</v>
      </c>
      <c r="E318" s="7" t="s">
        <v>23</v>
      </c>
      <c r="F318" s="6">
        <v>85331</v>
      </c>
      <c r="G318" s="6" t="s">
        <v>32</v>
      </c>
      <c r="H318" s="6" t="s">
        <v>33</v>
      </c>
      <c r="I318" s="6" t="s">
        <v>26</v>
      </c>
      <c r="J318" s="6" t="b">
        <v>1</v>
      </c>
      <c r="K318" s="6" t="s">
        <v>27</v>
      </c>
      <c r="L318" s="6">
        <v>41.2</v>
      </c>
      <c r="M318" s="6">
        <v>149.35</v>
      </c>
      <c r="N318" s="8">
        <f t="shared" si="28"/>
        <v>76.679999999999993</v>
      </c>
      <c r="O318" s="8">
        <f t="shared" si="29"/>
        <v>1910.08</v>
      </c>
      <c r="P318" s="8">
        <f t="shared" si="30"/>
        <v>1910.08</v>
      </c>
      <c r="Q318" s="8">
        <f t="shared" si="31"/>
        <v>0</v>
      </c>
      <c r="R318" s="9">
        <f t="shared" si="32"/>
        <v>1910.08</v>
      </c>
      <c r="S318" s="10">
        <f t="shared" si="33"/>
        <v>159.17333333333332</v>
      </c>
      <c r="T318">
        <v>165</v>
      </c>
      <c r="U318">
        <f t="shared" si="34"/>
        <v>15.650000000000006</v>
      </c>
    </row>
    <row r="319" spans="1:21" ht="14.25" customHeight="1" x14ac:dyDescent="0.35">
      <c r="A319" s="6" t="s">
        <v>1230</v>
      </c>
      <c r="B319" s="6" t="s">
        <v>1231</v>
      </c>
      <c r="C319" s="6" t="s">
        <v>1232</v>
      </c>
      <c r="D319" s="6" t="s">
        <v>31</v>
      </c>
      <c r="E319" s="7" t="s">
        <v>23</v>
      </c>
      <c r="F319" s="6">
        <v>85262</v>
      </c>
      <c r="G319" s="6" t="s">
        <v>32</v>
      </c>
      <c r="H319" s="6" t="s">
        <v>33</v>
      </c>
      <c r="I319" s="6" t="s">
        <v>26</v>
      </c>
      <c r="J319" s="6" t="b">
        <v>1</v>
      </c>
      <c r="K319" s="6" t="s">
        <v>27</v>
      </c>
      <c r="L319" s="6">
        <v>41.2</v>
      </c>
      <c r="M319" s="6">
        <v>149.35</v>
      </c>
      <c r="N319" s="8">
        <f t="shared" si="28"/>
        <v>76.679999999999993</v>
      </c>
      <c r="O319" s="8">
        <f t="shared" si="29"/>
        <v>1910.08</v>
      </c>
      <c r="P319" s="8">
        <f t="shared" si="30"/>
        <v>1910.08</v>
      </c>
      <c r="Q319" s="8">
        <f t="shared" si="31"/>
        <v>0</v>
      </c>
      <c r="R319" s="9">
        <f t="shared" si="32"/>
        <v>1910.08</v>
      </c>
      <c r="S319" s="10">
        <f t="shared" si="33"/>
        <v>159.17333333333332</v>
      </c>
      <c r="T319">
        <v>165</v>
      </c>
      <c r="U319">
        <f t="shared" si="34"/>
        <v>15.650000000000006</v>
      </c>
    </row>
    <row r="320" spans="1:21" ht="14.25" customHeight="1" x14ac:dyDescent="0.35">
      <c r="A320" s="6" t="s">
        <v>1233</v>
      </c>
      <c r="B320" s="6" t="s">
        <v>1234</v>
      </c>
      <c r="C320" s="6" t="s">
        <v>1235</v>
      </c>
      <c r="D320" s="6" t="s">
        <v>44</v>
      </c>
      <c r="E320" s="7" t="s">
        <v>23</v>
      </c>
      <c r="F320" s="6">
        <v>85018</v>
      </c>
      <c r="G320" s="6" t="s">
        <v>49</v>
      </c>
      <c r="H320" s="6" t="s">
        <v>50</v>
      </c>
      <c r="I320" s="6" t="s">
        <v>26</v>
      </c>
      <c r="J320" s="6" t="b">
        <v>1</v>
      </c>
      <c r="K320" s="6" t="s">
        <v>27</v>
      </c>
      <c r="L320" s="6">
        <v>41.2</v>
      </c>
      <c r="M320" s="6">
        <v>149.35</v>
      </c>
      <c r="N320" s="8">
        <f t="shared" si="28"/>
        <v>76.679999999999993</v>
      </c>
      <c r="O320" s="8">
        <f t="shared" si="29"/>
        <v>1910.08</v>
      </c>
      <c r="P320" s="8">
        <f t="shared" si="30"/>
        <v>1910.08</v>
      </c>
      <c r="Q320" s="8">
        <f t="shared" si="31"/>
        <v>0</v>
      </c>
      <c r="R320" s="9">
        <f t="shared" si="32"/>
        <v>1910.08</v>
      </c>
      <c r="S320" s="10">
        <f t="shared" si="33"/>
        <v>159.17333333333332</v>
      </c>
      <c r="T320">
        <v>165</v>
      </c>
      <c r="U320">
        <f t="shared" si="34"/>
        <v>15.650000000000006</v>
      </c>
    </row>
    <row r="321" spans="1:21" ht="14.25" customHeight="1" x14ac:dyDescent="0.35">
      <c r="A321" s="6" t="s">
        <v>1236</v>
      </c>
      <c r="B321" s="6" t="s">
        <v>1237</v>
      </c>
      <c r="C321" s="6" t="s">
        <v>1238</v>
      </c>
      <c r="D321" s="6" t="s">
        <v>44</v>
      </c>
      <c r="E321" s="7" t="s">
        <v>23</v>
      </c>
      <c r="F321" s="6">
        <v>85053</v>
      </c>
      <c r="G321" s="6" t="s">
        <v>72</v>
      </c>
      <c r="H321" s="6" t="s">
        <v>93</v>
      </c>
      <c r="I321" s="6" t="s">
        <v>26</v>
      </c>
      <c r="J321" s="6" t="b">
        <v>1</v>
      </c>
      <c r="K321" s="6" t="s">
        <v>27</v>
      </c>
      <c r="L321" s="6">
        <v>41.2</v>
      </c>
      <c r="M321" s="6">
        <v>149.35</v>
      </c>
      <c r="N321" s="8">
        <f t="shared" si="28"/>
        <v>76.679999999999993</v>
      </c>
      <c r="O321" s="8">
        <f t="shared" si="29"/>
        <v>1910.08</v>
      </c>
      <c r="P321" s="8">
        <f t="shared" si="30"/>
        <v>1910.08</v>
      </c>
      <c r="Q321" s="8">
        <f t="shared" si="31"/>
        <v>0</v>
      </c>
      <c r="R321" s="9">
        <f t="shared" si="32"/>
        <v>1910.08</v>
      </c>
      <c r="S321" s="10">
        <f t="shared" si="33"/>
        <v>159.17333333333332</v>
      </c>
      <c r="T321">
        <v>165</v>
      </c>
      <c r="U321">
        <f t="shared" si="34"/>
        <v>15.650000000000006</v>
      </c>
    </row>
    <row r="322" spans="1:21" ht="14.25" customHeight="1" x14ac:dyDescent="0.35">
      <c r="A322" s="6" t="s">
        <v>1239</v>
      </c>
      <c r="B322" s="6" t="s">
        <v>1240</v>
      </c>
      <c r="C322" s="6" t="s">
        <v>1241</v>
      </c>
      <c r="D322" s="6" t="s">
        <v>65</v>
      </c>
      <c r="E322" s="7" t="s">
        <v>23</v>
      </c>
      <c r="F322" s="6">
        <v>85213</v>
      </c>
      <c r="G322" s="6" t="s">
        <v>66</v>
      </c>
      <c r="H322" s="6" t="s">
        <v>67</v>
      </c>
      <c r="I322" s="6" t="s">
        <v>26</v>
      </c>
      <c r="J322" s="6" t="b">
        <v>1</v>
      </c>
      <c r="K322" s="6" t="s">
        <v>27</v>
      </c>
      <c r="L322" s="6">
        <v>41.2</v>
      </c>
      <c r="M322" s="6">
        <v>149.35</v>
      </c>
      <c r="N322" s="8">
        <f t="shared" ref="N322:N385" si="35">IF(J322=TRUE, 6.39*12, "0")</f>
        <v>76.679999999999993</v>
      </c>
      <c r="O322" s="8">
        <f t="shared" ref="O322:O385" si="36">L322+(M322*12)+N322</f>
        <v>1910.08</v>
      </c>
      <c r="P322" s="8">
        <f t="shared" ref="P322:P385" si="37">IF(OR(K322="Check",K322="ACH"), O322*0.97, O322)</f>
        <v>1910.08</v>
      </c>
      <c r="Q322" s="8">
        <f t="shared" ref="Q322:Q385" si="38">P322-O322</f>
        <v>0</v>
      </c>
      <c r="R322" s="9">
        <f t="shared" ref="R322:R385" si="39">O322-Q322</f>
        <v>1910.08</v>
      </c>
      <c r="S322" s="10">
        <f t="shared" ref="S322:S385" si="40">R322/12</f>
        <v>159.17333333333332</v>
      </c>
      <c r="T322">
        <v>165</v>
      </c>
      <c r="U322">
        <f t="shared" si="34"/>
        <v>15.650000000000006</v>
      </c>
    </row>
    <row r="323" spans="1:21" ht="14.25" customHeight="1" x14ac:dyDescent="0.35">
      <c r="A323" s="6" t="s">
        <v>1242</v>
      </c>
      <c r="B323" s="6" t="s">
        <v>1243</v>
      </c>
      <c r="C323" s="6" t="s">
        <v>1244</v>
      </c>
      <c r="D323" s="6" t="s">
        <v>31</v>
      </c>
      <c r="E323" s="7" t="s">
        <v>23</v>
      </c>
      <c r="F323" s="6">
        <v>85258</v>
      </c>
      <c r="G323" s="6" t="s">
        <v>49</v>
      </c>
      <c r="H323" s="6" t="s">
        <v>50</v>
      </c>
      <c r="I323" s="6" t="s">
        <v>26</v>
      </c>
      <c r="J323" s="6" t="b">
        <v>1</v>
      </c>
      <c r="K323" s="6" t="s">
        <v>27</v>
      </c>
      <c r="L323" s="6">
        <v>41.2</v>
      </c>
      <c r="M323" s="6">
        <v>149.35</v>
      </c>
      <c r="N323" s="8">
        <f t="shared" si="35"/>
        <v>76.679999999999993</v>
      </c>
      <c r="O323" s="8">
        <f t="shared" si="36"/>
        <v>1910.08</v>
      </c>
      <c r="P323" s="8">
        <f t="shared" si="37"/>
        <v>1910.08</v>
      </c>
      <c r="Q323" s="8">
        <f t="shared" si="38"/>
        <v>0</v>
      </c>
      <c r="R323" s="9">
        <f t="shared" si="39"/>
        <v>1910.08</v>
      </c>
      <c r="S323" s="10">
        <f t="shared" si="40"/>
        <v>159.17333333333332</v>
      </c>
      <c r="T323">
        <v>165</v>
      </c>
      <c r="U323">
        <f t="shared" si="34"/>
        <v>15.650000000000006</v>
      </c>
    </row>
    <row r="324" spans="1:21" ht="14.25" customHeight="1" x14ac:dyDescent="0.35">
      <c r="A324" s="6" t="s">
        <v>1245</v>
      </c>
      <c r="B324" s="6" t="s">
        <v>1246</v>
      </c>
      <c r="C324" s="6" t="s">
        <v>1247</v>
      </c>
      <c r="D324" s="6" t="s">
        <v>44</v>
      </c>
      <c r="E324" s="7" t="s">
        <v>23</v>
      </c>
      <c r="F324" s="6">
        <v>85041</v>
      </c>
      <c r="G324" s="6" t="s">
        <v>213</v>
      </c>
      <c r="H324" s="6" t="s">
        <v>39</v>
      </c>
      <c r="I324" s="6" t="s">
        <v>26</v>
      </c>
      <c r="J324" s="6" t="b">
        <v>1</v>
      </c>
      <c r="K324" s="6" t="s">
        <v>27</v>
      </c>
      <c r="L324" s="6">
        <v>41.2</v>
      </c>
      <c r="M324" s="6">
        <v>149.35</v>
      </c>
      <c r="N324" s="8">
        <f t="shared" si="35"/>
        <v>76.679999999999993</v>
      </c>
      <c r="O324" s="8">
        <f t="shared" si="36"/>
        <v>1910.08</v>
      </c>
      <c r="P324" s="8">
        <f t="shared" si="37"/>
        <v>1910.08</v>
      </c>
      <c r="Q324" s="8">
        <f t="shared" si="38"/>
        <v>0</v>
      </c>
      <c r="R324" s="9">
        <f t="shared" si="39"/>
        <v>1910.08</v>
      </c>
      <c r="S324" s="10">
        <f t="shared" si="40"/>
        <v>159.17333333333332</v>
      </c>
      <c r="T324">
        <v>165</v>
      </c>
      <c r="U324">
        <f t="shared" ref="U324:U387" si="41">SUM(T324-M324)</f>
        <v>15.650000000000006</v>
      </c>
    </row>
    <row r="325" spans="1:21" ht="14.25" customHeight="1" x14ac:dyDescent="0.35">
      <c r="A325" s="6" t="s">
        <v>1248</v>
      </c>
      <c r="B325" s="6" t="s">
        <v>1249</v>
      </c>
      <c r="C325" s="6" t="s">
        <v>1250</v>
      </c>
      <c r="D325" s="6" t="s">
        <v>363</v>
      </c>
      <c r="E325" s="7" t="s">
        <v>23</v>
      </c>
      <c r="F325" s="6">
        <v>85283</v>
      </c>
      <c r="G325" s="6" t="s">
        <v>364</v>
      </c>
      <c r="H325" s="6" t="s">
        <v>365</v>
      </c>
      <c r="I325" s="6" t="s">
        <v>26</v>
      </c>
      <c r="J325" s="6" t="b">
        <v>1</v>
      </c>
      <c r="K325" s="6" t="s">
        <v>27</v>
      </c>
      <c r="L325" s="6">
        <v>41.2</v>
      </c>
      <c r="M325" s="6">
        <v>149.35</v>
      </c>
      <c r="N325" s="8">
        <f t="shared" si="35"/>
        <v>76.679999999999993</v>
      </c>
      <c r="O325" s="8">
        <f t="shared" si="36"/>
        <v>1910.08</v>
      </c>
      <c r="P325" s="8">
        <f t="shared" si="37"/>
        <v>1910.08</v>
      </c>
      <c r="Q325" s="8">
        <f t="shared" si="38"/>
        <v>0</v>
      </c>
      <c r="R325" s="9">
        <f t="shared" si="39"/>
        <v>1910.08</v>
      </c>
      <c r="S325" s="10">
        <f t="shared" si="40"/>
        <v>159.17333333333332</v>
      </c>
      <c r="T325">
        <v>165</v>
      </c>
      <c r="U325">
        <f t="shared" si="41"/>
        <v>15.650000000000006</v>
      </c>
    </row>
    <row r="326" spans="1:21" ht="14.25" customHeight="1" x14ac:dyDescent="0.35">
      <c r="A326" s="6" t="s">
        <v>1251</v>
      </c>
      <c r="B326" s="6" t="s">
        <v>1252</v>
      </c>
      <c r="C326" s="6" t="s">
        <v>1253</v>
      </c>
      <c r="D326" s="6" t="s">
        <v>165</v>
      </c>
      <c r="E326" s="7" t="s">
        <v>23</v>
      </c>
      <c r="F326" s="6">
        <v>85295</v>
      </c>
      <c r="G326" s="6" t="s">
        <v>125</v>
      </c>
      <c r="H326" s="6" t="s">
        <v>126</v>
      </c>
      <c r="I326" s="6" t="s">
        <v>26</v>
      </c>
      <c r="J326" s="6" t="b">
        <v>1</v>
      </c>
      <c r="K326" s="6" t="s">
        <v>27</v>
      </c>
      <c r="L326" s="6">
        <v>41.2</v>
      </c>
      <c r="M326" s="6">
        <v>149.35</v>
      </c>
      <c r="N326" s="8">
        <f t="shared" si="35"/>
        <v>76.679999999999993</v>
      </c>
      <c r="O326" s="8">
        <f t="shared" si="36"/>
        <v>1910.08</v>
      </c>
      <c r="P326" s="8">
        <f t="shared" si="37"/>
        <v>1910.08</v>
      </c>
      <c r="Q326" s="8">
        <f t="shared" si="38"/>
        <v>0</v>
      </c>
      <c r="R326" s="9">
        <f t="shared" si="39"/>
        <v>1910.08</v>
      </c>
      <c r="S326" s="10">
        <f t="shared" si="40"/>
        <v>159.17333333333332</v>
      </c>
      <c r="T326">
        <v>165</v>
      </c>
      <c r="U326">
        <f t="shared" si="41"/>
        <v>15.650000000000006</v>
      </c>
    </row>
    <row r="327" spans="1:21" ht="14.25" customHeight="1" x14ac:dyDescent="0.35">
      <c r="A327" s="6" t="s">
        <v>1254</v>
      </c>
      <c r="B327" s="6" t="s">
        <v>1255</v>
      </c>
      <c r="C327" s="6" t="s">
        <v>1256</v>
      </c>
      <c r="D327" s="6" t="s">
        <v>892</v>
      </c>
      <c r="E327" s="7" t="s">
        <v>23</v>
      </c>
      <c r="F327" s="6">
        <v>85142</v>
      </c>
      <c r="G327" s="6" t="s">
        <v>125</v>
      </c>
      <c r="H327" s="6" t="s">
        <v>225</v>
      </c>
      <c r="I327" s="6" t="s">
        <v>26</v>
      </c>
      <c r="J327" s="6" t="b">
        <v>1</v>
      </c>
      <c r="K327" s="6" t="s">
        <v>27</v>
      </c>
      <c r="L327" s="6">
        <v>41.2</v>
      </c>
      <c r="M327" s="6">
        <v>149.35</v>
      </c>
      <c r="N327" s="8">
        <f t="shared" si="35"/>
        <v>76.679999999999993</v>
      </c>
      <c r="O327" s="8">
        <f t="shared" si="36"/>
        <v>1910.08</v>
      </c>
      <c r="P327" s="8">
        <f t="shared" si="37"/>
        <v>1910.08</v>
      </c>
      <c r="Q327" s="8">
        <f t="shared" si="38"/>
        <v>0</v>
      </c>
      <c r="R327" s="9">
        <f t="shared" si="39"/>
        <v>1910.08</v>
      </c>
      <c r="S327" s="10">
        <f t="shared" si="40"/>
        <v>159.17333333333332</v>
      </c>
      <c r="T327">
        <v>165</v>
      </c>
      <c r="U327">
        <f t="shared" si="41"/>
        <v>15.650000000000006</v>
      </c>
    </row>
    <row r="328" spans="1:21" ht="14.25" customHeight="1" x14ac:dyDescent="0.35">
      <c r="A328" s="6" t="s">
        <v>1257</v>
      </c>
      <c r="B328" s="6" t="s">
        <v>1258</v>
      </c>
      <c r="C328" s="6" t="s">
        <v>1259</v>
      </c>
      <c r="D328" s="6" t="s">
        <v>65</v>
      </c>
      <c r="E328" s="7" t="s">
        <v>23</v>
      </c>
      <c r="F328" s="6">
        <v>85205</v>
      </c>
      <c r="G328" s="6" t="s">
        <v>66</v>
      </c>
      <c r="H328" s="6" t="s">
        <v>67</v>
      </c>
      <c r="I328" s="6" t="s">
        <v>26</v>
      </c>
      <c r="J328" s="6" t="b">
        <v>1</v>
      </c>
      <c r="K328" s="6" t="s">
        <v>27</v>
      </c>
      <c r="L328" s="6">
        <v>41.2</v>
      </c>
      <c r="M328" s="6">
        <v>149.35</v>
      </c>
      <c r="N328" s="8">
        <f t="shared" si="35"/>
        <v>76.679999999999993</v>
      </c>
      <c r="O328" s="8">
        <f t="shared" si="36"/>
        <v>1910.08</v>
      </c>
      <c r="P328" s="8">
        <f t="shared" si="37"/>
        <v>1910.08</v>
      </c>
      <c r="Q328" s="8">
        <f t="shared" si="38"/>
        <v>0</v>
      </c>
      <c r="R328" s="9">
        <f t="shared" si="39"/>
        <v>1910.08</v>
      </c>
      <c r="S328" s="10">
        <f t="shared" si="40"/>
        <v>159.17333333333332</v>
      </c>
      <c r="T328">
        <v>165</v>
      </c>
      <c r="U328">
        <f t="shared" si="41"/>
        <v>15.650000000000006</v>
      </c>
    </row>
    <row r="329" spans="1:21" ht="14.25" customHeight="1" x14ac:dyDescent="0.35">
      <c r="A329" s="6" t="s">
        <v>1260</v>
      </c>
      <c r="B329" s="6" t="s">
        <v>1261</v>
      </c>
      <c r="C329" s="6" t="s">
        <v>1262</v>
      </c>
      <c r="D329" s="6" t="s">
        <v>248</v>
      </c>
      <c r="E329" s="7" t="s">
        <v>23</v>
      </c>
      <c r="F329" s="6">
        <v>85339</v>
      </c>
      <c r="G329" s="6" t="s">
        <v>213</v>
      </c>
      <c r="H329" s="6" t="s">
        <v>39</v>
      </c>
      <c r="I329" s="6" t="s">
        <v>26</v>
      </c>
      <c r="J329" s="6" t="b">
        <v>1</v>
      </c>
      <c r="K329" s="6" t="s">
        <v>27</v>
      </c>
      <c r="L329" s="6">
        <v>41.2</v>
      </c>
      <c r="M329" s="6">
        <v>149.35</v>
      </c>
      <c r="N329" s="8">
        <f t="shared" si="35"/>
        <v>76.679999999999993</v>
      </c>
      <c r="O329" s="8">
        <f t="shared" si="36"/>
        <v>1910.08</v>
      </c>
      <c r="P329" s="8">
        <f t="shared" si="37"/>
        <v>1910.08</v>
      </c>
      <c r="Q329" s="8">
        <f t="shared" si="38"/>
        <v>0</v>
      </c>
      <c r="R329" s="9">
        <f t="shared" si="39"/>
        <v>1910.08</v>
      </c>
      <c r="S329" s="10">
        <f t="shared" si="40"/>
        <v>159.17333333333332</v>
      </c>
      <c r="T329">
        <v>165</v>
      </c>
      <c r="U329">
        <f t="shared" si="41"/>
        <v>15.650000000000006</v>
      </c>
    </row>
    <row r="330" spans="1:21" ht="14.25" customHeight="1" x14ac:dyDescent="0.35">
      <c r="A330" s="6" t="s">
        <v>1263</v>
      </c>
      <c r="B330" s="6" t="s">
        <v>1264</v>
      </c>
      <c r="C330" s="6" t="s">
        <v>1265</v>
      </c>
      <c r="D330" s="6" t="s">
        <v>165</v>
      </c>
      <c r="E330" s="7" t="s">
        <v>23</v>
      </c>
      <c r="F330" s="6">
        <v>85233</v>
      </c>
      <c r="G330" s="6" t="s">
        <v>24</v>
      </c>
      <c r="H330" s="6" t="s">
        <v>25</v>
      </c>
      <c r="I330" s="6" t="s">
        <v>26</v>
      </c>
      <c r="J330" s="6" t="b">
        <v>1</v>
      </c>
      <c r="K330" s="6" t="s">
        <v>27</v>
      </c>
      <c r="L330" s="6">
        <v>41.2</v>
      </c>
      <c r="M330" s="6">
        <v>149.35</v>
      </c>
      <c r="N330" s="8">
        <f t="shared" si="35"/>
        <v>76.679999999999993</v>
      </c>
      <c r="O330" s="8">
        <f t="shared" si="36"/>
        <v>1910.08</v>
      </c>
      <c r="P330" s="8">
        <f t="shared" si="37"/>
        <v>1910.08</v>
      </c>
      <c r="Q330" s="8">
        <f t="shared" si="38"/>
        <v>0</v>
      </c>
      <c r="R330" s="9">
        <f t="shared" si="39"/>
        <v>1910.08</v>
      </c>
      <c r="S330" s="10">
        <f t="shared" si="40"/>
        <v>159.17333333333332</v>
      </c>
      <c r="T330">
        <v>165</v>
      </c>
      <c r="U330">
        <f t="shared" si="41"/>
        <v>15.650000000000006</v>
      </c>
    </row>
    <row r="331" spans="1:21" ht="14.25" customHeight="1" x14ac:dyDescent="0.35">
      <c r="A331" s="6" t="s">
        <v>1266</v>
      </c>
      <c r="B331" s="6" t="s">
        <v>1267</v>
      </c>
      <c r="C331" s="6" t="s">
        <v>1268</v>
      </c>
      <c r="D331" s="6" t="s">
        <v>65</v>
      </c>
      <c r="E331" s="7" t="s">
        <v>23</v>
      </c>
      <c r="F331" s="6">
        <v>85204</v>
      </c>
      <c r="G331" s="6" t="s">
        <v>66</v>
      </c>
      <c r="H331" s="6" t="s">
        <v>67</v>
      </c>
      <c r="I331" s="6" t="s">
        <v>57</v>
      </c>
      <c r="J331" s="6" t="b">
        <v>1</v>
      </c>
      <c r="K331" s="6" t="s">
        <v>27</v>
      </c>
      <c r="L331" s="6">
        <v>41.2</v>
      </c>
      <c r="M331" s="6">
        <v>149.35</v>
      </c>
      <c r="N331" s="8">
        <f t="shared" si="35"/>
        <v>76.679999999999993</v>
      </c>
      <c r="O331" s="8">
        <f t="shared" si="36"/>
        <v>1910.08</v>
      </c>
      <c r="P331" s="8">
        <f t="shared" si="37"/>
        <v>1910.08</v>
      </c>
      <c r="Q331" s="8">
        <f t="shared" si="38"/>
        <v>0</v>
      </c>
      <c r="R331" s="9">
        <f t="shared" si="39"/>
        <v>1910.08</v>
      </c>
      <c r="S331" s="10">
        <f t="shared" si="40"/>
        <v>159.17333333333332</v>
      </c>
      <c r="T331">
        <v>165</v>
      </c>
      <c r="U331">
        <f t="shared" si="41"/>
        <v>15.650000000000006</v>
      </c>
    </row>
    <row r="332" spans="1:21" ht="14.25" customHeight="1" x14ac:dyDescent="0.35">
      <c r="A332" s="6" t="s">
        <v>1269</v>
      </c>
      <c r="B332" s="6" t="s">
        <v>1270</v>
      </c>
      <c r="C332" s="6" t="s">
        <v>1271</v>
      </c>
      <c r="D332" s="6" t="s">
        <v>363</v>
      </c>
      <c r="E332" s="7" t="s">
        <v>23</v>
      </c>
      <c r="F332" s="6">
        <v>85283</v>
      </c>
      <c r="G332" s="6" t="s">
        <v>364</v>
      </c>
      <c r="H332" s="6" t="s">
        <v>365</v>
      </c>
      <c r="I332" s="6" t="s">
        <v>26</v>
      </c>
      <c r="J332" s="6" t="b">
        <v>1</v>
      </c>
      <c r="K332" s="6" t="s">
        <v>27</v>
      </c>
      <c r="L332" s="6">
        <v>41.2</v>
      </c>
      <c r="M332" s="6">
        <v>149.35</v>
      </c>
      <c r="N332" s="8">
        <f t="shared" si="35"/>
        <v>76.679999999999993</v>
      </c>
      <c r="O332" s="8">
        <f t="shared" si="36"/>
        <v>1910.08</v>
      </c>
      <c r="P332" s="8">
        <f t="shared" si="37"/>
        <v>1910.08</v>
      </c>
      <c r="Q332" s="8">
        <f t="shared" si="38"/>
        <v>0</v>
      </c>
      <c r="R332" s="9">
        <f t="shared" si="39"/>
        <v>1910.08</v>
      </c>
      <c r="S332" s="10">
        <f t="shared" si="40"/>
        <v>159.17333333333332</v>
      </c>
      <c r="T332">
        <v>165</v>
      </c>
      <c r="U332">
        <f t="shared" si="41"/>
        <v>15.650000000000006</v>
      </c>
    </row>
    <row r="333" spans="1:21" ht="14.25" customHeight="1" x14ac:dyDescent="0.35">
      <c r="A333" s="6" t="s">
        <v>1272</v>
      </c>
      <c r="B333" s="6" t="s">
        <v>1273</v>
      </c>
      <c r="C333" s="6" t="s">
        <v>1274</v>
      </c>
      <c r="D333" s="6" t="s">
        <v>44</v>
      </c>
      <c r="E333" s="7" t="s">
        <v>23</v>
      </c>
      <c r="F333" s="6">
        <v>85050</v>
      </c>
      <c r="G333" s="6" t="s">
        <v>32</v>
      </c>
      <c r="H333" s="6" t="s">
        <v>169</v>
      </c>
      <c r="I333" s="6" t="s">
        <v>26</v>
      </c>
      <c r="J333" s="6" t="b">
        <v>1</v>
      </c>
      <c r="K333" s="6" t="s">
        <v>27</v>
      </c>
      <c r="L333" s="6">
        <v>41.2</v>
      </c>
      <c r="M333" s="6">
        <v>149.35</v>
      </c>
      <c r="N333" s="8">
        <f t="shared" si="35"/>
        <v>76.679999999999993</v>
      </c>
      <c r="O333" s="8">
        <f t="shared" si="36"/>
        <v>1910.08</v>
      </c>
      <c r="P333" s="8">
        <f t="shared" si="37"/>
        <v>1910.08</v>
      </c>
      <c r="Q333" s="8">
        <f t="shared" si="38"/>
        <v>0</v>
      </c>
      <c r="R333" s="9">
        <f t="shared" si="39"/>
        <v>1910.08</v>
      </c>
      <c r="S333" s="10">
        <f t="shared" si="40"/>
        <v>159.17333333333332</v>
      </c>
      <c r="T333">
        <v>165</v>
      </c>
      <c r="U333">
        <f t="shared" si="41"/>
        <v>15.650000000000006</v>
      </c>
    </row>
    <row r="334" spans="1:21" ht="14.25" customHeight="1" x14ac:dyDescent="0.35">
      <c r="A334" s="6" t="s">
        <v>1275</v>
      </c>
      <c r="B334" s="6" t="s">
        <v>1276</v>
      </c>
      <c r="C334" s="6" t="s">
        <v>1277</v>
      </c>
      <c r="D334" s="6" t="s">
        <v>130</v>
      </c>
      <c r="E334" s="7" t="s">
        <v>23</v>
      </c>
      <c r="F334" s="6">
        <v>85140</v>
      </c>
      <c r="G334" s="6" t="s">
        <v>125</v>
      </c>
      <c r="H334" s="6" t="s">
        <v>180</v>
      </c>
      <c r="I334" s="6" t="s">
        <v>26</v>
      </c>
      <c r="J334" s="6" t="b">
        <v>1</v>
      </c>
      <c r="K334" s="6" t="s">
        <v>27</v>
      </c>
      <c r="L334" s="6">
        <v>41.2</v>
      </c>
      <c r="M334" s="6">
        <v>149.35</v>
      </c>
      <c r="N334" s="8">
        <f t="shared" si="35"/>
        <v>76.679999999999993</v>
      </c>
      <c r="O334" s="8">
        <f t="shared" si="36"/>
        <v>1910.08</v>
      </c>
      <c r="P334" s="8">
        <f t="shared" si="37"/>
        <v>1910.08</v>
      </c>
      <c r="Q334" s="8">
        <f t="shared" si="38"/>
        <v>0</v>
      </c>
      <c r="R334" s="9">
        <f t="shared" si="39"/>
        <v>1910.08</v>
      </c>
      <c r="S334" s="10">
        <f t="shared" si="40"/>
        <v>159.17333333333332</v>
      </c>
      <c r="T334">
        <v>165</v>
      </c>
      <c r="U334">
        <f t="shared" si="41"/>
        <v>15.650000000000006</v>
      </c>
    </row>
    <row r="335" spans="1:21" ht="14.25" customHeight="1" x14ac:dyDescent="0.35">
      <c r="A335" s="6" t="s">
        <v>1278</v>
      </c>
      <c r="B335" s="6" t="s">
        <v>1279</v>
      </c>
      <c r="C335" s="6" t="s">
        <v>1280</v>
      </c>
      <c r="D335" s="6" t="s">
        <v>44</v>
      </c>
      <c r="E335" s="7" t="s">
        <v>23</v>
      </c>
      <c r="F335" s="6">
        <v>85015</v>
      </c>
      <c r="G335" s="6" t="s">
        <v>213</v>
      </c>
      <c r="H335" s="6" t="s">
        <v>1281</v>
      </c>
      <c r="I335" s="6" t="s">
        <v>57</v>
      </c>
      <c r="J335" s="6" t="b">
        <v>1</v>
      </c>
      <c r="K335" s="6" t="s">
        <v>27</v>
      </c>
      <c r="L335" s="6">
        <v>41.2</v>
      </c>
      <c r="M335" s="6">
        <v>149.35</v>
      </c>
      <c r="N335" s="8">
        <f t="shared" si="35"/>
        <v>76.679999999999993</v>
      </c>
      <c r="O335" s="8">
        <f t="shared" si="36"/>
        <v>1910.08</v>
      </c>
      <c r="P335" s="8">
        <f t="shared" si="37"/>
        <v>1910.08</v>
      </c>
      <c r="Q335" s="8">
        <f t="shared" si="38"/>
        <v>0</v>
      </c>
      <c r="R335" s="9">
        <f t="shared" si="39"/>
        <v>1910.08</v>
      </c>
      <c r="S335" s="10">
        <f t="shared" si="40"/>
        <v>159.17333333333332</v>
      </c>
      <c r="T335">
        <v>165</v>
      </c>
      <c r="U335">
        <f t="shared" si="41"/>
        <v>15.650000000000006</v>
      </c>
    </row>
    <row r="336" spans="1:21" ht="14.25" customHeight="1" x14ac:dyDescent="0.35">
      <c r="A336" s="6" t="s">
        <v>1282</v>
      </c>
      <c r="B336" s="6" t="s">
        <v>1283</v>
      </c>
      <c r="C336" s="6" t="s">
        <v>1284</v>
      </c>
      <c r="D336" s="6" t="s">
        <v>22</v>
      </c>
      <c r="E336" s="7" t="s">
        <v>23</v>
      </c>
      <c r="F336" s="6">
        <v>85286</v>
      </c>
      <c r="G336" s="6" t="s">
        <v>125</v>
      </c>
      <c r="H336" s="6" t="s">
        <v>225</v>
      </c>
      <c r="I336" s="6" t="s">
        <v>26</v>
      </c>
      <c r="J336" s="6" t="b">
        <v>1</v>
      </c>
      <c r="K336" s="6" t="s">
        <v>27</v>
      </c>
      <c r="L336" s="6">
        <v>41.2</v>
      </c>
      <c r="M336" s="6">
        <v>149.35</v>
      </c>
      <c r="N336" s="8">
        <f t="shared" si="35"/>
        <v>76.679999999999993</v>
      </c>
      <c r="O336" s="8">
        <f t="shared" si="36"/>
        <v>1910.08</v>
      </c>
      <c r="P336" s="8">
        <f t="shared" si="37"/>
        <v>1910.08</v>
      </c>
      <c r="Q336" s="8">
        <f t="shared" si="38"/>
        <v>0</v>
      </c>
      <c r="R336" s="9">
        <f t="shared" si="39"/>
        <v>1910.08</v>
      </c>
      <c r="S336" s="10">
        <f t="shared" si="40"/>
        <v>159.17333333333332</v>
      </c>
      <c r="T336">
        <v>165</v>
      </c>
      <c r="U336">
        <f t="shared" si="41"/>
        <v>15.650000000000006</v>
      </c>
    </row>
    <row r="337" spans="1:21" ht="14.25" customHeight="1" x14ac:dyDescent="0.35">
      <c r="A337" s="6" t="s">
        <v>1285</v>
      </c>
      <c r="B337" s="6" t="s">
        <v>1286</v>
      </c>
      <c r="C337" s="6" t="s">
        <v>1287</v>
      </c>
      <c r="D337" s="6" t="s">
        <v>44</v>
      </c>
      <c r="E337" s="7" t="s">
        <v>23</v>
      </c>
      <c r="F337" s="6">
        <v>85086</v>
      </c>
      <c r="G337" s="6" t="s">
        <v>32</v>
      </c>
      <c r="H337" s="6" t="s">
        <v>50</v>
      </c>
      <c r="I337" s="6" t="s">
        <v>61</v>
      </c>
      <c r="J337" s="6" t="b">
        <v>1</v>
      </c>
      <c r="K337" s="6" t="s">
        <v>27</v>
      </c>
      <c r="L337" s="6">
        <v>41.2</v>
      </c>
      <c r="M337" s="6">
        <v>149.35</v>
      </c>
      <c r="N337" s="8">
        <f t="shared" si="35"/>
        <v>76.679999999999993</v>
      </c>
      <c r="O337" s="8">
        <f t="shared" si="36"/>
        <v>1910.08</v>
      </c>
      <c r="P337" s="8">
        <f t="shared" si="37"/>
        <v>1910.08</v>
      </c>
      <c r="Q337" s="8">
        <f t="shared" si="38"/>
        <v>0</v>
      </c>
      <c r="R337" s="9">
        <f t="shared" si="39"/>
        <v>1910.08</v>
      </c>
      <c r="S337" s="10">
        <f t="shared" si="40"/>
        <v>159.17333333333332</v>
      </c>
      <c r="T337">
        <v>165</v>
      </c>
      <c r="U337">
        <f t="shared" si="41"/>
        <v>15.650000000000006</v>
      </c>
    </row>
    <row r="338" spans="1:21" ht="14.25" customHeight="1" x14ac:dyDescent="0.35">
      <c r="A338" s="6" t="s">
        <v>1288</v>
      </c>
      <c r="B338" s="6" t="s">
        <v>1289</v>
      </c>
      <c r="C338" s="6" t="s">
        <v>1290</v>
      </c>
      <c r="D338" s="6" t="s">
        <v>44</v>
      </c>
      <c r="E338" s="7" t="s">
        <v>23</v>
      </c>
      <c r="F338" s="6">
        <v>85006</v>
      </c>
      <c r="G338" s="6" t="s">
        <v>213</v>
      </c>
      <c r="H338" s="6" t="s">
        <v>365</v>
      </c>
      <c r="I338" s="6" t="s">
        <v>26</v>
      </c>
      <c r="J338" s="6" t="b">
        <v>1</v>
      </c>
      <c r="K338" s="6" t="s">
        <v>27</v>
      </c>
      <c r="L338" s="6">
        <v>41.2</v>
      </c>
      <c r="M338" s="6">
        <v>149.35</v>
      </c>
      <c r="N338" s="8">
        <f t="shared" si="35"/>
        <v>76.679999999999993</v>
      </c>
      <c r="O338" s="8">
        <f t="shared" si="36"/>
        <v>1910.08</v>
      </c>
      <c r="P338" s="8">
        <f t="shared" si="37"/>
        <v>1910.08</v>
      </c>
      <c r="Q338" s="8">
        <f t="shared" si="38"/>
        <v>0</v>
      </c>
      <c r="R338" s="9">
        <f t="shared" si="39"/>
        <v>1910.08</v>
      </c>
      <c r="S338" s="10">
        <f t="shared" si="40"/>
        <v>159.17333333333332</v>
      </c>
      <c r="T338">
        <v>165</v>
      </c>
      <c r="U338">
        <f t="shared" si="41"/>
        <v>15.650000000000006</v>
      </c>
    </row>
    <row r="339" spans="1:21" ht="14.25" customHeight="1" x14ac:dyDescent="0.35">
      <c r="A339" s="6" t="s">
        <v>1291</v>
      </c>
      <c r="B339" s="6" t="s">
        <v>1292</v>
      </c>
      <c r="C339" s="6" t="s">
        <v>1293</v>
      </c>
      <c r="D339" s="6" t="s">
        <v>31</v>
      </c>
      <c r="E339" s="7" t="s">
        <v>23</v>
      </c>
      <c r="F339" s="6">
        <v>85254</v>
      </c>
      <c r="G339" s="6" t="s">
        <v>45</v>
      </c>
      <c r="H339" s="6" t="s">
        <v>291</v>
      </c>
      <c r="I339" s="6" t="s">
        <v>26</v>
      </c>
      <c r="J339" s="6" t="b">
        <v>1</v>
      </c>
      <c r="K339" s="6" t="s">
        <v>27</v>
      </c>
      <c r="L339" s="6">
        <v>41.2</v>
      </c>
      <c r="M339" s="6">
        <v>149.35</v>
      </c>
      <c r="N339" s="8">
        <f t="shared" si="35"/>
        <v>76.679999999999993</v>
      </c>
      <c r="O339" s="8">
        <f t="shared" si="36"/>
        <v>1910.08</v>
      </c>
      <c r="P339" s="8">
        <f t="shared" si="37"/>
        <v>1910.08</v>
      </c>
      <c r="Q339" s="8">
        <f t="shared" si="38"/>
        <v>0</v>
      </c>
      <c r="R339" s="9">
        <f t="shared" si="39"/>
        <v>1910.08</v>
      </c>
      <c r="S339" s="10">
        <f t="shared" si="40"/>
        <v>159.17333333333332</v>
      </c>
      <c r="T339">
        <v>165</v>
      </c>
      <c r="U339">
        <f t="shared" si="41"/>
        <v>15.650000000000006</v>
      </c>
    </row>
    <row r="340" spans="1:21" ht="14.25" customHeight="1" x14ac:dyDescent="0.35">
      <c r="A340" s="6" t="s">
        <v>1294</v>
      </c>
      <c r="B340" s="6" t="s">
        <v>1295</v>
      </c>
      <c r="C340" s="6" t="s">
        <v>1296</v>
      </c>
      <c r="D340" s="6" t="s">
        <v>71</v>
      </c>
      <c r="E340" s="7" t="s">
        <v>23</v>
      </c>
      <c r="F340" s="6">
        <v>85345</v>
      </c>
      <c r="G340" s="6" t="s">
        <v>78</v>
      </c>
      <c r="H340" s="6" t="s">
        <v>268</v>
      </c>
      <c r="I340" s="6" t="s">
        <v>26</v>
      </c>
      <c r="J340" s="6" t="b">
        <v>1</v>
      </c>
      <c r="K340" s="6" t="s">
        <v>27</v>
      </c>
      <c r="L340" s="6">
        <v>41.2</v>
      </c>
      <c r="M340" s="6">
        <v>149.35</v>
      </c>
      <c r="N340" s="8">
        <f t="shared" si="35"/>
        <v>76.679999999999993</v>
      </c>
      <c r="O340" s="8">
        <f t="shared" si="36"/>
        <v>1910.08</v>
      </c>
      <c r="P340" s="8">
        <f t="shared" si="37"/>
        <v>1910.08</v>
      </c>
      <c r="Q340" s="8">
        <f t="shared" si="38"/>
        <v>0</v>
      </c>
      <c r="R340" s="9">
        <f t="shared" si="39"/>
        <v>1910.08</v>
      </c>
      <c r="S340" s="10">
        <f t="shared" si="40"/>
        <v>159.17333333333332</v>
      </c>
      <c r="T340">
        <v>165</v>
      </c>
      <c r="U340">
        <f t="shared" si="41"/>
        <v>15.650000000000006</v>
      </c>
    </row>
    <row r="341" spans="1:21" ht="14.25" customHeight="1" x14ac:dyDescent="0.35">
      <c r="A341" s="6" t="s">
        <v>1297</v>
      </c>
      <c r="B341" s="6" t="s">
        <v>1298</v>
      </c>
      <c r="C341" s="6" t="s">
        <v>1299</v>
      </c>
      <c r="D341" s="6" t="s">
        <v>77</v>
      </c>
      <c r="E341" s="7" t="s">
        <v>23</v>
      </c>
      <c r="F341" s="6">
        <v>85308</v>
      </c>
      <c r="G341" s="6" t="s">
        <v>78</v>
      </c>
      <c r="H341" s="6" t="s">
        <v>79</v>
      </c>
      <c r="I341" s="6" t="s">
        <v>110</v>
      </c>
      <c r="J341" s="6" t="b">
        <v>1</v>
      </c>
      <c r="K341" s="6" t="s">
        <v>27</v>
      </c>
      <c r="L341" s="6">
        <v>41.2</v>
      </c>
      <c r="M341" s="6">
        <v>149.35</v>
      </c>
      <c r="N341" s="8">
        <f t="shared" si="35"/>
        <v>76.679999999999993</v>
      </c>
      <c r="O341" s="8">
        <f t="shared" si="36"/>
        <v>1910.08</v>
      </c>
      <c r="P341" s="8">
        <f t="shared" si="37"/>
        <v>1910.08</v>
      </c>
      <c r="Q341" s="8">
        <f t="shared" si="38"/>
        <v>0</v>
      </c>
      <c r="R341" s="9">
        <f t="shared" si="39"/>
        <v>1910.08</v>
      </c>
      <c r="S341" s="10">
        <f t="shared" si="40"/>
        <v>159.17333333333332</v>
      </c>
      <c r="T341">
        <v>165</v>
      </c>
      <c r="U341">
        <f t="shared" si="41"/>
        <v>15.650000000000006</v>
      </c>
    </row>
    <row r="342" spans="1:21" ht="14.25" customHeight="1" x14ac:dyDescent="0.35">
      <c r="A342" s="6" t="s">
        <v>1300</v>
      </c>
      <c r="B342" s="6" t="s">
        <v>1301</v>
      </c>
      <c r="C342" s="6" t="s">
        <v>1302</v>
      </c>
      <c r="D342" s="6" t="s">
        <v>31</v>
      </c>
      <c r="E342" s="7" t="s">
        <v>23</v>
      </c>
      <c r="F342" s="6">
        <v>85266</v>
      </c>
      <c r="G342" s="6" t="s">
        <v>32</v>
      </c>
      <c r="H342" s="6" t="s">
        <v>169</v>
      </c>
      <c r="I342" s="6" t="s">
        <v>26</v>
      </c>
      <c r="J342" s="6" t="b">
        <v>1</v>
      </c>
      <c r="K342" s="6" t="s">
        <v>27</v>
      </c>
      <c r="L342" s="6">
        <v>41.2</v>
      </c>
      <c r="M342" s="6">
        <v>149.35</v>
      </c>
      <c r="N342" s="8">
        <f t="shared" si="35"/>
        <v>76.679999999999993</v>
      </c>
      <c r="O342" s="8">
        <f t="shared" si="36"/>
        <v>1910.08</v>
      </c>
      <c r="P342" s="8">
        <f t="shared" si="37"/>
        <v>1910.08</v>
      </c>
      <c r="Q342" s="8">
        <f t="shared" si="38"/>
        <v>0</v>
      </c>
      <c r="R342" s="9">
        <f t="shared" si="39"/>
        <v>1910.08</v>
      </c>
      <c r="S342" s="10">
        <f t="shared" si="40"/>
        <v>159.17333333333332</v>
      </c>
      <c r="T342">
        <v>165</v>
      </c>
      <c r="U342">
        <f t="shared" si="41"/>
        <v>15.650000000000006</v>
      </c>
    </row>
    <row r="343" spans="1:21" ht="14.25" customHeight="1" x14ac:dyDescent="0.35">
      <c r="A343" s="6" t="s">
        <v>1303</v>
      </c>
      <c r="B343" s="6" t="s">
        <v>1304</v>
      </c>
      <c r="C343" s="6" t="s">
        <v>1305</v>
      </c>
      <c r="D343" s="6" t="s">
        <v>165</v>
      </c>
      <c r="E343" s="7" t="s">
        <v>23</v>
      </c>
      <c r="F343" s="6">
        <v>85296</v>
      </c>
      <c r="G343" s="6" t="s">
        <v>125</v>
      </c>
      <c r="H343" s="6" t="s">
        <v>180</v>
      </c>
      <c r="I343" s="6" t="s">
        <v>26</v>
      </c>
      <c r="J343" s="6" t="b">
        <v>1</v>
      </c>
      <c r="K343" s="6" t="s">
        <v>27</v>
      </c>
      <c r="L343" s="6">
        <v>41.2</v>
      </c>
      <c r="M343" s="6">
        <v>149.35</v>
      </c>
      <c r="N343" s="8">
        <f t="shared" si="35"/>
        <v>76.679999999999993</v>
      </c>
      <c r="O343" s="8">
        <f t="shared" si="36"/>
        <v>1910.08</v>
      </c>
      <c r="P343" s="8">
        <f t="shared" si="37"/>
        <v>1910.08</v>
      </c>
      <c r="Q343" s="8">
        <f t="shared" si="38"/>
        <v>0</v>
      </c>
      <c r="R343" s="9">
        <f t="shared" si="39"/>
        <v>1910.08</v>
      </c>
      <c r="S343" s="10">
        <f t="shared" si="40"/>
        <v>159.17333333333332</v>
      </c>
      <c r="T343">
        <v>165</v>
      </c>
      <c r="U343">
        <f t="shared" si="41"/>
        <v>15.650000000000006</v>
      </c>
    </row>
    <row r="344" spans="1:21" ht="14.25" customHeight="1" x14ac:dyDescent="0.35">
      <c r="A344" s="6" t="s">
        <v>1306</v>
      </c>
      <c r="B344" s="6" t="s">
        <v>1307</v>
      </c>
      <c r="C344" s="6" t="s">
        <v>1308</v>
      </c>
      <c r="D344" s="6" t="s">
        <v>65</v>
      </c>
      <c r="E344" s="7" t="s">
        <v>23</v>
      </c>
      <c r="F344" s="6">
        <v>85213</v>
      </c>
      <c r="G344" s="6" t="s">
        <v>66</v>
      </c>
      <c r="H344" s="6" t="s">
        <v>67</v>
      </c>
      <c r="I344" s="6" t="s">
        <v>26</v>
      </c>
      <c r="J344" s="6" t="b">
        <v>1</v>
      </c>
      <c r="K344" s="6" t="s">
        <v>27</v>
      </c>
      <c r="L344" s="6">
        <v>41.2</v>
      </c>
      <c r="M344" s="6">
        <v>149.35</v>
      </c>
      <c r="N344" s="8">
        <f t="shared" si="35"/>
        <v>76.679999999999993</v>
      </c>
      <c r="O344" s="8">
        <f t="shared" si="36"/>
        <v>1910.08</v>
      </c>
      <c r="P344" s="8">
        <f t="shared" si="37"/>
        <v>1910.08</v>
      </c>
      <c r="Q344" s="8">
        <f t="shared" si="38"/>
        <v>0</v>
      </c>
      <c r="R344" s="9">
        <f t="shared" si="39"/>
        <v>1910.08</v>
      </c>
      <c r="S344" s="10">
        <f t="shared" si="40"/>
        <v>159.17333333333332</v>
      </c>
      <c r="T344">
        <v>165</v>
      </c>
      <c r="U344">
        <f t="shared" si="41"/>
        <v>15.650000000000006</v>
      </c>
    </row>
    <row r="345" spans="1:21" ht="14.25" customHeight="1" x14ac:dyDescent="0.35">
      <c r="A345" s="6" t="s">
        <v>1309</v>
      </c>
      <c r="B345" s="6" t="s">
        <v>1310</v>
      </c>
      <c r="C345" s="6" t="s">
        <v>1311</v>
      </c>
      <c r="D345" s="6" t="s">
        <v>241</v>
      </c>
      <c r="E345" s="7" t="s">
        <v>23</v>
      </c>
      <c r="F345" s="6">
        <v>85331</v>
      </c>
      <c r="G345" s="6" t="s">
        <v>32</v>
      </c>
      <c r="H345" s="6" t="s">
        <v>50</v>
      </c>
      <c r="I345" s="6" t="s">
        <v>61</v>
      </c>
      <c r="J345" s="6" t="b">
        <v>1</v>
      </c>
      <c r="K345" s="6" t="s">
        <v>27</v>
      </c>
      <c r="L345" s="6">
        <v>41.2</v>
      </c>
      <c r="M345" s="6">
        <v>149.35</v>
      </c>
      <c r="N345" s="8">
        <f t="shared" si="35"/>
        <v>76.679999999999993</v>
      </c>
      <c r="O345" s="8">
        <f t="shared" si="36"/>
        <v>1910.08</v>
      </c>
      <c r="P345" s="8">
        <f t="shared" si="37"/>
        <v>1910.08</v>
      </c>
      <c r="Q345" s="8">
        <f t="shared" si="38"/>
        <v>0</v>
      </c>
      <c r="R345" s="9">
        <f t="shared" si="39"/>
        <v>1910.08</v>
      </c>
      <c r="S345" s="10">
        <f t="shared" si="40"/>
        <v>159.17333333333332</v>
      </c>
      <c r="T345">
        <v>165</v>
      </c>
      <c r="U345">
        <f t="shared" si="41"/>
        <v>15.650000000000006</v>
      </c>
    </row>
    <row r="346" spans="1:21" ht="14.25" customHeight="1" x14ac:dyDescent="0.35">
      <c r="A346" s="6" t="s">
        <v>1312</v>
      </c>
      <c r="B346" s="6" t="s">
        <v>1313</v>
      </c>
      <c r="C346" s="6" t="s">
        <v>1314</v>
      </c>
      <c r="D346" s="6" t="s">
        <v>22</v>
      </c>
      <c r="E346" s="7" t="s">
        <v>23</v>
      </c>
      <c r="F346" s="6">
        <v>85286</v>
      </c>
      <c r="G346" s="6" t="s">
        <v>125</v>
      </c>
      <c r="H346" s="6" t="s">
        <v>225</v>
      </c>
      <c r="I346" s="6" t="s">
        <v>26</v>
      </c>
      <c r="J346" s="6" t="b">
        <v>1</v>
      </c>
      <c r="K346" s="6" t="s">
        <v>27</v>
      </c>
      <c r="L346" s="6">
        <v>41.2</v>
      </c>
      <c r="M346" s="6">
        <v>149.35</v>
      </c>
      <c r="N346" s="8">
        <f t="shared" si="35"/>
        <v>76.679999999999993</v>
      </c>
      <c r="O346" s="8">
        <f t="shared" si="36"/>
        <v>1910.08</v>
      </c>
      <c r="P346" s="8">
        <f t="shared" si="37"/>
        <v>1910.08</v>
      </c>
      <c r="Q346" s="8">
        <f t="shared" si="38"/>
        <v>0</v>
      </c>
      <c r="R346" s="9">
        <f t="shared" si="39"/>
        <v>1910.08</v>
      </c>
      <c r="S346" s="10">
        <f t="shared" si="40"/>
        <v>159.17333333333332</v>
      </c>
      <c r="T346">
        <v>165</v>
      </c>
      <c r="U346">
        <f t="shared" si="41"/>
        <v>15.650000000000006</v>
      </c>
    </row>
    <row r="347" spans="1:21" ht="14.25" customHeight="1" x14ac:dyDescent="0.35">
      <c r="A347" s="6" t="s">
        <v>1315</v>
      </c>
      <c r="B347" s="6" t="s">
        <v>1316</v>
      </c>
      <c r="C347" s="6" t="s">
        <v>1317</v>
      </c>
      <c r="D347" s="6" t="s">
        <v>44</v>
      </c>
      <c r="E347" s="7" t="s">
        <v>23</v>
      </c>
      <c r="F347" s="6">
        <v>85042</v>
      </c>
      <c r="G347" s="6" t="s">
        <v>213</v>
      </c>
      <c r="H347" s="6" t="s">
        <v>39</v>
      </c>
      <c r="I347" s="6" t="s">
        <v>26</v>
      </c>
      <c r="J347" s="6" t="b">
        <v>1</v>
      </c>
      <c r="K347" s="6" t="s">
        <v>27</v>
      </c>
      <c r="L347" s="6">
        <v>41.2</v>
      </c>
      <c r="M347" s="6">
        <v>149.35</v>
      </c>
      <c r="N347" s="8">
        <f t="shared" si="35"/>
        <v>76.679999999999993</v>
      </c>
      <c r="O347" s="8">
        <f t="shared" si="36"/>
        <v>1910.08</v>
      </c>
      <c r="P347" s="8">
        <f t="shared" si="37"/>
        <v>1910.08</v>
      </c>
      <c r="Q347" s="8">
        <f t="shared" si="38"/>
        <v>0</v>
      </c>
      <c r="R347" s="9">
        <f t="shared" si="39"/>
        <v>1910.08</v>
      </c>
      <c r="S347" s="10">
        <f t="shared" si="40"/>
        <v>159.17333333333332</v>
      </c>
      <c r="T347">
        <v>165</v>
      </c>
      <c r="U347">
        <f t="shared" si="41"/>
        <v>15.650000000000006</v>
      </c>
    </row>
    <row r="348" spans="1:21" ht="14.25" customHeight="1" x14ac:dyDescent="0.35">
      <c r="A348" s="6" t="s">
        <v>1318</v>
      </c>
      <c r="B348" s="6" t="s">
        <v>1319</v>
      </c>
      <c r="C348" s="6" t="s">
        <v>1320</v>
      </c>
      <c r="D348" s="6" t="s">
        <v>248</v>
      </c>
      <c r="E348" s="7" t="s">
        <v>23</v>
      </c>
      <c r="F348" s="6">
        <v>85339</v>
      </c>
      <c r="G348" s="6" t="s">
        <v>213</v>
      </c>
      <c r="H348" s="6" t="s">
        <v>39</v>
      </c>
      <c r="I348" s="6" t="s">
        <v>26</v>
      </c>
      <c r="J348" s="6" t="b">
        <v>1</v>
      </c>
      <c r="K348" s="6" t="s">
        <v>27</v>
      </c>
      <c r="L348" s="6">
        <v>41.2</v>
      </c>
      <c r="M348" s="6">
        <v>149.35</v>
      </c>
      <c r="N348" s="8">
        <f t="shared" si="35"/>
        <v>76.679999999999993</v>
      </c>
      <c r="O348" s="8">
        <f t="shared" si="36"/>
        <v>1910.08</v>
      </c>
      <c r="P348" s="8">
        <f t="shared" si="37"/>
        <v>1910.08</v>
      </c>
      <c r="Q348" s="8">
        <f t="shared" si="38"/>
        <v>0</v>
      </c>
      <c r="R348" s="9">
        <f t="shared" si="39"/>
        <v>1910.08</v>
      </c>
      <c r="S348" s="10">
        <f t="shared" si="40"/>
        <v>159.17333333333332</v>
      </c>
      <c r="T348">
        <v>165</v>
      </c>
      <c r="U348">
        <f t="shared" si="41"/>
        <v>15.650000000000006</v>
      </c>
    </row>
    <row r="349" spans="1:21" ht="14.25" customHeight="1" x14ac:dyDescent="0.35">
      <c r="A349" s="6" t="s">
        <v>1321</v>
      </c>
      <c r="B349" s="6" t="s">
        <v>1322</v>
      </c>
      <c r="C349" s="6" t="s">
        <v>1323</v>
      </c>
      <c r="D349" s="6" t="s">
        <v>31</v>
      </c>
      <c r="E349" s="7" t="s">
        <v>23</v>
      </c>
      <c r="F349" s="6">
        <v>85266</v>
      </c>
      <c r="G349" s="6" t="s">
        <v>32</v>
      </c>
      <c r="H349" s="6" t="s">
        <v>50</v>
      </c>
      <c r="I349" s="6" t="s">
        <v>40</v>
      </c>
      <c r="J349" s="6" t="b">
        <v>1</v>
      </c>
      <c r="K349" s="6" t="s">
        <v>27</v>
      </c>
      <c r="L349" s="6">
        <v>41.2</v>
      </c>
      <c r="M349" s="6">
        <v>149.35</v>
      </c>
      <c r="N349" s="8">
        <f t="shared" si="35"/>
        <v>76.679999999999993</v>
      </c>
      <c r="O349" s="8">
        <f t="shared" si="36"/>
        <v>1910.08</v>
      </c>
      <c r="P349" s="8">
        <f t="shared" si="37"/>
        <v>1910.08</v>
      </c>
      <c r="Q349" s="8">
        <f t="shared" si="38"/>
        <v>0</v>
      </c>
      <c r="R349" s="9">
        <f t="shared" si="39"/>
        <v>1910.08</v>
      </c>
      <c r="S349" s="10">
        <f t="shared" si="40"/>
        <v>159.17333333333332</v>
      </c>
      <c r="T349">
        <v>165</v>
      </c>
      <c r="U349">
        <f t="shared" si="41"/>
        <v>15.650000000000006</v>
      </c>
    </row>
    <row r="350" spans="1:21" ht="14.25" customHeight="1" x14ac:dyDescent="0.35">
      <c r="A350" s="6" t="s">
        <v>1324</v>
      </c>
      <c r="B350" s="6" t="s">
        <v>1325</v>
      </c>
      <c r="C350" s="6" t="s">
        <v>1326</v>
      </c>
      <c r="D350" s="6" t="s">
        <v>22</v>
      </c>
      <c r="E350" s="7" t="s">
        <v>23</v>
      </c>
      <c r="F350" s="6">
        <v>85286</v>
      </c>
      <c r="G350" s="6" t="s">
        <v>125</v>
      </c>
      <c r="H350" s="6" t="s">
        <v>225</v>
      </c>
      <c r="I350" s="6" t="s">
        <v>26</v>
      </c>
      <c r="J350" s="6" t="b">
        <v>1</v>
      </c>
      <c r="K350" s="6" t="s">
        <v>27</v>
      </c>
      <c r="L350" s="6">
        <v>41.2</v>
      </c>
      <c r="M350" s="6">
        <v>149.35</v>
      </c>
      <c r="N350" s="8">
        <f t="shared" si="35"/>
        <v>76.679999999999993</v>
      </c>
      <c r="O350" s="8">
        <f t="shared" si="36"/>
        <v>1910.08</v>
      </c>
      <c r="P350" s="8">
        <f t="shared" si="37"/>
        <v>1910.08</v>
      </c>
      <c r="Q350" s="8">
        <f t="shared" si="38"/>
        <v>0</v>
      </c>
      <c r="R350" s="9">
        <f t="shared" si="39"/>
        <v>1910.08</v>
      </c>
      <c r="S350" s="10">
        <f t="shared" si="40"/>
        <v>159.17333333333332</v>
      </c>
      <c r="T350">
        <v>165</v>
      </c>
      <c r="U350">
        <f t="shared" si="41"/>
        <v>15.650000000000006</v>
      </c>
    </row>
    <row r="351" spans="1:21" ht="14.25" customHeight="1" x14ac:dyDescent="0.35">
      <c r="A351" s="6" t="s">
        <v>1327</v>
      </c>
      <c r="B351" s="6" t="s">
        <v>1328</v>
      </c>
      <c r="C351" s="6" t="s">
        <v>1329</v>
      </c>
      <c r="D351" s="6" t="s">
        <v>31</v>
      </c>
      <c r="E351" s="7" t="s">
        <v>23</v>
      </c>
      <c r="F351" s="6">
        <v>85254</v>
      </c>
      <c r="G351" s="6" t="s">
        <v>45</v>
      </c>
      <c r="H351" s="6" t="s">
        <v>291</v>
      </c>
      <c r="I351" s="6" t="s">
        <v>26</v>
      </c>
      <c r="J351" s="6" t="b">
        <v>1</v>
      </c>
      <c r="K351" s="6" t="s">
        <v>27</v>
      </c>
      <c r="L351" s="6">
        <v>41.2</v>
      </c>
      <c r="M351" s="6">
        <v>149.35</v>
      </c>
      <c r="N351" s="8">
        <f t="shared" si="35"/>
        <v>76.679999999999993</v>
      </c>
      <c r="O351" s="8">
        <f t="shared" si="36"/>
        <v>1910.08</v>
      </c>
      <c r="P351" s="8">
        <f t="shared" si="37"/>
        <v>1910.08</v>
      </c>
      <c r="Q351" s="8">
        <f t="shared" si="38"/>
        <v>0</v>
      </c>
      <c r="R351" s="9">
        <f t="shared" si="39"/>
        <v>1910.08</v>
      </c>
      <c r="S351" s="10">
        <f t="shared" si="40"/>
        <v>159.17333333333332</v>
      </c>
      <c r="T351">
        <v>165</v>
      </c>
      <c r="U351">
        <f t="shared" si="41"/>
        <v>15.650000000000006</v>
      </c>
    </row>
    <row r="352" spans="1:21" ht="14.25" customHeight="1" x14ac:dyDescent="0.35">
      <c r="A352" s="6" t="s">
        <v>1330</v>
      </c>
      <c r="B352" s="6" t="s">
        <v>1331</v>
      </c>
      <c r="C352" s="6" t="s">
        <v>1332</v>
      </c>
      <c r="D352" s="6" t="s">
        <v>44</v>
      </c>
      <c r="E352" s="7" t="s">
        <v>23</v>
      </c>
      <c r="F352" s="6">
        <v>85016</v>
      </c>
      <c r="G352" s="6" t="s">
        <v>49</v>
      </c>
      <c r="H352" s="6" t="s">
        <v>202</v>
      </c>
      <c r="I352" s="6" t="s">
        <v>26</v>
      </c>
      <c r="J352" s="6" t="b">
        <v>1</v>
      </c>
      <c r="K352" s="6" t="s">
        <v>27</v>
      </c>
      <c r="L352" s="6">
        <v>41.2</v>
      </c>
      <c r="M352" s="6">
        <v>149.35</v>
      </c>
      <c r="N352" s="8">
        <f t="shared" si="35"/>
        <v>76.679999999999993</v>
      </c>
      <c r="O352" s="8">
        <f t="shared" si="36"/>
        <v>1910.08</v>
      </c>
      <c r="P352" s="8">
        <f t="shared" si="37"/>
        <v>1910.08</v>
      </c>
      <c r="Q352" s="8">
        <f t="shared" si="38"/>
        <v>0</v>
      </c>
      <c r="R352" s="9">
        <f t="shared" si="39"/>
        <v>1910.08</v>
      </c>
      <c r="S352" s="10">
        <f t="shared" si="40"/>
        <v>159.17333333333332</v>
      </c>
      <c r="T352">
        <v>165</v>
      </c>
      <c r="U352">
        <f t="shared" si="41"/>
        <v>15.650000000000006</v>
      </c>
    </row>
    <row r="353" spans="1:21" ht="14.25" customHeight="1" x14ac:dyDescent="0.35">
      <c r="A353" s="6" t="s">
        <v>1333</v>
      </c>
      <c r="B353" s="6" t="s">
        <v>1334</v>
      </c>
      <c r="C353" s="6" t="s">
        <v>1335</v>
      </c>
      <c r="D353" s="6" t="s">
        <v>44</v>
      </c>
      <c r="E353" s="7" t="s">
        <v>23</v>
      </c>
      <c r="F353" s="6">
        <v>85042</v>
      </c>
      <c r="G353" s="6" t="s">
        <v>213</v>
      </c>
      <c r="H353" s="6" t="s">
        <v>39</v>
      </c>
      <c r="I353" s="6" t="s">
        <v>26</v>
      </c>
      <c r="J353" s="6" t="b">
        <v>1</v>
      </c>
      <c r="K353" s="6" t="s">
        <v>27</v>
      </c>
      <c r="L353" s="6">
        <v>41.2</v>
      </c>
      <c r="M353" s="6">
        <v>149.35</v>
      </c>
      <c r="N353" s="8">
        <f t="shared" si="35"/>
        <v>76.679999999999993</v>
      </c>
      <c r="O353" s="8">
        <f t="shared" si="36"/>
        <v>1910.08</v>
      </c>
      <c r="P353" s="8">
        <f t="shared" si="37"/>
        <v>1910.08</v>
      </c>
      <c r="Q353" s="8">
        <f t="shared" si="38"/>
        <v>0</v>
      </c>
      <c r="R353" s="9">
        <f t="shared" si="39"/>
        <v>1910.08</v>
      </c>
      <c r="S353" s="10">
        <f t="shared" si="40"/>
        <v>159.17333333333332</v>
      </c>
      <c r="T353">
        <v>165</v>
      </c>
      <c r="U353">
        <f t="shared" si="41"/>
        <v>15.650000000000006</v>
      </c>
    </row>
    <row r="354" spans="1:21" ht="14.25" customHeight="1" x14ac:dyDescent="0.35">
      <c r="A354" s="6" t="s">
        <v>1336</v>
      </c>
      <c r="B354" s="6" t="s">
        <v>1337</v>
      </c>
      <c r="C354" s="6" t="s">
        <v>1338</v>
      </c>
      <c r="D354" s="6" t="s">
        <v>44</v>
      </c>
      <c r="E354" s="7" t="s">
        <v>23</v>
      </c>
      <c r="F354" s="6">
        <v>85048</v>
      </c>
      <c r="G354" s="6" t="s">
        <v>24</v>
      </c>
      <c r="H354" s="6" t="s">
        <v>161</v>
      </c>
      <c r="I354" s="6" t="s">
        <v>26</v>
      </c>
      <c r="J354" s="6" t="b">
        <v>1</v>
      </c>
      <c r="K354" s="6" t="s">
        <v>27</v>
      </c>
      <c r="L354" s="6">
        <v>41.2</v>
      </c>
      <c r="M354" s="6">
        <v>149.35</v>
      </c>
      <c r="N354" s="8">
        <f t="shared" si="35"/>
        <v>76.679999999999993</v>
      </c>
      <c r="O354" s="8">
        <f t="shared" si="36"/>
        <v>1910.08</v>
      </c>
      <c r="P354" s="8">
        <f t="shared" si="37"/>
        <v>1910.08</v>
      </c>
      <c r="Q354" s="8">
        <f t="shared" si="38"/>
        <v>0</v>
      </c>
      <c r="R354" s="9">
        <f t="shared" si="39"/>
        <v>1910.08</v>
      </c>
      <c r="S354" s="10">
        <f t="shared" si="40"/>
        <v>159.17333333333332</v>
      </c>
      <c r="T354">
        <v>165</v>
      </c>
      <c r="U354">
        <f t="shared" si="41"/>
        <v>15.650000000000006</v>
      </c>
    </row>
    <row r="355" spans="1:21" ht="14.25" customHeight="1" x14ac:dyDescent="0.35">
      <c r="A355" s="6" t="s">
        <v>1339</v>
      </c>
      <c r="B355" s="6" t="s">
        <v>1340</v>
      </c>
      <c r="C355" s="6" t="s">
        <v>1341</v>
      </c>
      <c r="D355" s="6" t="s">
        <v>22</v>
      </c>
      <c r="E355" s="7" t="s">
        <v>23</v>
      </c>
      <c r="F355" s="6">
        <v>85224</v>
      </c>
      <c r="G355" s="6" t="s">
        <v>24</v>
      </c>
      <c r="H355" s="6" t="s">
        <v>25</v>
      </c>
      <c r="I355" s="6" t="s">
        <v>26</v>
      </c>
      <c r="J355" s="6" t="b">
        <v>1</v>
      </c>
      <c r="K355" s="6" t="s">
        <v>27</v>
      </c>
      <c r="L355" s="6">
        <v>41.2</v>
      </c>
      <c r="M355" s="6">
        <v>149.35</v>
      </c>
      <c r="N355" s="8">
        <f t="shared" si="35"/>
        <v>76.679999999999993</v>
      </c>
      <c r="O355" s="8">
        <f t="shared" si="36"/>
        <v>1910.08</v>
      </c>
      <c r="P355" s="8">
        <f t="shared" si="37"/>
        <v>1910.08</v>
      </c>
      <c r="Q355" s="8">
        <f t="shared" si="38"/>
        <v>0</v>
      </c>
      <c r="R355" s="9">
        <f t="shared" si="39"/>
        <v>1910.08</v>
      </c>
      <c r="S355" s="10">
        <f t="shared" si="40"/>
        <v>159.17333333333332</v>
      </c>
      <c r="T355">
        <v>165</v>
      </c>
      <c r="U355">
        <f t="shared" si="41"/>
        <v>15.650000000000006</v>
      </c>
    </row>
    <row r="356" spans="1:21" ht="14.25" customHeight="1" x14ac:dyDescent="0.35">
      <c r="A356" s="6" t="s">
        <v>1342</v>
      </c>
      <c r="B356" s="6" t="s">
        <v>1343</v>
      </c>
      <c r="C356" s="6" t="s">
        <v>1344</v>
      </c>
      <c r="D356" s="6" t="s">
        <v>31</v>
      </c>
      <c r="E356" s="7" t="s">
        <v>23</v>
      </c>
      <c r="F356" s="6">
        <v>85260</v>
      </c>
      <c r="G356" s="6" t="s">
        <v>45</v>
      </c>
      <c r="H356" s="6" t="s">
        <v>33</v>
      </c>
      <c r="I356" s="6" t="s">
        <v>26</v>
      </c>
      <c r="J356" s="6" t="b">
        <v>1</v>
      </c>
      <c r="K356" s="6" t="s">
        <v>27</v>
      </c>
      <c r="L356" s="6">
        <v>41.2</v>
      </c>
      <c r="M356" s="6">
        <v>149.35</v>
      </c>
      <c r="N356" s="8">
        <f t="shared" si="35"/>
        <v>76.679999999999993</v>
      </c>
      <c r="O356" s="8">
        <f t="shared" si="36"/>
        <v>1910.08</v>
      </c>
      <c r="P356" s="8">
        <f t="shared" si="37"/>
        <v>1910.08</v>
      </c>
      <c r="Q356" s="8">
        <f t="shared" si="38"/>
        <v>0</v>
      </c>
      <c r="R356" s="9">
        <f t="shared" si="39"/>
        <v>1910.08</v>
      </c>
      <c r="S356" s="10">
        <f t="shared" si="40"/>
        <v>159.17333333333332</v>
      </c>
      <c r="T356">
        <v>165</v>
      </c>
      <c r="U356">
        <f t="shared" si="41"/>
        <v>15.650000000000006</v>
      </c>
    </row>
    <row r="357" spans="1:21" ht="14.25" customHeight="1" x14ac:dyDescent="0.35">
      <c r="A357" s="6" t="s">
        <v>1345</v>
      </c>
      <c r="B357" s="6" t="s">
        <v>1346</v>
      </c>
      <c r="C357" s="6" t="s">
        <v>1347</v>
      </c>
      <c r="D357" s="6" t="s">
        <v>44</v>
      </c>
      <c r="E357" s="7" t="s">
        <v>23</v>
      </c>
      <c r="F357" s="6">
        <v>85032</v>
      </c>
      <c r="G357" s="6" t="s">
        <v>45</v>
      </c>
      <c r="H357" s="6" t="s">
        <v>33</v>
      </c>
      <c r="I357" s="6" t="s">
        <v>26</v>
      </c>
      <c r="J357" s="6" t="b">
        <v>1</v>
      </c>
      <c r="K357" s="6" t="s">
        <v>27</v>
      </c>
      <c r="L357" s="6">
        <v>41.2</v>
      </c>
      <c r="M357" s="6">
        <v>149.35</v>
      </c>
      <c r="N357" s="8">
        <f t="shared" si="35"/>
        <v>76.679999999999993</v>
      </c>
      <c r="O357" s="8">
        <f t="shared" si="36"/>
        <v>1910.08</v>
      </c>
      <c r="P357" s="8">
        <f t="shared" si="37"/>
        <v>1910.08</v>
      </c>
      <c r="Q357" s="8">
        <f t="shared" si="38"/>
        <v>0</v>
      </c>
      <c r="R357" s="9">
        <f t="shared" si="39"/>
        <v>1910.08</v>
      </c>
      <c r="S357" s="10">
        <f t="shared" si="40"/>
        <v>159.17333333333332</v>
      </c>
      <c r="T357">
        <v>165</v>
      </c>
      <c r="U357">
        <f t="shared" si="41"/>
        <v>15.650000000000006</v>
      </c>
    </row>
    <row r="358" spans="1:21" ht="14.25" customHeight="1" x14ac:dyDescent="0.35">
      <c r="A358" s="6" t="s">
        <v>1348</v>
      </c>
      <c r="B358" s="6" t="s">
        <v>1349</v>
      </c>
      <c r="C358" s="6" t="s">
        <v>1350</v>
      </c>
      <c r="D358" s="6" t="s">
        <v>44</v>
      </c>
      <c r="E358" s="7" t="s">
        <v>23</v>
      </c>
      <c r="F358" s="6">
        <v>85041</v>
      </c>
      <c r="G358" s="6" t="s">
        <v>213</v>
      </c>
      <c r="H358" s="6" t="s">
        <v>39</v>
      </c>
      <c r="I358" s="6" t="s">
        <v>26</v>
      </c>
      <c r="J358" s="6" t="b">
        <v>1</v>
      </c>
      <c r="K358" s="6" t="s">
        <v>27</v>
      </c>
      <c r="L358" s="6">
        <v>41.2</v>
      </c>
      <c r="M358" s="6">
        <v>149.35</v>
      </c>
      <c r="N358" s="8">
        <f t="shared" si="35"/>
        <v>76.679999999999993</v>
      </c>
      <c r="O358" s="8">
        <f t="shared" si="36"/>
        <v>1910.08</v>
      </c>
      <c r="P358" s="8">
        <f t="shared" si="37"/>
        <v>1910.08</v>
      </c>
      <c r="Q358" s="8">
        <f t="shared" si="38"/>
        <v>0</v>
      </c>
      <c r="R358" s="9">
        <f t="shared" si="39"/>
        <v>1910.08</v>
      </c>
      <c r="S358" s="10">
        <f t="shared" si="40"/>
        <v>159.17333333333332</v>
      </c>
      <c r="T358">
        <v>165</v>
      </c>
      <c r="U358">
        <f t="shared" si="41"/>
        <v>15.650000000000006</v>
      </c>
    </row>
    <row r="359" spans="1:21" ht="14.25" customHeight="1" x14ac:dyDescent="0.35">
      <c r="A359" s="6" t="s">
        <v>1351</v>
      </c>
      <c r="B359" s="6" t="s">
        <v>1352</v>
      </c>
      <c r="C359" s="6" t="s">
        <v>1353</v>
      </c>
      <c r="D359" s="6" t="s">
        <v>31</v>
      </c>
      <c r="E359" s="7" t="s">
        <v>23</v>
      </c>
      <c r="F359" s="6">
        <v>85254</v>
      </c>
      <c r="G359" s="6" t="s">
        <v>45</v>
      </c>
      <c r="H359" s="6" t="s">
        <v>169</v>
      </c>
      <c r="I359" s="6" t="s">
        <v>26</v>
      </c>
      <c r="J359" s="6" t="b">
        <v>1</v>
      </c>
      <c r="K359" s="6" t="s">
        <v>27</v>
      </c>
      <c r="L359" s="6">
        <v>41.2</v>
      </c>
      <c r="M359" s="6">
        <v>149.35</v>
      </c>
      <c r="N359" s="8">
        <f t="shared" si="35"/>
        <v>76.679999999999993</v>
      </c>
      <c r="O359" s="8">
        <f t="shared" si="36"/>
        <v>1910.08</v>
      </c>
      <c r="P359" s="8">
        <f t="shared" si="37"/>
        <v>1910.08</v>
      </c>
      <c r="Q359" s="8">
        <f t="shared" si="38"/>
        <v>0</v>
      </c>
      <c r="R359" s="9">
        <f t="shared" si="39"/>
        <v>1910.08</v>
      </c>
      <c r="S359" s="10">
        <f t="shared" si="40"/>
        <v>159.17333333333332</v>
      </c>
      <c r="T359">
        <v>165</v>
      </c>
      <c r="U359">
        <f t="shared" si="41"/>
        <v>15.650000000000006</v>
      </c>
    </row>
    <row r="360" spans="1:21" ht="14.25" customHeight="1" x14ac:dyDescent="0.35">
      <c r="A360" s="6" t="s">
        <v>1354</v>
      </c>
      <c r="B360" s="6" t="s">
        <v>1355</v>
      </c>
      <c r="C360" s="6" t="s">
        <v>1356</v>
      </c>
      <c r="D360" s="6" t="s">
        <v>65</v>
      </c>
      <c r="E360" s="7" t="s">
        <v>23</v>
      </c>
      <c r="F360" s="6">
        <v>85202</v>
      </c>
      <c r="G360" s="6" t="s">
        <v>364</v>
      </c>
      <c r="H360" s="6" t="s">
        <v>365</v>
      </c>
      <c r="I360" s="6" t="s">
        <v>26</v>
      </c>
      <c r="J360" s="6" t="b">
        <v>1</v>
      </c>
      <c r="K360" s="6" t="s">
        <v>27</v>
      </c>
      <c r="L360" s="6">
        <v>41.2</v>
      </c>
      <c r="M360" s="6">
        <v>149.35</v>
      </c>
      <c r="N360" s="8">
        <f t="shared" si="35"/>
        <v>76.679999999999993</v>
      </c>
      <c r="O360" s="8">
        <f t="shared" si="36"/>
        <v>1910.08</v>
      </c>
      <c r="P360" s="8">
        <f t="shared" si="37"/>
        <v>1910.08</v>
      </c>
      <c r="Q360" s="8">
        <f t="shared" si="38"/>
        <v>0</v>
      </c>
      <c r="R360" s="9">
        <f t="shared" si="39"/>
        <v>1910.08</v>
      </c>
      <c r="S360" s="10">
        <f t="shared" si="40"/>
        <v>159.17333333333332</v>
      </c>
      <c r="T360">
        <v>165</v>
      </c>
      <c r="U360">
        <f t="shared" si="41"/>
        <v>15.650000000000006</v>
      </c>
    </row>
    <row r="361" spans="1:21" ht="14.25" customHeight="1" x14ac:dyDescent="0.35">
      <c r="A361" s="6" t="s">
        <v>1357</v>
      </c>
      <c r="B361" s="6" t="s">
        <v>1358</v>
      </c>
      <c r="C361" s="6" t="s">
        <v>1359</v>
      </c>
      <c r="D361" s="6" t="s">
        <v>165</v>
      </c>
      <c r="E361" s="7" t="s">
        <v>23</v>
      </c>
      <c r="F361" s="6">
        <v>85298</v>
      </c>
      <c r="G361" s="6" t="s">
        <v>125</v>
      </c>
      <c r="H361" s="6" t="s">
        <v>225</v>
      </c>
      <c r="I361" s="6" t="s">
        <v>26</v>
      </c>
      <c r="J361" s="6" t="b">
        <v>1</v>
      </c>
      <c r="K361" s="6" t="s">
        <v>27</v>
      </c>
      <c r="L361" s="6">
        <v>41.2</v>
      </c>
      <c r="M361" s="6">
        <v>149.35</v>
      </c>
      <c r="N361" s="8">
        <f t="shared" si="35"/>
        <v>76.679999999999993</v>
      </c>
      <c r="O361" s="8">
        <f t="shared" si="36"/>
        <v>1910.08</v>
      </c>
      <c r="P361" s="8">
        <f t="shared" si="37"/>
        <v>1910.08</v>
      </c>
      <c r="Q361" s="8">
        <f t="shared" si="38"/>
        <v>0</v>
      </c>
      <c r="R361" s="9">
        <f t="shared" si="39"/>
        <v>1910.08</v>
      </c>
      <c r="S361" s="10">
        <f t="shared" si="40"/>
        <v>159.17333333333332</v>
      </c>
      <c r="T361">
        <v>165</v>
      </c>
      <c r="U361">
        <f t="shared" si="41"/>
        <v>15.650000000000006</v>
      </c>
    </row>
    <row r="362" spans="1:21" ht="14.25" customHeight="1" x14ac:dyDescent="0.35">
      <c r="A362" s="6" t="s">
        <v>1360</v>
      </c>
      <c r="B362" s="6" t="s">
        <v>1361</v>
      </c>
      <c r="C362" s="6" t="s">
        <v>1362</v>
      </c>
      <c r="D362" s="6" t="s">
        <v>454</v>
      </c>
      <c r="E362" s="7" t="s">
        <v>23</v>
      </c>
      <c r="F362" s="6">
        <v>85338</v>
      </c>
      <c r="G362" s="6" t="s">
        <v>38</v>
      </c>
      <c r="H362" s="6" t="s">
        <v>378</v>
      </c>
      <c r="I362" s="6" t="s">
        <v>57</v>
      </c>
      <c r="J362" s="6" t="b">
        <v>1</v>
      </c>
      <c r="K362" s="6" t="s">
        <v>27</v>
      </c>
      <c r="L362" s="6">
        <v>41.2</v>
      </c>
      <c r="M362" s="6">
        <v>149.35</v>
      </c>
      <c r="N362" s="8">
        <f t="shared" si="35"/>
        <v>76.679999999999993</v>
      </c>
      <c r="O362" s="8">
        <f t="shared" si="36"/>
        <v>1910.08</v>
      </c>
      <c r="P362" s="8">
        <f t="shared" si="37"/>
        <v>1910.08</v>
      </c>
      <c r="Q362" s="8">
        <f t="shared" si="38"/>
        <v>0</v>
      </c>
      <c r="R362" s="9">
        <f t="shared" si="39"/>
        <v>1910.08</v>
      </c>
      <c r="S362" s="10">
        <f t="shared" si="40"/>
        <v>159.17333333333332</v>
      </c>
      <c r="T362">
        <v>165</v>
      </c>
      <c r="U362">
        <f t="shared" si="41"/>
        <v>15.650000000000006</v>
      </c>
    </row>
    <row r="363" spans="1:21" ht="14.25" customHeight="1" x14ac:dyDescent="0.35">
      <c r="A363" s="6" t="s">
        <v>1363</v>
      </c>
      <c r="B363" s="6" t="s">
        <v>1364</v>
      </c>
      <c r="C363" s="6" t="s">
        <v>1365</v>
      </c>
      <c r="D363" s="6" t="s">
        <v>31</v>
      </c>
      <c r="E363" s="7" t="s">
        <v>23</v>
      </c>
      <c r="F363" s="6">
        <v>85255</v>
      </c>
      <c r="G363" s="6" t="s">
        <v>32</v>
      </c>
      <c r="H363" s="6" t="s">
        <v>33</v>
      </c>
      <c r="I363" s="6" t="s">
        <v>26</v>
      </c>
      <c r="J363" s="6" t="b">
        <v>1</v>
      </c>
      <c r="K363" s="6" t="s">
        <v>27</v>
      </c>
      <c r="L363" s="6">
        <v>41.2</v>
      </c>
      <c r="M363" s="6">
        <v>149.35</v>
      </c>
      <c r="N363" s="8">
        <f t="shared" si="35"/>
        <v>76.679999999999993</v>
      </c>
      <c r="O363" s="8">
        <f t="shared" si="36"/>
        <v>1910.08</v>
      </c>
      <c r="P363" s="8">
        <f t="shared" si="37"/>
        <v>1910.08</v>
      </c>
      <c r="Q363" s="8">
        <f t="shared" si="38"/>
        <v>0</v>
      </c>
      <c r="R363" s="9">
        <f t="shared" si="39"/>
        <v>1910.08</v>
      </c>
      <c r="S363" s="10">
        <f t="shared" si="40"/>
        <v>159.17333333333332</v>
      </c>
      <c r="T363">
        <v>165</v>
      </c>
      <c r="U363">
        <f t="shared" si="41"/>
        <v>15.650000000000006</v>
      </c>
    </row>
    <row r="364" spans="1:21" ht="14.25" customHeight="1" x14ac:dyDescent="0.35">
      <c r="A364" s="6" t="s">
        <v>1366</v>
      </c>
      <c r="B364" s="6" t="s">
        <v>1367</v>
      </c>
      <c r="C364" s="6" t="s">
        <v>1368</v>
      </c>
      <c r="D364" s="6" t="s">
        <v>224</v>
      </c>
      <c r="E364" s="7" t="s">
        <v>23</v>
      </c>
      <c r="F364" s="6">
        <v>85248</v>
      </c>
      <c r="G364" s="6" t="s">
        <v>125</v>
      </c>
      <c r="H364" s="6" t="s">
        <v>126</v>
      </c>
      <c r="I364" s="6" t="s">
        <v>26</v>
      </c>
      <c r="J364" s="6" t="b">
        <v>1</v>
      </c>
      <c r="K364" s="6" t="s">
        <v>27</v>
      </c>
      <c r="L364" s="6">
        <v>41.2</v>
      </c>
      <c r="M364" s="6">
        <v>149.35</v>
      </c>
      <c r="N364" s="8">
        <f t="shared" si="35"/>
        <v>76.679999999999993</v>
      </c>
      <c r="O364" s="8">
        <f t="shared" si="36"/>
        <v>1910.08</v>
      </c>
      <c r="P364" s="8">
        <f t="shared" si="37"/>
        <v>1910.08</v>
      </c>
      <c r="Q364" s="8">
        <f t="shared" si="38"/>
        <v>0</v>
      </c>
      <c r="R364" s="9">
        <f t="shared" si="39"/>
        <v>1910.08</v>
      </c>
      <c r="S364" s="10">
        <f t="shared" si="40"/>
        <v>159.17333333333332</v>
      </c>
      <c r="T364">
        <v>165</v>
      </c>
      <c r="U364">
        <f t="shared" si="41"/>
        <v>15.650000000000006</v>
      </c>
    </row>
    <row r="365" spans="1:21" ht="14.25" customHeight="1" x14ac:dyDescent="0.35">
      <c r="A365" s="6" t="s">
        <v>1369</v>
      </c>
      <c r="B365" s="6" t="s">
        <v>1370</v>
      </c>
      <c r="C365" s="6" t="s">
        <v>1371</v>
      </c>
      <c r="D365" s="6" t="s">
        <v>44</v>
      </c>
      <c r="E365" s="7" t="s">
        <v>23</v>
      </c>
      <c r="F365" s="6">
        <v>85022</v>
      </c>
      <c r="G365" s="6" t="s">
        <v>173</v>
      </c>
      <c r="H365" s="6" t="s">
        <v>79</v>
      </c>
      <c r="I365" s="6" t="s">
        <v>26</v>
      </c>
      <c r="J365" s="6" t="b">
        <v>1</v>
      </c>
      <c r="K365" s="6" t="s">
        <v>27</v>
      </c>
      <c r="L365" s="6">
        <v>41.2</v>
      </c>
      <c r="M365" s="6">
        <v>149.35</v>
      </c>
      <c r="N365" s="8">
        <f t="shared" si="35"/>
        <v>76.679999999999993</v>
      </c>
      <c r="O365" s="8">
        <f t="shared" si="36"/>
        <v>1910.08</v>
      </c>
      <c r="P365" s="8">
        <f t="shared" si="37"/>
        <v>1910.08</v>
      </c>
      <c r="Q365" s="8">
        <f t="shared" si="38"/>
        <v>0</v>
      </c>
      <c r="R365" s="9">
        <f t="shared" si="39"/>
        <v>1910.08</v>
      </c>
      <c r="S365" s="10">
        <f t="shared" si="40"/>
        <v>159.17333333333332</v>
      </c>
      <c r="T365">
        <v>165</v>
      </c>
      <c r="U365">
        <f t="shared" si="41"/>
        <v>15.650000000000006</v>
      </c>
    </row>
    <row r="366" spans="1:21" ht="14.25" customHeight="1" x14ac:dyDescent="0.35">
      <c r="A366" s="6" t="s">
        <v>1372</v>
      </c>
      <c r="B366" s="6" t="s">
        <v>1373</v>
      </c>
      <c r="C366" s="6" t="s">
        <v>1374</v>
      </c>
      <c r="D366" s="6" t="s">
        <v>892</v>
      </c>
      <c r="E366" s="7" t="s">
        <v>23</v>
      </c>
      <c r="F366" s="6">
        <v>85142</v>
      </c>
      <c r="G366" s="6" t="s">
        <v>125</v>
      </c>
      <c r="H366" s="6" t="s">
        <v>225</v>
      </c>
      <c r="I366" s="6" t="s">
        <v>26</v>
      </c>
      <c r="J366" s="6" t="b">
        <v>1</v>
      </c>
      <c r="K366" s="6" t="s">
        <v>27</v>
      </c>
      <c r="L366" s="6">
        <v>41.2</v>
      </c>
      <c r="M366" s="6">
        <v>149.35</v>
      </c>
      <c r="N366" s="8">
        <f t="shared" si="35"/>
        <v>76.679999999999993</v>
      </c>
      <c r="O366" s="8">
        <f t="shared" si="36"/>
        <v>1910.08</v>
      </c>
      <c r="P366" s="8">
        <f t="shared" si="37"/>
        <v>1910.08</v>
      </c>
      <c r="Q366" s="8">
        <f t="shared" si="38"/>
        <v>0</v>
      </c>
      <c r="R366" s="9">
        <f t="shared" si="39"/>
        <v>1910.08</v>
      </c>
      <c r="S366" s="10">
        <f t="shared" si="40"/>
        <v>159.17333333333332</v>
      </c>
      <c r="T366">
        <v>165</v>
      </c>
      <c r="U366">
        <f t="shared" si="41"/>
        <v>15.650000000000006</v>
      </c>
    </row>
    <row r="367" spans="1:21" ht="14.25" customHeight="1" x14ac:dyDescent="0.35">
      <c r="A367" s="6" t="s">
        <v>1375</v>
      </c>
      <c r="B367" s="6" t="s">
        <v>1376</v>
      </c>
      <c r="C367" s="6" t="s">
        <v>1377</v>
      </c>
      <c r="D367" s="6" t="s">
        <v>44</v>
      </c>
      <c r="E367" s="7" t="s">
        <v>23</v>
      </c>
      <c r="F367" s="6">
        <v>85019</v>
      </c>
      <c r="G367" s="6" t="s">
        <v>72</v>
      </c>
      <c r="H367" s="6" t="s">
        <v>73</v>
      </c>
      <c r="I367" s="6" t="s">
        <v>57</v>
      </c>
      <c r="J367" s="6" t="b">
        <v>1</v>
      </c>
      <c r="K367" s="6" t="s">
        <v>27</v>
      </c>
      <c r="L367" s="6">
        <v>41.2</v>
      </c>
      <c r="M367" s="6">
        <v>149.35</v>
      </c>
      <c r="N367" s="8">
        <f t="shared" si="35"/>
        <v>76.679999999999993</v>
      </c>
      <c r="O367" s="8">
        <f t="shared" si="36"/>
        <v>1910.08</v>
      </c>
      <c r="P367" s="8">
        <f t="shared" si="37"/>
        <v>1910.08</v>
      </c>
      <c r="Q367" s="8">
        <f t="shared" si="38"/>
        <v>0</v>
      </c>
      <c r="R367" s="9">
        <f t="shared" si="39"/>
        <v>1910.08</v>
      </c>
      <c r="S367" s="10">
        <f t="shared" si="40"/>
        <v>159.17333333333332</v>
      </c>
      <c r="T367">
        <v>165</v>
      </c>
      <c r="U367">
        <f t="shared" si="41"/>
        <v>15.650000000000006</v>
      </c>
    </row>
    <row r="368" spans="1:21" ht="14.25" customHeight="1" x14ac:dyDescent="0.35">
      <c r="A368" s="6" t="s">
        <v>1378</v>
      </c>
      <c r="B368" s="6" t="s">
        <v>1379</v>
      </c>
      <c r="C368" s="6" t="s">
        <v>1380</v>
      </c>
      <c r="D368" s="6" t="s">
        <v>65</v>
      </c>
      <c r="E368" s="7" t="s">
        <v>23</v>
      </c>
      <c r="F368" s="6">
        <v>85213</v>
      </c>
      <c r="G368" s="6" t="s">
        <v>66</v>
      </c>
      <c r="H368" s="6" t="s">
        <v>67</v>
      </c>
      <c r="I368" s="6" t="s">
        <v>26</v>
      </c>
      <c r="J368" s="6" t="b">
        <v>1</v>
      </c>
      <c r="K368" s="6" t="s">
        <v>27</v>
      </c>
      <c r="L368" s="6">
        <v>41.2</v>
      </c>
      <c r="M368" s="6">
        <v>149.35</v>
      </c>
      <c r="N368" s="8">
        <f t="shared" si="35"/>
        <v>76.679999999999993</v>
      </c>
      <c r="O368" s="8">
        <f t="shared" si="36"/>
        <v>1910.08</v>
      </c>
      <c r="P368" s="8">
        <f t="shared" si="37"/>
        <v>1910.08</v>
      </c>
      <c r="Q368" s="8">
        <f t="shared" si="38"/>
        <v>0</v>
      </c>
      <c r="R368" s="9">
        <f t="shared" si="39"/>
        <v>1910.08</v>
      </c>
      <c r="S368" s="10">
        <f t="shared" si="40"/>
        <v>159.17333333333332</v>
      </c>
      <c r="T368">
        <v>165</v>
      </c>
      <c r="U368">
        <f t="shared" si="41"/>
        <v>15.650000000000006</v>
      </c>
    </row>
    <row r="369" spans="1:21" ht="14.25" customHeight="1" x14ac:dyDescent="0.35">
      <c r="A369" s="6" t="s">
        <v>1381</v>
      </c>
      <c r="B369" s="6" t="s">
        <v>1382</v>
      </c>
      <c r="C369" s="6" t="s">
        <v>1383</v>
      </c>
      <c r="D369" s="6" t="s">
        <v>363</v>
      </c>
      <c r="E369" s="7" t="s">
        <v>23</v>
      </c>
      <c r="F369" s="6">
        <v>85281</v>
      </c>
      <c r="G369" s="6" t="s">
        <v>49</v>
      </c>
      <c r="H369" s="6" t="s">
        <v>365</v>
      </c>
      <c r="I369" s="6" t="s">
        <v>26</v>
      </c>
      <c r="J369" s="6" t="b">
        <v>1</v>
      </c>
      <c r="K369" s="6" t="s">
        <v>27</v>
      </c>
      <c r="L369" s="6">
        <v>41.2</v>
      </c>
      <c r="M369" s="6">
        <v>149.35</v>
      </c>
      <c r="N369" s="8">
        <f t="shared" si="35"/>
        <v>76.679999999999993</v>
      </c>
      <c r="O369" s="8">
        <f t="shared" si="36"/>
        <v>1910.08</v>
      </c>
      <c r="P369" s="8">
        <f t="shared" si="37"/>
        <v>1910.08</v>
      </c>
      <c r="Q369" s="8">
        <f t="shared" si="38"/>
        <v>0</v>
      </c>
      <c r="R369" s="9">
        <f t="shared" si="39"/>
        <v>1910.08</v>
      </c>
      <c r="S369" s="10">
        <f t="shared" si="40"/>
        <v>159.17333333333332</v>
      </c>
      <c r="T369">
        <v>165</v>
      </c>
      <c r="U369">
        <f t="shared" si="41"/>
        <v>15.650000000000006</v>
      </c>
    </row>
    <row r="370" spans="1:21" ht="14.25" customHeight="1" x14ac:dyDescent="0.35">
      <c r="A370" s="6" t="s">
        <v>1384</v>
      </c>
      <c r="B370" s="6" t="s">
        <v>1385</v>
      </c>
      <c r="C370" s="6" t="s">
        <v>1386</v>
      </c>
      <c r="D370" s="6" t="s">
        <v>44</v>
      </c>
      <c r="E370" s="7" t="s">
        <v>23</v>
      </c>
      <c r="F370" s="6">
        <v>85053</v>
      </c>
      <c r="G370" s="6" t="s">
        <v>72</v>
      </c>
      <c r="H370" s="6" t="s">
        <v>93</v>
      </c>
      <c r="I370" s="6" t="s">
        <v>26</v>
      </c>
      <c r="J370" s="6" t="b">
        <v>1</v>
      </c>
      <c r="K370" s="6" t="s">
        <v>27</v>
      </c>
      <c r="L370" s="6">
        <v>41.2</v>
      </c>
      <c r="M370" s="6">
        <v>149.35</v>
      </c>
      <c r="N370" s="8">
        <f t="shared" si="35"/>
        <v>76.679999999999993</v>
      </c>
      <c r="O370" s="8">
        <f t="shared" si="36"/>
        <v>1910.08</v>
      </c>
      <c r="P370" s="8">
        <f t="shared" si="37"/>
        <v>1910.08</v>
      </c>
      <c r="Q370" s="8">
        <f t="shared" si="38"/>
        <v>0</v>
      </c>
      <c r="R370" s="9">
        <f t="shared" si="39"/>
        <v>1910.08</v>
      </c>
      <c r="S370" s="10">
        <f t="shared" si="40"/>
        <v>159.17333333333332</v>
      </c>
      <c r="T370">
        <v>165</v>
      </c>
      <c r="U370">
        <f t="shared" si="41"/>
        <v>15.650000000000006</v>
      </c>
    </row>
    <row r="371" spans="1:21" ht="14.25" customHeight="1" x14ac:dyDescent="0.35">
      <c r="A371" s="6" t="s">
        <v>1387</v>
      </c>
      <c r="B371" s="6" t="s">
        <v>1388</v>
      </c>
      <c r="C371" s="6" t="s">
        <v>1389</v>
      </c>
      <c r="D371" s="6" t="s">
        <v>165</v>
      </c>
      <c r="E371" s="7" t="s">
        <v>23</v>
      </c>
      <c r="F371" s="6">
        <v>85295</v>
      </c>
      <c r="G371" s="6" t="s">
        <v>125</v>
      </c>
      <c r="H371" s="6" t="s">
        <v>126</v>
      </c>
      <c r="I371" s="6" t="s">
        <v>26</v>
      </c>
      <c r="J371" s="6" t="b">
        <v>1</v>
      </c>
      <c r="K371" s="6" t="s">
        <v>27</v>
      </c>
      <c r="L371" s="6">
        <v>41.2</v>
      </c>
      <c r="M371" s="6">
        <v>149.35</v>
      </c>
      <c r="N371" s="8">
        <f t="shared" si="35"/>
        <v>76.679999999999993</v>
      </c>
      <c r="O371" s="8">
        <f t="shared" si="36"/>
        <v>1910.08</v>
      </c>
      <c r="P371" s="8">
        <f t="shared" si="37"/>
        <v>1910.08</v>
      </c>
      <c r="Q371" s="8">
        <f t="shared" si="38"/>
        <v>0</v>
      </c>
      <c r="R371" s="9">
        <f t="shared" si="39"/>
        <v>1910.08</v>
      </c>
      <c r="S371" s="10">
        <f t="shared" si="40"/>
        <v>159.17333333333332</v>
      </c>
      <c r="T371">
        <v>165</v>
      </c>
      <c r="U371">
        <f t="shared" si="41"/>
        <v>15.650000000000006</v>
      </c>
    </row>
    <row r="372" spans="1:21" ht="14.25" customHeight="1" x14ac:dyDescent="0.35">
      <c r="A372" s="6" t="s">
        <v>1390</v>
      </c>
      <c r="B372" s="6" t="s">
        <v>1391</v>
      </c>
      <c r="C372" s="6" t="s">
        <v>1392</v>
      </c>
      <c r="D372" s="6" t="s">
        <v>22</v>
      </c>
      <c r="E372" s="7" t="s">
        <v>23</v>
      </c>
      <c r="F372" s="6">
        <v>85286</v>
      </c>
      <c r="G372" s="6" t="s">
        <v>125</v>
      </c>
      <c r="H372" s="6" t="s">
        <v>225</v>
      </c>
      <c r="I372" s="6" t="s">
        <v>26</v>
      </c>
      <c r="J372" s="6" t="b">
        <v>1</v>
      </c>
      <c r="K372" s="6" t="s">
        <v>27</v>
      </c>
      <c r="L372" s="6">
        <v>41.2</v>
      </c>
      <c r="M372" s="6">
        <v>149.35</v>
      </c>
      <c r="N372" s="8">
        <f t="shared" si="35"/>
        <v>76.679999999999993</v>
      </c>
      <c r="O372" s="8">
        <f t="shared" si="36"/>
        <v>1910.08</v>
      </c>
      <c r="P372" s="8">
        <f t="shared" si="37"/>
        <v>1910.08</v>
      </c>
      <c r="Q372" s="8">
        <f t="shared" si="38"/>
        <v>0</v>
      </c>
      <c r="R372" s="9">
        <f t="shared" si="39"/>
        <v>1910.08</v>
      </c>
      <c r="S372" s="10">
        <f t="shared" si="40"/>
        <v>159.17333333333332</v>
      </c>
      <c r="T372">
        <v>165</v>
      </c>
      <c r="U372">
        <f t="shared" si="41"/>
        <v>15.650000000000006</v>
      </c>
    </row>
    <row r="373" spans="1:21" ht="14.25" customHeight="1" x14ac:dyDescent="0.35">
      <c r="A373" s="6" t="s">
        <v>1393</v>
      </c>
      <c r="B373" s="6" t="s">
        <v>1394</v>
      </c>
      <c r="C373" s="6" t="s">
        <v>1395</v>
      </c>
      <c r="D373" s="6" t="s">
        <v>31</v>
      </c>
      <c r="E373" s="7" t="s">
        <v>23</v>
      </c>
      <c r="F373" s="6">
        <v>85259</v>
      </c>
      <c r="G373" s="6" t="s">
        <v>45</v>
      </c>
      <c r="H373" s="6" t="s">
        <v>291</v>
      </c>
      <c r="I373" s="6" t="s">
        <v>26</v>
      </c>
      <c r="J373" s="6" t="b">
        <v>1</v>
      </c>
      <c r="K373" s="6" t="s">
        <v>27</v>
      </c>
      <c r="L373" s="6">
        <v>41.2</v>
      </c>
      <c r="M373" s="6">
        <v>149.35</v>
      </c>
      <c r="N373" s="8">
        <f t="shared" si="35"/>
        <v>76.679999999999993</v>
      </c>
      <c r="O373" s="8">
        <f t="shared" si="36"/>
        <v>1910.08</v>
      </c>
      <c r="P373" s="8">
        <f t="shared" si="37"/>
        <v>1910.08</v>
      </c>
      <c r="Q373" s="8">
        <f t="shared" si="38"/>
        <v>0</v>
      </c>
      <c r="R373" s="9">
        <f t="shared" si="39"/>
        <v>1910.08</v>
      </c>
      <c r="S373" s="10">
        <f t="shared" si="40"/>
        <v>159.17333333333332</v>
      </c>
      <c r="T373">
        <v>165</v>
      </c>
      <c r="U373">
        <f t="shared" si="41"/>
        <v>15.650000000000006</v>
      </c>
    </row>
    <row r="374" spans="1:21" ht="14.25" customHeight="1" x14ac:dyDescent="0.35">
      <c r="A374" s="6" t="s">
        <v>1396</v>
      </c>
      <c r="B374" s="6" t="s">
        <v>1397</v>
      </c>
      <c r="C374" s="6" t="s">
        <v>1398</v>
      </c>
      <c r="D374" s="6" t="s">
        <v>892</v>
      </c>
      <c r="E374" s="7" t="s">
        <v>23</v>
      </c>
      <c r="F374" s="6">
        <v>85142</v>
      </c>
      <c r="G374" s="6" t="s">
        <v>125</v>
      </c>
      <c r="H374" s="6" t="s">
        <v>126</v>
      </c>
      <c r="I374" s="6" t="s">
        <v>26</v>
      </c>
      <c r="J374" s="6" t="b">
        <v>1</v>
      </c>
      <c r="K374" s="6" t="s">
        <v>27</v>
      </c>
      <c r="L374" s="6">
        <v>41.2</v>
      </c>
      <c r="M374" s="6">
        <v>149.35</v>
      </c>
      <c r="N374" s="8">
        <f t="shared" si="35"/>
        <v>76.679999999999993</v>
      </c>
      <c r="O374" s="8">
        <f t="shared" si="36"/>
        <v>1910.08</v>
      </c>
      <c r="P374" s="8">
        <f t="shared" si="37"/>
        <v>1910.08</v>
      </c>
      <c r="Q374" s="8">
        <f t="shared" si="38"/>
        <v>0</v>
      </c>
      <c r="R374" s="9">
        <f t="shared" si="39"/>
        <v>1910.08</v>
      </c>
      <c r="S374" s="10">
        <f t="shared" si="40"/>
        <v>159.17333333333332</v>
      </c>
      <c r="T374">
        <v>165</v>
      </c>
      <c r="U374">
        <f t="shared" si="41"/>
        <v>15.650000000000006</v>
      </c>
    </row>
    <row r="375" spans="1:21" ht="14.25" customHeight="1" x14ac:dyDescent="0.35">
      <c r="A375" s="6" t="s">
        <v>1399</v>
      </c>
      <c r="B375" s="6" t="s">
        <v>1400</v>
      </c>
      <c r="C375" s="6" t="s">
        <v>1401</v>
      </c>
      <c r="D375" s="6" t="s">
        <v>77</v>
      </c>
      <c r="E375" s="7" t="s">
        <v>23</v>
      </c>
      <c r="F375" s="6">
        <v>85308</v>
      </c>
      <c r="G375" s="6" t="s">
        <v>72</v>
      </c>
      <c r="H375" s="6" t="s">
        <v>93</v>
      </c>
      <c r="I375" s="6" t="s">
        <v>26</v>
      </c>
      <c r="J375" s="6" t="b">
        <v>1</v>
      </c>
      <c r="K375" s="6" t="s">
        <v>27</v>
      </c>
      <c r="L375" s="6">
        <v>41.2</v>
      </c>
      <c r="M375" s="6">
        <v>149.35</v>
      </c>
      <c r="N375" s="8">
        <f t="shared" si="35"/>
        <v>76.679999999999993</v>
      </c>
      <c r="O375" s="8">
        <f t="shared" si="36"/>
        <v>1910.08</v>
      </c>
      <c r="P375" s="8">
        <f t="shared" si="37"/>
        <v>1910.08</v>
      </c>
      <c r="Q375" s="8">
        <f t="shared" si="38"/>
        <v>0</v>
      </c>
      <c r="R375" s="9">
        <f t="shared" si="39"/>
        <v>1910.08</v>
      </c>
      <c r="S375" s="10">
        <f t="shared" si="40"/>
        <v>159.17333333333332</v>
      </c>
      <c r="T375">
        <v>165</v>
      </c>
      <c r="U375">
        <f t="shared" si="41"/>
        <v>15.650000000000006</v>
      </c>
    </row>
    <row r="376" spans="1:21" ht="14.25" customHeight="1" x14ac:dyDescent="0.35">
      <c r="A376" s="6" t="s">
        <v>1402</v>
      </c>
      <c r="B376" s="6" t="s">
        <v>1403</v>
      </c>
      <c r="C376" s="6" t="s">
        <v>1404</v>
      </c>
      <c r="D376" s="6" t="s">
        <v>44</v>
      </c>
      <c r="E376" s="7" t="s">
        <v>23</v>
      </c>
      <c r="F376" s="6">
        <v>85018</v>
      </c>
      <c r="G376" s="6" t="s">
        <v>49</v>
      </c>
      <c r="H376" s="6" t="s">
        <v>202</v>
      </c>
      <c r="I376" s="6" t="s">
        <v>26</v>
      </c>
      <c r="J376" s="6" t="b">
        <v>1</v>
      </c>
      <c r="K376" s="6" t="s">
        <v>27</v>
      </c>
      <c r="L376" s="6">
        <v>41.2</v>
      </c>
      <c r="M376" s="6">
        <v>149.35</v>
      </c>
      <c r="N376" s="8">
        <f t="shared" si="35"/>
        <v>76.679999999999993</v>
      </c>
      <c r="O376" s="8">
        <f t="shared" si="36"/>
        <v>1910.08</v>
      </c>
      <c r="P376" s="8">
        <f t="shared" si="37"/>
        <v>1910.08</v>
      </c>
      <c r="Q376" s="8">
        <f t="shared" si="38"/>
        <v>0</v>
      </c>
      <c r="R376" s="9">
        <f t="shared" si="39"/>
        <v>1910.08</v>
      </c>
      <c r="S376" s="10">
        <f t="shared" si="40"/>
        <v>159.17333333333332</v>
      </c>
      <c r="T376">
        <v>165</v>
      </c>
      <c r="U376">
        <f t="shared" si="41"/>
        <v>15.650000000000006</v>
      </c>
    </row>
    <row r="377" spans="1:21" ht="14.25" customHeight="1" x14ac:dyDescent="0.35">
      <c r="A377" s="6" t="s">
        <v>1405</v>
      </c>
      <c r="B377" s="6" t="s">
        <v>1406</v>
      </c>
      <c r="C377" s="6" t="s">
        <v>1407</v>
      </c>
      <c r="D377" s="6" t="s">
        <v>77</v>
      </c>
      <c r="E377" s="7" t="s">
        <v>23</v>
      </c>
      <c r="F377" s="6">
        <v>85301</v>
      </c>
      <c r="G377" s="6" t="s">
        <v>72</v>
      </c>
      <c r="H377" s="6" t="s">
        <v>93</v>
      </c>
      <c r="I377" s="6" t="s">
        <v>26</v>
      </c>
      <c r="J377" s="6" t="b">
        <v>1</v>
      </c>
      <c r="K377" s="6" t="s">
        <v>27</v>
      </c>
      <c r="L377" s="6">
        <v>41.2</v>
      </c>
      <c r="M377" s="6">
        <v>149.35</v>
      </c>
      <c r="N377" s="8">
        <f t="shared" si="35"/>
        <v>76.679999999999993</v>
      </c>
      <c r="O377" s="8">
        <f t="shared" si="36"/>
        <v>1910.08</v>
      </c>
      <c r="P377" s="8">
        <f t="shared" si="37"/>
        <v>1910.08</v>
      </c>
      <c r="Q377" s="8">
        <f t="shared" si="38"/>
        <v>0</v>
      </c>
      <c r="R377" s="9">
        <f t="shared" si="39"/>
        <v>1910.08</v>
      </c>
      <c r="S377" s="10">
        <f t="shared" si="40"/>
        <v>159.17333333333332</v>
      </c>
      <c r="T377">
        <v>165</v>
      </c>
      <c r="U377">
        <f t="shared" si="41"/>
        <v>15.650000000000006</v>
      </c>
    </row>
    <row r="378" spans="1:21" ht="14.25" customHeight="1" x14ac:dyDescent="0.35">
      <c r="A378" s="6" t="s">
        <v>1408</v>
      </c>
      <c r="B378" s="6" t="s">
        <v>1409</v>
      </c>
      <c r="C378" s="6" t="s">
        <v>1410</v>
      </c>
      <c r="D378" s="6" t="s">
        <v>65</v>
      </c>
      <c r="E378" s="7" t="s">
        <v>23</v>
      </c>
      <c r="F378" s="6">
        <v>85207</v>
      </c>
      <c r="G378" s="6" t="s">
        <v>66</v>
      </c>
      <c r="H378" s="6" t="s">
        <v>67</v>
      </c>
      <c r="I378" s="6" t="s">
        <v>26</v>
      </c>
      <c r="J378" s="6" t="b">
        <v>1</v>
      </c>
      <c r="K378" s="6" t="s">
        <v>27</v>
      </c>
      <c r="L378" s="6">
        <v>41.2</v>
      </c>
      <c r="M378" s="6">
        <v>149.35</v>
      </c>
      <c r="N378" s="8">
        <f t="shared" si="35"/>
        <v>76.679999999999993</v>
      </c>
      <c r="O378" s="8">
        <f t="shared" si="36"/>
        <v>1910.08</v>
      </c>
      <c r="P378" s="8">
        <f t="shared" si="37"/>
        <v>1910.08</v>
      </c>
      <c r="Q378" s="8">
        <f t="shared" si="38"/>
        <v>0</v>
      </c>
      <c r="R378" s="9">
        <f t="shared" si="39"/>
        <v>1910.08</v>
      </c>
      <c r="S378" s="10">
        <f t="shared" si="40"/>
        <v>159.17333333333332</v>
      </c>
      <c r="T378">
        <v>165</v>
      </c>
      <c r="U378">
        <f t="shared" si="41"/>
        <v>15.650000000000006</v>
      </c>
    </row>
    <row r="379" spans="1:21" ht="14.25" customHeight="1" x14ac:dyDescent="0.35">
      <c r="A379" s="6" t="s">
        <v>1411</v>
      </c>
      <c r="B379" s="6" t="s">
        <v>1412</v>
      </c>
      <c r="C379" s="6" t="s">
        <v>1413</v>
      </c>
      <c r="D379" s="6" t="s">
        <v>71</v>
      </c>
      <c r="E379" s="7" t="s">
        <v>23</v>
      </c>
      <c r="F379" s="6">
        <v>85345</v>
      </c>
      <c r="G379" s="6" t="s">
        <v>78</v>
      </c>
      <c r="H379" s="6" t="s">
        <v>268</v>
      </c>
      <c r="I379" s="6" t="s">
        <v>26</v>
      </c>
      <c r="J379" s="6" t="b">
        <v>1</v>
      </c>
      <c r="K379" s="6" t="s">
        <v>27</v>
      </c>
      <c r="L379" s="6">
        <v>41.2</v>
      </c>
      <c r="M379" s="6">
        <v>149.35</v>
      </c>
      <c r="N379" s="8">
        <f t="shared" si="35"/>
        <v>76.679999999999993</v>
      </c>
      <c r="O379" s="8">
        <f t="shared" si="36"/>
        <v>1910.08</v>
      </c>
      <c r="P379" s="8">
        <f t="shared" si="37"/>
        <v>1910.08</v>
      </c>
      <c r="Q379" s="8">
        <f t="shared" si="38"/>
        <v>0</v>
      </c>
      <c r="R379" s="9">
        <f t="shared" si="39"/>
        <v>1910.08</v>
      </c>
      <c r="S379" s="10">
        <f t="shared" si="40"/>
        <v>159.17333333333332</v>
      </c>
      <c r="T379">
        <v>165</v>
      </c>
      <c r="U379">
        <f t="shared" si="41"/>
        <v>15.650000000000006</v>
      </c>
    </row>
    <row r="380" spans="1:21" ht="14.25" customHeight="1" x14ac:dyDescent="0.35">
      <c r="A380" s="6" t="s">
        <v>1414</v>
      </c>
      <c r="B380" s="6" t="s">
        <v>1415</v>
      </c>
      <c r="C380" s="6" t="s">
        <v>1416</v>
      </c>
      <c r="D380" s="6" t="s">
        <v>77</v>
      </c>
      <c r="E380" s="7" t="s">
        <v>23</v>
      </c>
      <c r="F380" s="6">
        <v>85304</v>
      </c>
      <c r="G380" s="6" t="s">
        <v>72</v>
      </c>
      <c r="H380" s="6" t="s">
        <v>93</v>
      </c>
      <c r="I380" s="6" t="s">
        <v>26</v>
      </c>
      <c r="J380" s="6" t="b">
        <v>1</v>
      </c>
      <c r="K380" s="6" t="s">
        <v>27</v>
      </c>
      <c r="L380" s="6">
        <v>41.2</v>
      </c>
      <c r="M380" s="6">
        <v>149.35</v>
      </c>
      <c r="N380" s="8">
        <f t="shared" si="35"/>
        <v>76.679999999999993</v>
      </c>
      <c r="O380" s="8">
        <f t="shared" si="36"/>
        <v>1910.08</v>
      </c>
      <c r="P380" s="8">
        <f t="shared" si="37"/>
        <v>1910.08</v>
      </c>
      <c r="Q380" s="8">
        <f t="shared" si="38"/>
        <v>0</v>
      </c>
      <c r="R380" s="9">
        <f t="shared" si="39"/>
        <v>1910.08</v>
      </c>
      <c r="S380" s="10">
        <f t="shared" si="40"/>
        <v>159.17333333333332</v>
      </c>
      <c r="T380">
        <v>165</v>
      </c>
      <c r="U380">
        <f t="shared" si="41"/>
        <v>15.650000000000006</v>
      </c>
    </row>
    <row r="381" spans="1:21" ht="14.25" customHeight="1" x14ac:dyDescent="0.35">
      <c r="A381" s="6" t="s">
        <v>1417</v>
      </c>
      <c r="B381" s="6" t="s">
        <v>1418</v>
      </c>
      <c r="C381" s="6" t="s">
        <v>1419</v>
      </c>
      <c r="D381" s="6" t="s">
        <v>65</v>
      </c>
      <c r="E381" s="7" t="s">
        <v>23</v>
      </c>
      <c r="F381" s="6">
        <v>85205</v>
      </c>
      <c r="G381" s="6" t="s">
        <v>66</v>
      </c>
      <c r="H381" s="6" t="s">
        <v>67</v>
      </c>
      <c r="I381" s="6" t="s">
        <v>26</v>
      </c>
      <c r="J381" s="6" t="b">
        <v>1</v>
      </c>
      <c r="K381" s="6" t="s">
        <v>27</v>
      </c>
      <c r="L381" s="6">
        <v>41.2</v>
      </c>
      <c r="M381" s="6">
        <v>149.35</v>
      </c>
      <c r="N381" s="8">
        <f t="shared" si="35"/>
        <v>76.679999999999993</v>
      </c>
      <c r="O381" s="8">
        <f t="shared" si="36"/>
        <v>1910.08</v>
      </c>
      <c r="P381" s="8">
        <f t="shared" si="37"/>
        <v>1910.08</v>
      </c>
      <c r="Q381" s="8">
        <f t="shared" si="38"/>
        <v>0</v>
      </c>
      <c r="R381" s="9">
        <f t="shared" si="39"/>
        <v>1910.08</v>
      </c>
      <c r="S381" s="10">
        <f t="shared" si="40"/>
        <v>159.17333333333332</v>
      </c>
      <c r="T381">
        <v>165</v>
      </c>
      <c r="U381">
        <f t="shared" si="41"/>
        <v>15.650000000000006</v>
      </c>
    </row>
    <row r="382" spans="1:21" ht="14.25" customHeight="1" x14ac:dyDescent="0.35">
      <c r="A382" s="6" t="s">
        <v>1420</v>
      </c>
      <c r="B382" s="6" t="s">
        <v>1421</v>
      </c>
      <c r="C382" s="6" t="s">
        <v>1422</v>
      </c>
      <c r="D382" s="6" t="s">
        <v>31</v>
      </c>
      <c r="E382" s="7" t="s">
        <v>23</v>
      </c>
      <c r="F382" s="6">
        <v>85266</v>
      </c>
      <c r="G382" s="6" t="s">
        <v>32</v>
      </c>
      <c r="H382" s="6" t="s">
        <v>50</v>
      </c>
      <c r="I382" s="6" t="s">
        <v>1423</v>
      </c>
      <c r="J382" s="6" t="b">
        <v>1</v>
      </c>
      <c r="K382" s="6" t="s">
        <v>27</v>
      </c>
      <c r="L382" s="6">
        <v>41.2</v>
      </c>
      <c r="M382" s="6">
        <v>149.35</v>
      </c>
      <c r="N382" s="8">
        <f t="shared" si="35"/>
        <v>76.679999999999993</v>
      </c>
      <c r="O382" s="8">
        <f t="shared" si="36"/>
        <v>1910.08</v>
      </c>
      <c r="P382" s="8">
        <f t="shared" si="37"/>
        <v>1910.08</v>
      </c>
      <c r="Q382" s="8">
        <f t="shared" si="38"/>
        <v>0</v>
      </c>
      <c r="R382" s="9">
        <f t="shared" si="39"/>
        <v>1910.08</v>
      </c>
      <c r="S382" s="10">
        <f t="shared" si="40"/>
        <v>159.17333333333332</v>
      </c>
      <c r="T382">
        <v>165</v>
      </c>
      <c r="U382">
        <f t="shared" si="41"/>
        <v>15.650000000000006</v>
      </c>
    </row>
    <row r="383" spans="1:21" ht="14.25" customHeight="1" x14ac:dyDescent="0.35">
      <c r="A383" s="6" t="s">
        <v>1424</v>
      </c>
      <c r="B383" s="6" t="s">
        <v>1425</v>
      </c>
      <c r="C383" s="6" t="s">
        <v>1426</v>
      </c>
      <c r="D383" s="6" t="s">
        <v>31</v>
      </c>
      <c r="E383" s="7" t="s">
        <v>23</v>
      </c>
      <c r="F383" s="6">
        <v>85260</v>
      </c>
      <c r="G383" s="6" t="s">
        <v>45</v>
      </c>
      <c r="H383" s="6" t="s">
        <v>291</v>
      </c>
      <c r="I383" s="6" t="s">
        <v>26</v>
      </c>
      <c r="J383" s="6" t="b">
        <v>1</v>
      </c>
      <c r="K383" s="6" t="s">
        <v>27</v>
      </c>
      <c r="L383" s="6">
        <v>41.2</v>
      </c>
      <c r="M383" s="6">
        <v>149.35</v>
      </c>
      <c r="N383" s="8">
        <f t="shared" si="35"/>
        <v>76.679999999999993</v>
      </c>
      <c r="O383" s="8">
        <f t="shared" si="36"/>
        <v>1910.08</v>
      </c>
      <c r="P383" s="8">
        <f t="shared" si="37"/>
        <v>1910.08</v>
      </c>
      <c r="Q383" s="8">
        <f t="shared" si="38"/>
        <v>0</v>
      </c>
      <c r="R383" s="9">
        <f t="shared" si="39"/>
        <v>1910.08</v>
      </c>
      <c r="S383" s="10">
        <f t="shared" si="40"/>
        <v>159.17333333333332</v>
      </c>
      <c r="T383">
        <v>165</v>
      </c>
      <c r="U383">
        <f t="shared" si="41"/>
        <v>15.650000000000006</v>
      </c>
    </row>
    <row r="384" spans="1:21" ht="14.25" customHeight="1" x14ac:dyDescent="0.35">
      <c r="A384" s="6" t="s">
        <v>1427</v>
      </c>
      <c r="B384" s="6" t="s">
        <v>1428</v>
      </c>
      <c r="C384" s="6" t="s">
        <v>1429</v>
      </c>
      <c r="D384" s="6" t="s">
        <v>44</v>
      </c>
      <c r="E384" s="7" t="s">
        <v>23</v>
      </c>
      <c r="F384" s="6">
        <v>85032</v>
      </c>
      <c r="G384" s="6" t="s">
        <v>45</v>
      </c>
      <c r="H384" s="6" t="s">
        <v>169</v>
      </c>
      <c r="I384" s="6" t="s">
        <v>26</v>
      </c>
      <c r="J384" s="6" t="b">
        <v>1</v>
      </c>
      <c r="K384" s="6" t="s">
        <v>27</v>
      </c>
      <c r="L384" s="6">
        <v>41.2</v>
      </c>
      <c r="M384" s="6">
        <v>149.35</v>
      </c>
      <c r="N384" s="8">
        <f t="shared" si="35"/>
        <v>76.679999999999993</v>
      </c>
      <c r="O384" s="8">
        <f t="shared" si="36"/>
        <v>1910.08</v>
      </c>
      <c r="P384" s="8">
        <f t="shared" si="37"/>
        <v>1910.08</v>
      </c>
      <c r="Q384" s="8">
        <f t="shared" si="38"/>
        <v>0</v>
      </c>
      <c r="R384" s="9">
        <f t="shared" si="39"/>
        <v>1910.08</v>
      </c>
      <c r="S384" s="10">
        <f t="shared" si="40"/>
        <v>159.17333333333332</v>
      </c>
      <c r="T384">
        <v>165</v>
      </c>
      <c r="U384">
        <f t="shared" si="41"/>
        <v>15.650000000000006</v>
      </c>
    </row>
    <row r="385" spans="1:21" ht="14.25" customHeight="1" x14ac:dyDescent="0.35">
      <c r="A385" s="6" t="s">
        <v>1430</v>
      </c>
      <c r="B385" s="6" t="s">
        <v>1431</v>
      </c>
      <c r="C385" s="6" t="s">
        <v>1432</v>
      </c>
      <c r="D385" s="6" t="s">
        <v>165</v>
      </c>
      <c r="E385" s="7" t="s">
        <v>23</v>
      </c>
      <c r="F385" s="6">
        <v>85295</v>
      </c>
      <c r="G385" s="6" t="s">
        <v>125</v>
      </c>
      <c r="H385" s="6" t="s">
        <v>126</v>
      </c>
      <c r="I385" s="6" t="s">
        <v>26</v>
      </c>
      <c r="J385" s="6" t="b">
        <v>1</v>
      </c>
      <c r="K385" s="6" t="s">
        <v>27</v>
      </c>
      <c r="L385" s="6">
        <v>41.2</v>
      </c>
      <c r="M385" s="6">
        <v>149.35</v>
      </c>
      <c r="N385" s="8">
        <f t="shared" si="35"/>
        <v>76.679999999999993</v>
      </c>
      <c r="O385" s="8">
        <f t="shared" si="36"/>
        <v>1910.08</v>
      </c>
      <c r="P385" s="8">
        <f t="shared" si="37"/>
        <v>1910.08</v>
      </c>
      <c r="Q385" s="8">
        <f t="shared" si="38"/>
        <v>0</v>
      </c>
      <c r="R385" s="9">
        <f t="shared" si="39"/>
        <v>1910.08</v>
      </c>
      <c r="S385" s="10">
        <f t="shared" si="40"/>
        <v>159.17333333333332</v>
      </c>
      <c r="T385">
        <v>165</v>
      </c>
      <c r="U385">
        <f t="shared" si="41"/>
        <v>15.650000000000006</v>
      </c>
    </row>
    <row r="386" spans="1:21" ht="14.25" customHeight="1" x14ac:dyDescent="0.35">
      <c r="A386" s="6" t="s">
        <v>1433</v>
      </c>
      <c r="B386" s="6" t="s">
        <v>1434</v>
      </c>
      <c r="C386" s="6" t="s">
        <v>1435</v>
      </c>
      <c r="D386" s="6" t="s">
        <v>248</v>
      </c>
      <c r="E386" s="7" t="s">
        <v>23</v>
      </c>
      <c r="F386" s="6">
        <v>85339</v>
      </c>
      <c r="G386" s="6" t="s">
        <v>213</v>
      </c>
      <c r="H386" s="6" t="s">
        <v>39</v>
      </c>
      <c r="I386" s="6" t="s">
        <v>26</v>
      </c>
      <c r="J386" s="6" t="b">
        <v>1</v>
      </c>
      <c r="K386" s="6" t="s">
        <v>27</v>
      </c>
      <c r="L386" s="6">
        <v>41.2</v>
      </c>
      <c r="M386" s="6">
        <v>149.35</v>
      </c>
      <c r="N386" s="8">
        <f t="shared" ref="N386:N449" si="42">IF(J386=TRUE, 6.39*12, "0")</f>
        <v>76.679999999999993</v>
      </c>
      <c r="O386" s="8">
        <f t="shared" ref="O386:O449" si="43">L386+(M386*12)+N386</f>
        <v>1910.08</v>
      </c>
      <c r="P386" s="8">
        <f t="shared" ref="P386:P449" si="44">IF(OR(K386="Check",K386="ACH"), O386*0.97, O386)</f>
        <v>1910.08</v>
      </c>
      <c r="Q386" s="8">
        <f t="shared" ref="Q386:Q449" si="45">P386-O386</f>
        <v>0</v>
      </c>
      <c r="R386" s="9">
        <f t="shared" ref="R386:R449" si="46">O386-Q386</f>
        <v>1910.08</v>
      </c>
      <c r="S386" s="10">
        <f t="shared" ref="S386:S449" si="47">R386/12</f>
        <v>159.17333333333332</v>
      </c>
      <c r="T386">
        <v>165</v>
      </c>
      <c r="U386">
        <f t="shared" si="41"/>
        <v>15.650000000000006</v>
      </c>
    </row>
    <row r="387" spans="1:21" ht="14.25" customHeight="1" x14ac:dyDescent="0.35">
      <c r="A387" s="6" t="s">
        <v>1436</v>
      </c>
      <c r="B387" s="6" t="s">
        <v>1437</v>
      </c>
      <c r="C387" s="6" t="s">
        <v>1438</v>
      </c>
      <c r="D387" s="6" t="s">
        <v>22</v>
      </c>
      <c r="E387" s="7" t="s">
        <v>23</v>
      </c>
      <c r="F387" s="6">
        <v>85249</v>
      </c>
      <c r="G387" s="6" t="s">
        <v>125</v>
      </c>
      <c r="H387" s="6" t="s">
        <v>126</v>
      </c>
      <c r="I387" s="6" t="s">
        <v>26</v>
      </c>
      <c r="J387" s="6" t="b">
        <v>1</v>
      </c>
      <c r="K387" s="6" t="s">
        <v>27</v>
      </c>
      <c r="L387" s="6">
        <v>41.2</v>
      </c>
      <c r="M387" s="6">
        <v>149.35</v>
      </c>
      <c r="N387" s="8">
        <f t="shared" si="42"/>
        <v>76.679999999999993</v>
      </c>
      <c r="O387" s="8">
        <f t="shared" si="43"/>
        <v>1910.08</v>
      </c>
      <c r="P387" s="8">
        <f t="shared" si="44"/>
        <v>1910.08</v>
      </c>
      <c r="Q387" s="8">
        <f t="shared" si="45"/>
        <v>0</v>
      </c>
      <c r="R387" s="9">
        <f t="shared" si="46"/>
        <v>1910.08</v>
      </c>
      <c r="S387" s="10">
        <f t="shared" si="47"/>
        <v>159.17333333333332</v>
      </c>
      <c r="T387">
        <v>165</v>
      </c>
      <c r="U387">
        <f t="shared" si="41"/>
        <v>15.650000000000006</v>
      </c>
    </row>
    <row r="388" spans="1:21" ht="14.25" customHeight="1" x14ac:dyDescent="0.35">
      <c r="A388" s="6" t="s">
        <v>1439</v>
      </c>
      <c r="B388" s="6" t="s">
        <v>1440</v>
      </c>
      <c r="C388" s="6" t="s">
        <v>1441</v>
      </c>
      <c r="D388" s="6" t="s">
        <v>77</v>
      </c>
      <c r="E388" s="7" t="s">
        <v>23</v>
      </c>
      <c r="F388" s="6">
        <v>85310</v>
      </c>
      <c r="G388" s="6" t="s">
        <v>78</v>
      </c>
      <c r="H388" s="6" t="s">
        <v>281</v>
      </c>
      <c r="I388" s="6" t="s">
        <v>26</v>
      </c>
      <c r="J388" s="6" t="b">
        <v>1</v>
      </c>
      <c r="K388" s="6" t="s">
        <v>27</v>
      </c>
      <c r="L388" s="6">
        <v>41.2</v>
      </c>
      <c r="M388" s="6">
        <v>149.35</v>
      </c>
      <c r="N388" s="8">
        <f t="shared" si="42"/>
        <v>76.679999999999993</v>
      </c>
      <c r="O388" s="8">
        <f t="shared" si="43"/>
        <v>1910.08</v>
      </c>
      <c r="P388" s="8">
        <f t="shared" si="44"/>
        <v>1910.08</v>
      </c>
      <c r="Q388" s="8">
        <f t="shared" si="45"/>
        <v>0</v>
      </c>
      <c r="R388" s="9">
        <f t="shared" si="46"/>
        <v>1910.08</v>
      </c>
      <c r="S388" s="10">
        <f t="shared" si="47"/>
        <v>159.17333333333332</v>
      </c>
      <c r="T388">
        <v>165</v>
      </c>
      <c r="U388">
        <f t="shared" ref="U388:U451" si="48">SUM(T388-M388)</f>
        <v>15.650000000000006</v>
      </c>
    </row>
    <row r="389" spans="1:21" ht="14.25" customHeight="1" x14ac:dyDescent="0.35">
      <c r="A389" s="6" t="s">
        <v>1442</v>
      </c>
      <c r="B389" s="6" t="s">
        <v>1443</v>
      </c>
      <c r="C389" s="6" t="s">
        <v>1444</v>
      </c>
      <c r="D389" s="6" t="s">
        <v>454</v>
      </c>
      <c r="E389" s="7" t="s">
        <v>23</v>
      </c>
      <c r="F389" s="6">
        <v>85395</v>
      </c>
      <c r="G389" s="6" t="s">
        <v>38</v>
      </c>
      <c r="H389" s="6" t="s">
        <v>378</v>
      </c>
      <c r="I389" s="6" t="s">
        <v>26</v>
      </c>
      <c r="J389" s="6" t="b">
        <v>1</v>
      </c>
      <c r="K389" s="6" t="s">
        <v>27</v>
      </c>
      <c r="L389" s="6">
        <v>41.2</v>
      </c>
      <c r="M389" s="6">
        <v>149.35</v>
      </c>
      <c r="N389" s="8">
        <f t="shared" si="42"/>
        <v>76.679999999999993</v>
      </c>
      <c r="O389" s="8">
        <f t="shared" si="43"/>
        <v>1910.08</v>
      </c>
      <c r="P389" s="8">
        <f t="shared" si="44"/>
        <v>1910.08</v>
      </c>
      <c r="Q389" s="8">
        <f t="shared" si="45"/>
        <v>0</v>
      </c>
      <c r="R389" s="9">
        <f t="shared" si="46"/>
        <v>1910.08</v>
      </c>
      <c r="S389" s="10">
        <f t="shared" si="47"/>
        <v>159.17333333333332</v>
      </c>
      <c r="T389">
        <v>165</v>
      </c>
      <c r="U389">
        <f t="shared" si="48"/>
        <v>15.650000000000006</v>
      </c>
    </row>
    <row r="390" spans="1:21" ht="14.25" customHeight="1" x14ac:dyDescent="0.35">
      <c r="A390" s="6" t="s">
        <v>1445</v>
      </c>
      <c r="B390" s="6" t="s">
        <v>1446</v>
      </c>
      <c r="C390" s="6" t="s">
        <v>1447</v>
      </c>
      <c r="D390" s="6" t="s">
        <v>267</v>
      </c>
      <c r="E390" s="7" t="s">
        <v>23</v>
      </c>
      <c r="F390" s="6">
        <v>85387</v>
      </c>
      <c r="G390" s="6" t="s">
        <v>78</v>
      </c>
      <c r="H390" s="6" t="s">
        <v>281</v>
      </c>
      <c r="I390" s="6" t="s">
        <v>26</v>
      </c>
      <c r="J390" s="6" t="b">
        <v>1</v>
      </c>
      <c r="K390" s="6" t="s">
        <v>27</v>
      </c>
      <c r="L390" s="6">
        <v>41.2</v>
      </c>
      <c r="M390" s="6">
        <v>149.35</v>
      </c>
      <c r="N390" s="8">
        <f t="shared" si="42"/>
        <v>76.679999999999993</v>
      </c>
      <c r="O390" s="8">
        <f t="shared" si="43"/>
        <v>1910.08</v>
      </c>
      <c r="P390" s="8">
        <f t="shared" si="44"/>
        <v>1910.08</v>
      </c>
      <c r="Q390" s="8">
        <f t="shared" si="45"/>
        <v>0</v>
      </c>
      <c r="R390" s="9">
        <f t="shared" si="46"/>
        <v>1910.08</v>
      </c>
      <c r="S390" s="10">
        <f t="shared" si="47"/>
        <v>159.17333333333332</v>
      </c>
      <c r="T390">
        <v>165</v>
      </c>
      <c r="U390">
        <f t="shared" si="48"/>
        <v>15.650000000000006</v>
      </c>
    </row>
    <row r="391" spans="1:21" ht="14.25" customHeight="1" x14ac:dyDescent="0.35">
      <c r="A391" s="6" t="s">
        <v>1448</v>
      </c>
      <c r="B391" s="6" t="s">
        <v>1449</v>
      </c>
      <c r="C391" s="6" t="s">
        <v>1450</v>
      </c>
      <c r="D391" s="6" t="s">
        <v>363</v>
      </c>
      <c r="E391" s="7" t="s">
        <v>23</v>
      </c>
      <c r="F391" s="6">
        <v>85282</v>
      </c>
      <c r="G391" s="6" t="s">
        <v>364</v>
      </c>
      <c r="H391" s="6" t="s">
        <v>365</v>
      </c>
      <c r="I391" s="6" t="s">
        <v>26</v>
      </c>
      <c r="J391" s="6" t="b">
        <v>1</v>
      </c>
      <c r="K391" s="6" t="s">
        <v>27</v>
      </c>
      <c r="L391" s="6">
        <v>41.2</v>
      </c>
      <c r="M391" s="6">
        <v>149.35</v>
      </c>
      <c r="N391" s="8">
        <f t="shared" si="42"/>
        <v>76.679999999999993</v>
      </c>
      <c r="O391" s="8">
        <f t="shared" si="43"/>
        <v>1910.08</v>
      </c>
      <c r="P391" s="8">
        <f t="shared" si="44"/>
        <v>1910.08</v>
      </c>
      <c r="Q391" s="8">
        <f t="shared" si="45"/>
        <v>0</v>
      </c>
      <c r="R391" s="9">
        <f t="shared" si="46"/>
        <v>1910.08</v>
      </c>
      <c r="S391" s="10">
        <f t="shared" si="47"/>
        <v>159.17333333333332</v>
      </c>
      <c r="T391">
        <v>165</v>
      </c>
      <c r="U391">
        <f t="shared" si="48"/>
        <v>15.650000000000006</v>
      </c>
    </row>
    <row r="392" spans="1:21" ht="14.25" customHeight="1" x14ac:dyDescent="0.35">
      <c r="A392" s="6" t="s">
        <v>1451</v>
      </c>
      <c r="B392" s="6" t="s">
        <v>1452</v>
      </c>
      <c r="C392" s="6" t="s">
        <v>1453</v>
      </c>
      <c r="D392" s="6" t="s">
        <v>44</v>
      </c>
      <c r="E392" s="7" t="s">
        <v>23</v>
      </c>
      <c r="F392" s="6">
        <v>85085</v>
      </c>
      <c r="G392" s="6" t="s">
        <v>32</v>
      </c>
      <c r="H392" s="6" t="s">
        <v>50</v>
      </c>
      <c r="I392" s="6" t="s">
        <v>40</v>
      </c>
      <c r="J392" s="6" t="b">
        <v>1</v>
      </c>
      <c r="K392" s="6" t="s">
        <v>27</v>
      </c>
      <c r="L392" s="6">
        <v>41.2</v>
      </c>
      <c r="M392" s="6">
        <v>149.35</v>
      </c>
      <c r="N392" s="8">
        <f t="shared" si="42"/>
        <v>76.679999999999993</v>
      </c>
      <c r="O392" s="8">
        <f t="shared" si="43"/>
        <v>1910.08</v>
      </c>
      <c r="P392" s="8">
        <f t="shared" si="44"/>
        <v>1910.08</v>
      </c>
      <c r="Q392" s="8">
        <f t="shared" si="45"/>
        <v>0</v>
      </c>
      <c r="R392" s="9">
        <f t="shared" si="46"/>
        <v>1910.08</v>
      </c>
      <c r="S392" s="10">
        <f t="shared" si="47"/>
        <v>159.17333333333332</v>
      </c>
      <c r="T392">
        <v>165</v>
      </c>
      <c r="U392">
        <f t="shared" si="48"/>
        <v>15.650000000000006</v>
      </c>
    </row>
    <row r="393" spans="1:21" ht="14.25" customHeight="1" x14ac:dyDescent="0.35">
      <c r="A393" s="6" t="s">
        <v>1454</v>
      </c>
      <c r="B393" s="6" t="s">
        <v>1455</v>
      </c>
      <c r="C393" s="6" t="s">
        <v>1456</v>
      </c>
      <c r="D393" s="6" t="s">
        <v>44</v>
      </c>
      <c r="E393" s="7" t="s">
        <v>23</v>
      </c>
      <c r="F393" s="6">
        <v>85044</v>
      </c>
      <c r="G393" s="6" t="s">
        <v>24</v>
      </c>
      <c r="H393" s="6" t="s">
        <v>161</v>
      </c>
      <c r="I393" s="6" t="s">
        <v>26</v>
      </c>
      <c r="J393" s="6" t="b">
        <v>1</v>
      </c>
      <c r="K393" s="6" t="s">
        <v>27</v>
      </c>
      <c r="L393" s="6">
        <v>41.2</v>
      </c>
      <c r="M393" s="6">
        <v>149.35</v>
      </c>
      <c r="N393" s="8">
        <f t="shared" si="42"/>
        <v>76.679999999999993</v>
      </c>
      <c r="O393" s="8">
        <f t="shared" si="43"/>
        <v>1910.08</v>
      </c>
      <c r="P393" s="8">
        <f t="shared" si="44"/>
        <v>1910.08</v>
      </c>
      <c r="Q393" s="8">
        <f t="shared" si="45"/>
        <v>0</v>
      </c>
      <c r="R393" s="9">
        <f t="shared" si="46"/>
        <v>1910.08</v>
      </c>
      <c r="S393" s="10">
        <f t="shared" si="47"/>
        <v>159.17333333333332</v>
      </c>
      <c r="T393">
        <v>165</v>
      </c>
      <c r="U393">
        <f t="shared" si="48"/>
        <v>15.650000000000006</v>
      </c>
    </row>
    <row r="394" spans="1:21" ht="14.25" customHeight="1" x14ac:dyDescent="0.35">
      <c r="A394" s="6" t="s">
        <v>1457</v>
      </c>
      <c r="B394" s="6" t="s">
        <v>1458</v>
      </c>
      <c r="C394" s="6" t="s">
        <v>1459</v>
      </c>
      <c r="D394" s="6" t="s">
        <v>44</v>
      </c>
      <c r="E394" s="7" t="s">
        <v>23</v>
      </c>
      <c r="F394" s="6">
        <v>85021</v>
      </c>
      <c r="G394" s="6" t="s">
        <v>72</v>
      </c>
      <c r="H394" s="6" t="s">
        <v>93</v>
      </c>
      <c r="I394" s="6" t="s">
        <v>26</v>
      </c>
      <c r="J394" s="6" t="b">
        <v>1</v>
      </c>
      <c r="K394" s="6" t="s">
        <v>27</v>
      </c>
      <c r="L394" s="6">
        <v>41.2</v>
      </c>
      <c r="M394" s="6">
        <v>149.35</v>
      </c>
      <c r="N394" s="8">
        <f t="shared" si="42"/>
        <v>76.679999999999993</v>
      </c>
      <c r="O394" s="8">
        <f t="shared" si="43"/>
        <v>1910.08</v>
      </c>
      <c r="P394" s="8">
        <f t="shared" si="44"/>
        <v>1910.08</v>
      </c>
      <c r="Q394" s="8">
        <f t="shared" si="45"/>
        <v>0</v>
      </c>
      <c r="R394" s="9">
        <f t="shared" si="46"/>
        <v>1910.08</v>
      </c>
      <c r="S394" s="10">
        <f t="shared" si="47"/>
        <v>159.17333333333332</v>
      </c>
      <c r="T394">
        <v>165</v>
      </c>
      <c r="U394">
        <f t="shared" si="48"/>
        <v>15.650000000000006</v>
      </c>
    </row>
    <row r="395" spans="1:21" ht="14.25" customHeight="1" x14ac:dyDescent="0.35">
      <c r="A395" s="6" t="s">
        <v>1460</v>
      </c>
      <c r="B395" s="6" t="s">
        <v>1461</v>
      </c>
      <c r="C395" s="6" t="s">
        <v>1462</v>
      </c>
      <c r="D395" s="6" t="s">
        <v>165</v>
      </c>
      <c r="E395" s="7" t="s">
        <v>23</v>
      </c>
      <c r="F395" s="6">
        <v>85295</v>
      </c>
      <c r="G395" s="6" t="s">
        <v>125</v>
      </c>
      <c r="H395" s="6" t="s">
        <v>225</v>
      </c>
      <c r="I395" s="6" t="s">
        <v>26</v>
      </c>
      <c r="J395" s="6" t="b">
        <v>1</v>
      </c>
      <c r="K395" s="6" t="s">
        <v>27</v>
      </c>
      <c r="L395" s="6">
        <v>41.2</v>
      </c>
      <c r="M395" s="6">
        <v>149.35</v>
      </c>
      <c r="N395" s="8">
        <f t="shared" si="42"/>
        <v>76.679999999999993</v>
      </c>
      <c r="O395" s="8">
        <f t="shared" si="43"/>
        <v>1910.08</v>
      </c>
      <c r="P395" s="8">
        <f t="shared" si="44"/>
        <v>1910.08</v>
      </c>
      <c r="Q395" s="8">
        <f t="shared" si="45"/>
        <v>0</v>
      </c>
      <c r="R395" s="9">
        <f t="shared" si="46"/>
        <v>1910.08</v>
      </c>
      <c r="S395" s="10">
        <f t="shared" si="47"/>
        <v>159.17333333333332</v>
      </c>
      <c r="T395">
        <v>165</v>
      </c>
      <c r="U395">
        <f t="shared" si="48"/>
        <v>15.650000000000006</v>
      </c>
    </row>
    <row r="396" spans="1:21" ht="14.25" customHeight="1" x14ac:dyDescent="0.35">
      <c r="A396" s="6" t="s">
        <v>1463</v>
      </c>
      <c r="B396" s="6" t="s">
        <v>1464</v>
      </c>
      <c r="C396" s="6" t="s">
        <v>1465</v>
      </c>
      <c r="D396" s="6" t="s">
        <v>22</v>
      </c>
      <c r="E396" s="7" t="s">
        <v>23</v>
      </c>
      <c r="F396" s="6">
        <v>85248</v>
      </c>
      <c r="G396" s="6" t="s">
        <v>125</v>
      </c>
      <c r="H396" s="6" t="s">
        <v>126</v>
      </c>
      <c r="I396" s="6" t="s">
        <v>26</v>
      </c>
      <c r="J396" s="6" t="b">
        <v>1</v>
      </c>
      <c r="K396" s="6" t="s">
        <v>27</v>
      </c>
      <c r="L396" s="6">
        <v>41.2</v>
      </c>
      <c r="M396" s="6">
        <v>149.35</v>
      </c>
      <c r="N396" s="8">
        <f t="shared" si="42"/>
        <v>76.679999999999993</v>
      </c>
      <c r="O396" s="8">
        <f t="shared" si="43"/>
        <v>1910.08</v>
      </c>
      <c r="P396" s="8">
        <f t="shared" si="44"/>
        <v>1910.08</v>
      </c>
      <c r="Q396" s="8">
        <f t="shared" si="45"/>
        <v>0</v>
      </c>
      <c r="R396" s="9">
        <f t="shared" si="46"/>
        <v>1910.08</v>
      </c>
      <c r="S396" s="10">
        <f t="shared" si="47"/>
        <v>159.17333333333332</v>
      </c>
      <c r="T396">
        <v>165</v>
      </c>
      <c r="U396">
        <f t="shared" si="48"/>
        <v>15.650000000000006</v>
      </c>
    </row>
    <row r="397" spans="1:21" ht="14.25" customHeight="1" x14ac:dyDescent="0.35">
      <c r="A397" s="6" t="s">
        <v>1466</v>
      </c>
      <c r="B397" s="6" t="s">
        <v>1467</v>
      </c>
      <c r="C397" s="6" t="s">
        <v>1468</v>
      </c>
      <c r="D397" s="6" t="s">
        <v>31</v>
      </c>
      <c r="E397" s="7" t="s">
        <v>23</v>
      </c>
      <c r="F397" s="6">
        <v>85259</v>
      </c>
      <c r="G397" s="6" t="s">
        <v>45</v>
      </c>
      <c r="H397" s="6" t="s">
        <v>291</v>
      </c>
      <c r="I397" s="6" t="s">
        <v>26</v>
      </c>
      <c r="J397" s="6" t="b">
        <v>1</v>
      </c>
      <c r="K397" s="6" t="s">
        <v>27</v>
      </c>
      <c r="L397" s="6">
        <v>41.2</v>
      </c>
      <c r="M397" s="6">
        <v>149.35</v>
      </c>
      <c r="N397" s="8">
        <f t="shared" si="42"/>
        <v>76.679999999999993</v>
      </c>
      <c r="O397" s="8">
        <f t="shared" si="43"/>
        <v>1910.08</v>
      </c>
      <c r="P397" s="8">
        <f t="shared" si="44"/>
        <v>1910.08</v>
      </c>
      <c r="Q397" s="8">
        <f t="shared" si="45"/>
        <v>0</v>
      </c>
      <c r="R397" s="9">
        <f t="shared" si="46"/>
        <v>1910.08</v>
      </c>
      <c r="S397" s="10">
        <f t="shared" si="47"/>
        <v>159.17333333333332</v>
      </c>
      <c r="T397">
        <v>165</v>
      </c>
      <c r="U397">
        <f t="shared" si="48"/>
        <v>15.650000000000006</v>
      </c>
    </row>
    <row r="398" spans="1:21" ht="14.25" customHeight="1" x14ac:dyDescent="0.35">
      <c r="A398" s="6" t="s">
        <v>1469</v>
      </c>
      <c r="B398" s="6" t="s">
        <v>1470</v>
      </c>
      <c r="C398" s="6" t="s">
        <v>1471</v>
      </c>
      <c r="D398" s="6" t="s">
        <v>44</v>
      </c>
      <c r="E398" s="7" t="s">
        <v>23</v>
      </c>
      <c r="F398" s="6">
        <v>85008</v>
      </c>
      <c r="G398" s="6" t="s">
        <v>49</v>
      </c>
      <c r="H398" s="6" t="s">
        <v>365</v>
      </c>
      <c r="I398" s="6" t="s">
        <v>26</v>
      </c>
      <c r="J398" s="6" t="b">
        <v>1</v>
      </c>
      <c r="K398" s="6" t="s">
        <v>27</v>
      </c>
      <c r="L398" s="6">
        <v>41.2</v>
      </c>
      <c r="M398" s="6">
        <v>149.35</v>
      </c>
      <c r="N398" s="8">
        <f t="shared" si="42"/>
        <v>76.679999999999993</v>
      </c>
      <c r="O398" s="8">
        <f t="shared" si="43"/>
        <v>1910.08</v>
      </c>
      <c r="P398" s="8">
        <f t="shared" si="44"/>
        <v>1910.08</v>
      </c>
      <c r="Q398" s="8">
        <f t="shared" si="45"/>
        <v>0</v>
      </c>
      <c r="R398" s="9">
        <f t="shared" si="46"/>
        <v>1910.08</v>
      </c>
      <c r="S398" s="10">
        <f t="shared" si="47"/>
        <v>159.17333333333332</v>
      </c>
      <c r="T398">
        <v>165</v>
      </c>
      <c r="U398">
        <f t="shared" si="48"/>
        <v>15.650000000000006</v>
      </c>
    </row>
    <row r="399" spans="1:21" ht="14.25" customHeight="1" x14ac:dyDescent="0.35">
      <c r="A399" s="6" t="s">
        <v>1472</v>
      </c>
      <c r="B399" s="6" t="s">
        <v>1473</v>
      </c>
      <c r="C399" s="6" t="s">
        <v>1474</v>
      </c>
      <c r="D399" s="6" t="s">
        <v>44</v>
      </c>
      <c r="E399" s="7" t="s">
        <v>23</v>
      </c>
      <c r="F399" s="6">
        <v>85018</v>
      </c>
      <c r="G399" s="6" t="s">
        <v>49</v>
      </c>
      <c r="H399" s="6" t="s">
        <v>202</v>
      </c>
      <c r="I399" s="6" t="s">
        <v>26</v>
      </c>
      <c r="J399" s="6" t="b">
        <v>1</v>
      </c>
      <c r="K399" s="6" t="s">
        <v>27</v>
      </c>
      <c r="L399" s="6">
        <v>41.2</v>
      </c>
      <c r="M399" s="6">
        <v>149.35</v>
      </c>
      <c r="N399" s="8">
        <f t="shared" si="42"/>
        <v>76.679999999999993</v>
      </c>
      <c r="O399" s="8">
        <f t="shared" si="43"/>
        <v>1910.08</v>
      </c>
      <c r="P399" s="8">
        <f t="shared" si="44"/>
        <v>1910.08</v>
      </c>
      <c r="Q399" s="8">
        <f t="shared" si="45"/>
        <v>0</v>
      </c>
      <c r="R399" s="9">
        <f t="shared" si="46"/>
        <v>1910.08</v>
      </c>
      <c r="S399" s="10">
        <f t="shared" si="47"/>
        <v>159.17333333333332</v>
      </c>
      <c r="T399">
        <v>165</v>
      </c>
      <c r="U399">
        <f t="shared" si="48"/>
        <v>15.650000000000006</v>
      </c>
    </row>
    <row r="400" spans="1:21" ht="14.25" customHeight="1" x14ac:dyDescent="0.35">
      <c r="A400" s="6" t="s">
        <v>1475</v>
      </c>
      <c r="B400" s="6" t="s">
        <v>1476</v>
      </c>
      <c r="C400" s="6" t="s">
        <v>1477</v>
      </c>
      <c r="D400" s="6" t="s">
        <v>44</v>
      </c>
      <c r="E400" s="7" t="s">
        <v>23</v>
      </c>
      <c r="F400" s="6">
        <v>85022</v>
      </c>
      <c r="G400" s="6" t="s">
        <v>173</v>
      </c>
      <c r="H400" s="6" t="s">
        <v>79</v>
      </c>
      <c r="I400" s="6" t="s">
        <v>26</v>
      </c>
      <c r="J400" s="6" t="b">
        <v>1</v>
      </c>
      <c r="K400" s="6" t="s">
        <v>27</v>
      </c>
      <c r="L400" s="6">
        <v>41.2</v>
      </c>
      <c r="M400" s="6">
        <v>149.35</v>
      </c>
      <c r="N400" s="8">
        <f t="shared" si="42"/>
        <v>76.679999999999993</v>
      </c>
      <c r="O400" s="8">
        <f t="shared" si="43"/>
        <v>1910.08</v>
      </c>
      <c r="P400" s="8">
        <f t="shared" si="44"/>
        <v>1910.08</v>
      </c>
      <c r="Q400" s="8">
        <f t="shared" si="45"/>
        <v>0</v>
      </c>
      <c r="R400" s="9">
        <f t="shared" si="46"/>
        <v>1910.08</v>
      </c>
      <c r="S400" s="10">
        <f t="shared" si="47"/>
        <v>159.17333333333332</v>
      </c>
      <c r="T400">
        <v>165</v>
      </c>
      <c r="U400">
        <f t="shared" si="48"/>
        <v>15.650000000000006</v>
      </c>
    </row>
    <row r="401" spans="1:21" ht="14.25" customHeight="1" x14ac:dyDescent="0.35">
      <c r="A401" s="6" t="s">
        <v>1478</v>
      </c>
      <c r="B401" s="6" t="s">
        <v>1479</v>
      </c>
      <c r="C401" s="6" t="s">
        <v>1480</v>
      </c>
      <c r="D401" s="6" t="s">
        <v>77</v>
      </c>
      <c r="E401" s="7" t="s">
        <v>23</v>
      </c>
      <c r="F401" s="6">
        <v>85306</v>
      </c>
      <c r="G401" s="6" t="s">
        <v>72</v>
      </c>
      <c r="H401" s="6" t="s">
        <v>93</v>
      </c>
      <c r="I401" s="6" t="s">
        <v>26</v>
      </c>
      <c r="J401" s="6" t="b">
        <v>1</v>
      </c>
      <c r="K401" s="6" t="s">
        <v>27</v>
      </c>
      <c r="L401" s="6">
        <v>41.2</v>
      </c>
      <c r="M401" s="6">
        <v>149.35</v>
      </c>
      <c r="N401" s="8">
        <f t="shared" si="42"/>
        <v>76.679999999999993</v>
      </c>
      <c r="O401" s="8">
        <f t="shared" si="43"/>
        <v>1910.08</v>
      </c>
      <c r="P401" s="8">
        <f t="shared" si="44"/>
        <v>1910.08</v>
      </c>
      <c r="Q401" s="8">
        <f t="shared" si="45"/>
        <v>0</v>
      </c>
      <c r="R401" s="9">
        <f t="shared" si="46"/>
        <v>1910.08</v>
      </c>
      <c r="S401" s="10">
        <f t="shared" si="47"/>
        <v>159.17333333333332</v>
      </c>
      <c r="T401">
        <v>165</v>
      </c>
      <c r="U401">
        <f t="shared" si="48"/>
        <v>15.650000000000006</v>
      </c>
    </row>
    <row r="402" spans="1:21" ht="14.25" customHeight="1" x14ac:dyDescent="0.35">
      <c r="A402" s="6" t="s">
        <v>1481</v>
      </c>
      <c r="B402" s="6" t="s">
        <v>1482</v>
      </c>
      <c r="C402" s="6" t="s">
        <v>1483</v>
      </c>
      <c r="D402" s="6" t="s">
        <v>165</v>
      </c>
      <c r="E402" s="7" t="s">
        <v>23</v>
      </c>
      <c r="F402" s="6">
        <v>85298</v>
      </c>
      <c r="G402" s="6" t="s">
        <v>125</v>
      </c>
      <c r="H402" s="6" t="s">
        <v>126</v>
      </c>
      <c r="I402" s="6" t="s">
        <v>26</v>
      </c>
      <c r="J402" s="6" t="b">
        <v>1</v>
      </c>
      <c r="K402" s="6" t="s">
        <v>27</v>
      </c>
      <c r="L402" s="6">
        <v>41.2</v>
      </c>
      <c r="M402" s="6">
        <v>149.35</v>
      </c>
      <c r="N402" s="8">
        <f t="shared" si="42"/>
        <v>76.679999999999993</v>
      </c>
      <c r="O402" s="8">
        <f t="shared" si="43"/>
        <v>1910.08</v>
      </c>
      <c r="P402" s="8">
        <f t="shared" si="44"/>
        <v>1910.08</v>
      </c>
      <c r="Q402" s="8">
        <f t="shared" si="45"/>
        <v>0</v>
      </c>
      <c r="R402" s="9">
        <f t="shared" si="46"/>
        <v>1910.08</v>
      </c>
      <c r="S402" s="10">
        <f t="shared" si="47"/>
        <v>159.17333333333332</v>
      </c>
      <c r="T402">
        <v>165</v>
      </c>
      <c r="U402">
        <f t="shared" si="48"/>
        <v>15.650000000000006</v>
      </c>
    </row>
    <row r="403" spans="1:21" ht="14.25" customHeight="1" x14ac:dyDescent="0.35">
      <c r="A403" s="6" t="s">
        <v>1484</v>
      </c>
      <c r="B403" s="6" t="s">
        <v>1485</v>
      </c>
      <c r="C403" s="6" t="s">
        <v>1486</v>
      </c>
      <c r="D403" s="6" t="s">
        <v>44</v>
      </c>
      <c r="E403" s="7" t="s">
        <v>23</v>
      </c>
      <c r="F403" s="6">
        <v>85003</v>
      </c>
      <c r="G403" s="6" t="s">
        <v>213</v>
      </c>
      <c r="H403" s="6" t="s">
        <v>202</v>
      </c>
      <c r="I403" s="6" t="s">
        <v>26</v>
      </c>
      <c r="J403" s="6" t="b">
        <v>1</v>
      </c>
      <c r="K403" s="6" t="s">
        <v>27</v>
      </c>
      <c r="L403" s="6">
        <v>41.2</v>
      </c>
      <c r="M403" s="6">
        <v>149.35</v>
      </c>
      <c r="N403" s="8">
        <f t="shared" si="42"/>
        <v>76.679999999999993</v>
      </c>
      <c r="O403" s="8">
        <f t="shared" si="43"/>
        <v>1910.08</v>
      </c>
      <c r="P403" s="8">
        <f t="shared" si="44"/>
        <v>1910.08</v>
      </c>
      <c r="Q403" s="8">
        <f t="shared" si="45"/>
        <v>0</v>
      </c>
      <c r="R403" s="9">
        <f t="shared" si="46"/>
        <v>1910.08</v>
      </c>
      <c r="S403" s="10">
        <f t="shared" si="47"/>
        <v>159.17333333333332</v>
      </c>
      <c r="T403">
        <v>165</v>
      </c>
      <c r="U403">
        <f t="shared" si="48"/>
        <v>15.650000000000006</v>
      </c>
    </row>
    <row r="404" spans="1:21" ht="14.25" customHeight="1" x14ac:dyDescent="0.35">
      <c r="A404" s="6" t="s">
        <v>1487</v>
      </c>
      <c r="B404" s="6" t="s">
        <v>1488</v>
      </c>
      <c r="C404" s="6" t="s">
        <v>1489</v>
      </c>
      <c r="D404" s="6" t="s">
        <v>71</v>
      </c>
      <c r="E404" s="7" t="s">
        <v>23</v>
      </c>
      <c r="F404" s="6">
        <v>85382</v>
      </c>
      <c r="G404" s="6" t="s">
        <v>78</v>
      </c>
      <c r="H404" s="6" t="s">
        <v>268</v>
      </c>
      <c r="I404" s="6" t="s">
        <v>40</v>
      </c>
      <c r="J404" s="6" t="b">
        <v>1</v>
      </c>
      <c r="K404" s="6" t="s">
        <v>27</v>
      </c>
      <c r="L404" s="6">
        <v>41.2</v>
      </c>
      <c r="M404" s="6">
        <v>149.35</v>
      </c>
      <c r="N404" s="8">
        <f t="shared" si="42"/>
        <v>76.679999999999993</v>
      </c>
      <c r="O404" s="8">
        <f t="shared" si="43"/>
        <v>1910.08</v>
      </c>
      <c r="P404" s="8">
        <f t="shared" si="44"/>
        <v>1910.08</v>
      </c>
      <c r="Q404" s="8">
        <f t="shared" si="45"/>
        <v>0</v>
      </c>
      <c r="R404" s="9">
        <f t="shared" si="46"/>
        <v>1910.08</v>
      </c>
      <c r="S404" s="10">
        <f t="shared" si="47"/>
        <v>159.17333333333332</v>
      </c>
      <c r="T404">
        <v>165</v>
      </c>
      <c r="U404">
        <f t="shared" si="48"/>
        <v>15.650000000000006</v>
      </c>
    </row>
    <row r="405" spans="1:21" ht="14.25" customHeight="1" x14ac:dyDescent="0.35">
      <c r="A405" s="6" t="s">
        <v>1490</v>
      </c>
      <c r="B405" s="6" t="s">
        <v>1491</v>
      </c>
      <c r="C405" s="6" t="s">
        <v>1492</v>
      </c>
      <c r="D405" s="6" t="s">
        <v>71</v>
      </c>
      <c r="E405" s="7" t="s">
        <v>23</v>
      </c>
      <c r="F405" s="6">
        <v>85383</v>
      </c>
      <c r="G405" s="6" t="s">
        <v>78</v>
      </c>
      <c r="H405" s="6" t="s">
        <v>268</v>
      </c>
      <c r="I405" s="6" t="s">
        <v>40</v>
      </c>
      <c r="J405" s="6" t="b">
        <v>1</v>
      </c>
      <c r="K405" s="6" t="s">
        <v>27</v>
      </c>
      <c r="L405" s="6">
        <v>41.2</v>
      </c>
      <c r="M405" s="6">
        <v>149.35</v>
      </c>
      <c r="N405" s="8">
        <f t="shared" si="42"/>
        <v>76.679999999999993</v>
      </c>
      <c r="O405" s="8">
        <f t="shared" si="43"/>
        <v>1910.08</v>
      </c>
      <c r="P405" s="8">
        <f t="shared" si="44"/>
        <v>1910.08</v>
      </c>
      <c r="Q405" s="8">
        <f t="shared" si="45"/>
        <v>0</v>
      </c>
      <c r="R405" s="9">
        <f t="shared" si="46"/>
        <v>1910.08</v>
      </c>
      <c r="S405" s="10">
        <f t="shared" si="47"/>
        <v>159.17333333333332</v>
      </c>
      <c r="T405">
        <v>165</v>
      </c>
      <c r="U405">
        <f t="shared" si="48"/>
        <v>15.650000000000006</v>
      </c>
    </row>
    <row r="406" spans="1:21" ht="14.25" customHeight="1" x14ac:dyDescent="0.35">
      <c r="A406" s="6" t="s">
        <v>1493</v>
      </c>
      <c r="B406" s="6" t="s">
        <v>1494</v>
      </c>
      <c r="C406" s="6" t="s">
        <v>1495</v>
      </c>
      <c r="D406" s="6" t="s">
        <v>363</v>
      </c>
      <c r="E406" s="7" t="s">
        <v>23</v>
      </c>
      <c r="F406" s="6">
        <v>85283</v>
      </c>
      <c r="G406" s="6" t="s">
        <v>364</v>
      </c>
      <c r="H406" s="6" t="s">
        <v>365</v>
      </c>
      <c r="I406" s="6" t="s">
        <v>26</v>
      </c>
      <c r="J406" s="6" t="b">
        <v>1</v>
      </c>
      <c r="K406" s="6" t="s">
        <v>27</v>
      </c>
      <c r="L406" s="6">
        <v>41.2</v>
      </c>
      <c r="M406" s="6">
        <v>149.35</v>
      </c>
      <c r="N406" s="8">
        <f t="shared" si="42"/>
        <v>76.679999999999993</v>
      </c>
      <c r="O406" s="8">
        <f t="shared" si="43"/>
        <v>1910.08</v>
      </c>
      <c r="P406" s="8">
        <f t="shared" si="44"/>
        <v>1910.08</v>
      </c>
      <c r="Q406" s="8">
        <f t="shared" si="45"/>
        <v>0</v>
      </c>
      <c r="R406" s="9">
        <f t="shared" si="46"/>
        <v>1910.08</v>
      </c>
      <c r="S406" s="10">
        <f t="shared" si="47"/>
        <v>159.17333333333332</v>
      </c>
      <c r="T406">
        <v>165</v>
      </c>
      <c r="U406">
        <f t="shared" si="48"/>
        <v>15.650000000000006</v>
      </c>
    </row>
    <row r="407" spans="1:21" ht="14.25" customHeight="1" x14ac:dyDescent="0.35">
      <c r="A407" s="6" t="s">
        <v>1496</v>
      </c>
      <c r="B407" s="6" t="s">
        <v>1497</v>
      </c>
      <c r="C407" s="6" t="s">
        <v>1498</v>
      </c>
      <c r="D407" s="6" t="s">
        <v>1499</v>
      </c>
      <c r="E407" s="7" t="s">
        <v>23</v>
      </c>
      <c r="F407" s="6">
        <v>85086</v>
      </c>
      <c r="G407" s="6" t="s">
        <v>32</v>
      </c>
      <c r="H407" s="6" t="s">
        <v>79</v>
      </c>
      <c r="I407" s="6" t="s">
        <v>40</v>
      </c>
      <c r="J407" s="6" t="b">
        <v>1</v>
      </c>
      <c r="K407" s="6" t="s">
        <v>27</v>
      </c>
      <c r="L407" s="6">
        <v>41.2</v>
      </c>
      <c r="M407" s="6">
        <v>149.35</v>
      </c>
      <c r="N407" s="8">
        <f t="shared" si="42"/>
        <v>76.679999999999993</v>
      </c>
      <c r="O407" s="8">
        <f t="shared" si="43"/>
        <v>1910.08</v>
      </c>
      <c r="P407" s="8">
        <f t="shared" si="44"/>
        <v>1910.08</v>
      </c>
      <c r="Q407" s="8">
        <f t="shared" si="45"/>
        <v>0</v>
      </c>
      <c r="R407" s="9">
        <f t="shared" si="46"/>
        <v>1910.08</v>
      </c>
      <c r="S407" s="10">
        <f t="shared" si="47"/>
        <v>159.17333333333332</v>
      </c>
      <c r="T407">
        <v>165</v>
      </c>
      <c r="U407">
        <f t="shared" si="48"/>
        <v>15.650000000000006</v>
      </c>
    </row>
    <row r="408" spans="1:21" ht="14.25" customHeight="1" x14ac:dyDescent="0.35">
      <c r="A408" s="6" t="s">
        <v>1500</v>
      </c>
      <c r="B408" s="6" t="s">
        <v>1501</v>
      </c>
      <c r="C408" s="6" t="s">
        <v>1502</v>
      </c>
      <c r="D408" s="6" t="s">
        <v>65</v>
      </c>
      <c r="E408" s="7" t="s">
        <v>23</v>
      </c>
      <c r="F408" s="6">
        <v>85213</v>
      </c>
      <c r="G408" s="6" t="s">
        <v>66</v>
      </c>
      <c r="H408" s="6" t="s">
        <v>67</v>
      </c>
      <c r="I408" s="6" t="s">
        <v>26</v>
      </c>
      <c r="J408" s="6" t="b">
        <v>1</v>
      </c>
      <c r="K408" s="6" t="s">
        <v>27</v>
      </c>
      <c r="L408" s="6">
        <v>41.2</v>
      </c>
      <c r="M408" s="6">
        <v>149.35</v>
      </c>
      <c r="N408" s="8">
        <f t="shared" si="42"/>
        <v>76.679999999999993</v>
      </c>
      <c r="O408" s="8">
        <f t="shared" si="43"/>
        <v>1910.08</v>
      </c>
      <c r="P408" s="8">
        <f t="shared" si="44"/>
        <v>1910.08</v>
      </c>
      <c r="Q408" s="8">
        <f t="shared" si="45"/>
        <v>0</v>
      </c>
      <c r="R408" s="9">
        <f t="shared" si="46"/>
        <v>1910.08</v>
      </c>
      <c r="S408" s="10">
        <f t="shared" si="47"/>
        <v>159.17333333333332</v>
      </c>
      <c r="T408">
        <v>165</v>
      </c>
      <c r="U408">
        <f t="shared" si="48"/>
        <v>15.650000000000006</v>
      </c>
    </row>
    <row r="409" spans="1:21" ht="14.25" customHeight="1" x14ac:dyDescent="0.35">
      <c r="A409" s="6" t="s">
        <v>1503</v>
      </c>
      <c r="B409" s="6" t="s">
        <v>1504</v>
      </c>
      <c r="C409" s="6" t="s">
        <v>1505</v>
      </c>
      <c r="D409" s="6" t="s">
        <v>44</v>
      </c>
      <c r="E409" s="7" t="s">
        <v>23</v>
      </c>
      <c r="F409" s="6">
        <v>85013</v>
      </c>
      <c r="G409" s="6" t="s">
        <v>213</v>
      </c>
      <c r="H409" s="6" t="s">
        <v>202</v>
      </c>
      <c r="I409" s="6" t="s">
        <v>26</v>
      </c>
      <c r="J409" s="6" t="b">
        <v>1</v>
      </c>
      <c r="K409" s="6" t="s">
        <v>27</v>
      </c>
      <c r="L409" s="6">
        <v>41.2</v>
      </c>
      <c r="M409" s="6">
        <v>149.35</v>
      </c>
      <c r="N409" s="8">
        <f t="shared" si="42"/>
        <v>76.679999999999993</v>
      </c>
      <c r="O409" s="8">
        <f t="shared" si="43"/>
        <v>1910.08</v>
      </c>
      <c r="P409" s="8">
        <f t="shared" si="44"/>
        <v>1910.08</v>
      </c>
      <c r="Q409" s="8">
        <f t="shared" si="45"/>
        <v>0</v>
      </c>
      <c r="R409" s="9">
        <f t="shared" si="46"/>
        <v>1910.08</v>
      </c>
      <c r="S409" s="10">
        <f t="shared" si="47"/>
        <v>159.17333333333332</v>
      </c>
      <c r="T409">
        <v>165</v>
      </c>
      <c r="U409">
        <f t="shared" si="48"/>
        <v>15.650000000000006</v>
      </c>
    </row>
    <row r="410" spans="1:21" ht="14.25" customHeight="1" x14ac:dyDescent="0.35">
      <c r="A410" s="6" t="s">
        <v>1721</v>
      </c>
      <c r="B410" s="6" t="s">
        <v>1722</v>
      </c>
      <c r="C410" s="6" t="s">
        <v>1723</v>
      </c>
      <c r="D410" s="6" t="s">
        <v>44</v>
      </c>
      <c r="E410" s="7" t="s">
        <v>23</v>
      </c>
      <c r="F410" s="6">
        <v>85018</v>
      </c>
      <c r="G410" s="6" t="s">
        <v>49</v>
      </c>
      <c r="H410" s="6" t="s">
        <v>50</v>
      </c>
      <c r="I410" s="6" t="s">
        <v>26</v>
      </c>
      <c r="J410" s="6" t="b">
        <v>1</v>
      </c>
      <c r="K410" s="6" t="s">
        <v>89</v>
      </c>
      <c r="L410" s="6">
        <v>41.2</v>
      </c>
      <c r="M410" s="6">
        <v>149.35</v>
      </c>
      <c r="N410" s="8">
        <f t="shared" si="42"/>
        <v>76.679999999999993</v>
      </c>
      <c r="O410" s="8">
        <f t="shared" si="43"/>
        <v>1910.08</v>
      </c>
      <c r="P410" s="8">
        <f t="shared" si="44"/>
        <v>1852.7775999999999</v>
      </c>
      <c r="Q410" s="8">
        <f t="shared" si="45"/>
        <v>-57.302400000000034</v>
      </c>
      <c r="R410" s="9">
        <f t="shared" si="46"/>
        <v>1967.3824</v>
      </c>
      <c r="S410" s="10">
        <f t="shared" si="47"/>
        <v>163.94853333333333</v>
      </c>
      <c r="T410">
        <v>165</v>
      </c>
      <c r="U410">
        <f t="shared" si="48"/>
        <v>15.650000000000006</v>
      </c>
    </row>
    <row r="411" spans="1:21" ht="14.25" customHeight="1" x14ac:dyDescent="0.35">
      <c r="A411" s="6" t="s">
        <v>382</v>
      </c>
      <c r="B411" s="6" t="s">
        <v>383</v>
      </c>
      <c r="C411" s="6" t="s">
        <v>384</v>
      </c>
      <c r="D411" s="6" t="s">
        <v>248</v>
      </c>
      <c r="E411" s="7" t="s">
        <v>23</v>
      </c>
      <c r="F411" s="6">
        <v>85339</v>
      </c>
      <c r="G411" s="6" t="s">
        <v>213</v>
      </c>
      <c r="H411" s="6" t="s">
        <v>39</v>
      </c>
      <c r="I411" s="6" t="s">
        <v>26</v>
      </c>
      <c r="J411" s="6" t="b">
        <v>0</v>
      </c>
      <c r="K411" s="6" t="s">
        <v>27</v>
      </c>
      <c r="L411" s="6">
        <v>0</v>
      </c>
      <c r="M411" s="6">
        <v>150</v>
      </c>
      <c r="N411" s="8" t="str">
        <f t="shared" si="42"/>
        <v>0</v>
      </c>
      <c r="O411" s="8">
        <f t="shared" si="43"/>
        <v>1800</v>
      </c>
      <c r="P411" s="8">
        <f t="shared" si="44"/>
        <v>1800</v>
      </c>
      <c r="Q411" s="8">
        <f t="shared" si="45"/>
        <v>0</v>
      </c>
      <c r="R411" s="9">
        <f t="shared" si="46"/>
        <v>1800</v>
      </c>
      <c r="S411" s="10">
        <f t="shared" si="47"/>
        <v>150</v>
      </c>
      <c r="T411">
        <v>165</v>
      </c>
      <c r="U411">
        <f t="shared" si="48"/>
        <v>15</v>
      </c>
    </row>
    <row r="412" spans="1:21" ht="14.25" customHeight="1" x14ac:dyDescent="0.35">
      <c r="A412" s="6" t="s">
        <v>385</v>
      </c>
      <c r="B412" s="6" t="s">
        <v>386</v>
      </c>
      <c r="C412" s="6" t="s">
        <v>387</v>
      </c>
      <c r="D412" s="6" t="s">
        <v>44</v>
      </c>
      <c r="E412" s="7" t="s">
        <v>23</v>
      </c>
      <c r="F412" s="6">
        <v>85048</v>
      </c>
      <c r="G412" s="6" t="s">
        <v>24</v>
      </c>
      <c r="H412" s="6" t="s">
        <v>161</v>
      </c>
      <c r="I412" s="6" t="s">
        <v>26</v>
      </c>
      <c r="J412" s="6" t="b">
        <v>0</v>
      </c>
      <c r="K412" s="6" t="s">
        <v>27</v>
      </c>
      <c r="L412" s="6">
        <v>0</v>
      </c>
      <c r="M412" s="6">
        <v>150</v>
      </c>
      <c r="N412" s="8" t="str">
        <f t="shared" si="42"/>
        <v>0</v>
      </c>
      <c r="O412" s="8">
        <f t="shared" si="43"/>
        <v>1800</v>
      </c>
      <c r="P412" s="8">
        <f t="shared" si="44"/>
        <v>1800</v>
      </c>
      <c r="Q412" s="8">
        <f t="shared" si="45"/>
        <v>0</v>
      </c>
      <c r="R412" s="9">
        <f t="shared" si="46"/>
        <v>1800</v>
      </c>
      <c r="S412" s="10">
        <f t="shared" si="47"/>
        <v>150</v>
      </c>
      <c r="T412">
        <v>165</v>
      </c>
      <c r="U412">
        <f t="shared" si="48"/>
        <v>15</v>
      </c>
    </row>
    <row r="413" spans="1:21" ht="14.25" customHeight="1" x14ac:dyDescent="0.35">
      <c r="A413" s="6" t="s">
        <v>388</v>
      </c>
      <c r="B413" s="6" t="s">
        <v>389</v>
      </c>
      <c r="C413" s="6" t="s">
        <v>390</v>
      </c>
      <c r="D413" s="6" t="s">
        <v>22</v>
      </c>
      <c r="E413" s="7" t="s">
        <v>23</v>
      </c>
      <c r="F413" s="6">
        <v>85226</v>
      </c>
      <c r="G413" s="6" t="s">
        <v>24</v>
      </c>
      <c r="H413" s="6" t="s">
        <v>25</v>
      </c>
      <c r="I413" s="6" t="s">
        <v>26</v>
      </c>
      <c r="J413" s="6" t="b">
        <v>0</v>
      </c>
      <c r="K413" s="6" t="s">
        <v>27</v>
      </c>
      <c r="L413" s="6">
        <v>0</v>
      </c>
      <c r="M413" s="6">
        <v>150</v>
      </c>
      <c r="N413" s="8" t="str">
        <f t="shared" si="42"/>
        <v>0</v>
      </c>
      <c r="O413" s="8">
        <f t="shared" si="43"/>
        <v>1800</v>
      </c>
      <c r="P413" s="8">
        <f t="shared" si="44"/>
        <v>1800</v>
      </c>
      <c r="Q413" s="8">
        <f t="shared" si="45"/>
        <v>0</v>
      </c>
      <c r="R413" s="9">
        <f t="shared" si="46"/>
        <v>1800</v>
      </c>
      <c r="S413" s="10">
        <f t="shared" si="47"/>
        <v>150</v>
      </c>
      <c r="T413">
        <v>165</v>
      </c>
      <c r="U413">
        <f t="shared" si="48"/>
        <v>15</v>
      </c>
    </row>
    <row r="414" spans="1:21" ht="14.25" customHeight="1" x14ac:dyDescent="0.35">
      <c r="A414" s="6" t="s">
        <v>391</v>
      </c>
      <c r="B414" s="6" t="s">
        <v>392</v>
      </c>
      <c r="C414" s="6" t="s">
        <v>393</v>
      </c>
      <c r="D414" s="6" t="s">
        <v>44</v>
      </c>
      <c r="E414" s="7" t="s">
        <v>23</v>
      </c>
      <c r="F414" s="6">
        <v>85003</v>
      </c>
      <c r="G414" s="6" t="s">
        <v>213</v>
      </c>
      <c r="H414" s="6" t="s">
        <v>202</v>
      </c>
      <c r="I414" s="6" t="s">
        <v>26</v>
      </c>
      <c r="J414" s="6" t="b">
        <v>0</v>
      </c>
      <c r="K414" s="6" t="s">
        <v>27</v>
      </c>
      <c r="L414" s="6">
        <v>0</v>
      </c>
      <c r="M414" s="6">
        <v>150</v>
      </c>
      <c r="N414" s="8" t="str">
        <f t="shared" si="42"/>
        <v>0</v>
      </c>
      <c r="O414" s="8">
        <f t="shared" si="43"/>
        <v>1800</v>
      </c>
      <c r="P414" s="8">
        <f t="shared" si="44"/>
        <v>1800</v>
      </c>
      <c r="Q414" s="8">
        <f t="shared" si="45"/>
        <v>0</v>
      </c>
      <c r="R414" s="9">
        <f t="shared" si="46"/>
        <v>1800</v>
      </c>
      <c r="S414" s="10">
        <f t="shared" si="47"/>
        <v>150</v>
      </c>
      <c r="T414">
        <v>165</v>
      </c>
      <c r="U414">
        <f t="shared" si="48"/>
        <v>15</v>
      </c>
    </row>
    <row r="415" spans="1:21" ht="14.25" customHeight="1" x14ac:dyDescent="0.35">
      <c r="A415" s="6" t="s">
        <v>394</v>
      </c>
      <c r="B415" s="6" t="s">
        <v>395</v>
      </c>
      <c r="C415" s="6" t="s">
        <v>396</v>
      </c>
      <c r="D415" s="6" t="s">
        <v>44</v>
      </c>
      <c r="E415" s="7" t="s">
        <v>23</v>
      </c>
      <c r="F415" s="6">
        <v>85042</v>
      </c>
      <c r="G415" s="6" t="s">
        <v>213</v>
      </c>
      <c r="H415" s="6" t="s">
        <v>39</v>
      </c>
      <c r="I415" s="6" t="s">
        <v>26</v>
      </c>
      <c r="J415" s="6" t="b">
        <v>1</v>
      </c>
      <c r="K415" s="6" t="s">
        <v>27</v>
      </c>
      <c r="L415" s="6">
        <v>0</v>
      </c>
      <c r="M415" s="6">
        <v>150</v>
      </c>
      <c r="N415" s="8">
        <f t="shared" si="42"/>
        <v>76.679999999999993</v>
      </c>
      <c r="O415" s="8">
        <f t="shared" si="43"/>
        <v>1876.68</v>
      </c>
      <c r="P415" s="8">
        <f t="shared" si="44"/>
        <v>1876.68</v>
      </c>
      <c r="Q415" s="8">
        <f t="shared" si="45"/>
        <v>0</v>
      </c>
      <c r="R415" s="9">
        <f t="shared" si="46"/>
        <v>1876.68</v>
      </c>
      <c r="S415" s="10">
        <f t="shared" si="47"/>
        <v>156.39000000000001</v>
      </c>
      <c r="T415">
        <v>165</v>
      </c>
      <c r="U415">
        <f t="shared" si="48"/>
        <v>15</v>
      </c>
    </row>
    <row r="416" spans="1:21" ht="14.25" customHeight="1" x14ac:dyDescent="0.35">
      <c r="A416" s="6" t="s">
        <v>397</v>
      </c>
      <c r="B416" s="6" t="s">
        <v>398</v>
      </c>
      <c r="C416" s="6" t="s">
        <v>399</v>
      </c>
      <c r="D416" s="6" t="s">
        <v>165</v>
      </c>
      <c r="E416" s="7" t="s">
        <v>23</v>
      </c>
      <c r="F416" s="6">
        <v>85233</v>
      </c>
      <c r="G416" s="6" t="s">
        <v>24</v>
      </c>
      <c r="H416" s="6" t="s">
        <v>25</v>
      </c>
      <c r="I416" s="6" t="s">
        <v>26</v>
      </c>
      <c r="J416" s="6" t="b">
        <v>0</v>
      </c>
      <c r="K416" s="6" t="s">
        <v>27</v>
      </c>
      <c r="L416" s="6">
        <v>0</v>
      </c>
      <c r="M416" s="6">
        <v>150</v>
      </c>
      <c r="N416" s="8" t="str">
        <f t="shared" si="42"/>
        <v>0</v>
      </c>
      <c r="O416" s="8">
        <f t="shared" si="43"/>
        <v>1800</v>
      </c>
      <c r="P416" s="8">
        <f t="shared" si="44"/>
        <v>1800</v>
      </c>
      <c r="Q416" s="8">
        <f t="shared" si="45"/>
        <v>0</v>
      </c>
      <c r="R416" s="9">
        <f t="shared" si="46"/>
        <v>1800</v>
      </c>
      <c r="S416" s="10">
        <f t="shared" si="47"/>
        <v>150</v>
      </c>
      <c r="T416">
        <v>165</v>
      </c>
      <c r="U416">
        <f t="shared" si="48"/>
        <v>15</v>
      </c>
    </row>
    <row r="417" spans="1:21" ht="14.25" customHeight="1" x14ac:dyDescent="0.35">
      <c r="A417" s="6" t="s">
        <v>400</v>
      </c>
      <c r="B417" s="6" t="s">
        <v>401</v>
      </c>
      <c r="C417" s="6" t="s">
        <v>402</v>
      </c>
      <c r="D417" s="6" t="s">
        <v>44</v>
      </c>
      <c r="E417" s="7" t="s">
        <v>23</v>
      </c>
      <c r="F417" s="6">
        <v>85022</v>
      </c>
      <c r="G417" s="6" t="s">
        <v>173</v>
      </c>
      <c r="H417" s="6" t="s">
        <v>79</v>
      </c>
      <c r="I417" s="6" t="s">
        <v>110</v>
      </c>
      <c r="J417" s="6" t="b">
        <v>1</v>
      </c>
      <c r="K417" s="6" t="s">
        <v>27</v>
      </c>
      <c r="L417" s="6">
        <v>0</v>
      </c>
      <c r="M417" s="6">
        <v>150</v>
      </c>
      <c r="N417" s="8">
        <f t="shared" si="42"/>
        <v>76.679999999999993</v>
      </c>
      <c r="O417" s="8">
        <f t="shared" si="43"/>
        <v>1876.68</v>
      </c>
      <c r="P417" s="8">
        <f t="shared" si="44"/>
        <v>1876.68</v>
      </c>
      <c r="Q417" s="8">
        <f t="shared" si="45"/>
        <v>0</v>
      </c>
      <c r="R417" s="9">
        <f t="shared" si="46"/>
        <v>1876.68</v>
      </c>
      <c r="S417" s="10">
        <f t="shared" si="47"/>
        <v>156.39000000000001</v>
      </c>
      <c r="T417">
        <v>165</v>
      </c>
      <c r="U417">
        <f t="shared" si="48"/>
        <v>15</v>
      </c>
    </row>
    <row r="418" spans="1:21" ht="14.25" customHeight="1" x14ac:dyDescent="0.35">
      <c r="A418" s="6" t="s">
        <v>476</v>
      </c>
      <c r="B418" s="6" t="s">
        <v>477</v>
      </c>
      <c r="C418" s="6" t="s">
        <v>478</v>
      </c>
      <c r="D418" s="6" t="s">
        <v>31</v>
      </c>
      <c r="E418" s="7" t="s">
        <v>23</v>
      </c>
      <c r="F418" s="6">
        <v>85258</v>
      </c>
      <c r="G418" s="6" t="s">
        <v>45</v>
      </c>
      <c r="H418" s="6" t="s">
        <v>50</v>
      </c>
      <c r="I418" s="6" t="s">
        <v>26</v>
      </c>
      <c r="J418" s="6" t="b">
        <v>0</v>
      </c>
      <c r="K418" s="6" t="s">
        <v>27</v>
      </c>
      <c r="L418" s="6">
        <v>40</v>
      </c>
      <c r="M418" s="6">
        <v>150</v>
      </c>
      <c r="N418" s="8" t="str">
        <f t="shared" si="42"/>
        <v>0</v>
      </c>
      <c r="O418" s="8">
        <f t="shared" si="43"/>
        <v>1840</v>
      </c>
      <c r="P418" s="8">
        <f t="shared" si="44"/>
        <v>1840</v>
      </c>
      <c r="Q418" s="8">
        <f t="shared" si="45"/>
        <v>0</v>
      </c>
      <c r="R418" s="9">
        <f t="shared" si="46"/>
        <v>1840</v>
      </c>
      <c r="S418" s="10">
        <f t="shared" si="47"/>
        <v>153.33333333333334</v>
      </c>
      <c r="T418">
        <v>165</v>
      </c>
      <c r="U418">
        <f t="shared" si="48"/>
        <v>15</v>
      </c>
    </row>
    <row r="419" spans="1:21" ht="14.25" customHeight="1" x14ac:dyDescent="0.35">
      <c r="A419" s="6" t="s">
        <v>479</v>
      </c>
      <c r="B419" s="6" t="s">
        <v>480</v>
      </c>
      <c r="C419" s="6" t="s">
        <v>481</v>
      </c>
      <c r="D419" s="6" t="s">
        <v>482</v>
      </c>
      <c r="E419" s="7" t="s">
        <v>23</v>
      </c>
      <c r="F419" s="6">
        <v>85396</v>
      </c>
      <c r="G419" s="6" t="s">
        <v>38</v>
      </c>
      <c r="H419" s="6" t="s">
        <v>378</v>
      </c>
      <c r="I419" s="6" t="s">
        <v>26</v>
      </c>
      <c r="J419" s="6" t="b">
        <v>0</v>
      </c>
      <c r="K419" s="6" t="s">
        <v>27</v>
      </c>
      <c r="L419" s="6">
        <v>40</v>
      </c>
      <c r="M419" s="6">
        <v>150</v>
      </c>
      <c r="N419" s="8" t="str">
        <f t="shared" si="42"/>
        <v>0</v>
      </c>
      <c r="O419" s="8">
        <f t="shared" si="43"/>
        <v>1840</v>
      </c>
      <c r="P419" s="8">
        <f t="shared" si="44"/>
        <v>1840</v>
      </c>
      <c r="Q419" s="8">
        <f t="shared" si="45"/>
        <v>0</v>
      </c>
      <c r="R419" s="9">
        <f t="shared" si="46"/>
        <v>1840</v>
      </c>
      <c r="S419" s="10">
        <f t="shared" si="47"/>
        <v>153.33333333333334</v>
      </c>
      <c r="T419">
        <v>165</v>
      </c>
      <c r="U419">
        <f t="shared" si="48"/>
        <v>15</v>
      </c>
    </row>
    <row r="420" spans="1:21" ht="14.25" customHeight="1" x14ac:dyDescent="0.35">
      <c r="A420" s="6" t="s">
        <v>483</v>
      </c>
      <c r="B420" s="6" t="s">
        <v>484</v>
      </c>
      <c r="C420" s="6" t="s">
        <v>485</v>
      </c>
      <c r="D420" s="6" t="s">
        <v>65</v>
      </c>
      <c r="E420" s="7" t="s">
        <v>23</v>
      </c>
      <c r="F420" s="6">
        <v>85213</v>
      </c>
      <c r="G420" s="6" t="s">
        <v>66</v>
      </c>
      <c r="H420" s="6" t="s">
        <v>67</v>
      </c>
      <c r="I420" s="6" t="s">
        <v>26</v>
      </c>
      <c r="J420" s="6" t="b">
        <v>0</v>
      </c>
      <c r="K420" s="6" t="s">
        <v>27</v>
      </c>
      <c r="L420" s="6">
        <v>40</v>
      </c>
      <c r="M420" s="6">
        <v>150</v>
      </c>
      <c r="N420" s="8" t="str">
        <f t="shared" si="42"/>
        <v>0</v>
      </c>
      <c r="O420" s="8">
        <f t="shared" si="43"/>
        <v>1840</v>
      </c>
      <c r="P420" s="8">
        <f t="shared" si="44"/>
        <v>1840</v>
      </c>
      <c r="Q420" s="8">
        <f t="shared" si="45"/>
        <v>0</v>
      </c>
      <c r="R420" s="9">
        <f t="shared" si="46"/>
        <v>1840</v>
      </c>
      <c r="S420" s="10">
        <f t="shared" si="47"/>
        <v>153.33333333333334</v>
      </c>
      <c r="T420">
        <v>165</v>
      </c>
      <c r="U420">
        <f t="shared" si="48"/>
        <v>15</v>
      </c>
    </row>
    <row r="421" spans="1:21" ht="14.25" customHeight="1" x14ac:dyDescent="0.35">
      <c r="A421" s="6" t="s">
        <v>486</v>
      </c>
      <c r="B421" s="6" t="s">
        <v>487</v>
      </c>
      <c r="C421" s="6" t="s">
        <v>488</v>
      </c>
      <c r="D421" s="6" t="s">
        <v>489</v>
      </c>
      <c r="E421" s="7" t="s">
        <v>23</v>
      </c>
      <c r="F421" s="6">
        <v>85087</v>
      </c>
      <c r="G421" s="6" t="s">
        <v>32</v>
      </c>
      <c r="H421" s="6" t="s">
        <v>79</v>
      </c>
      <c r="I421" s="6" t="s">
        <v>40</v>
      </c>
      <c r="J421" s="6" t="b">
        <v>0</v>
      </c>
      <c r="K421" s="6" t="s">
        <v>27</v>
      </c>
      <c r="L421" s="6">
        <v>40</v>
      </c>
      <c r="M421" s="6">
        <v>150</v>
      </c>
      <c r="N421" s="8" t="str">
        <f t="shared" si="42"/>
        <v>0</v>
      </c>
      <c r="O421" s="8">
        <f t="shared" si="43"/>
        <v>1840</v>
      </c>
      <c r="P421" s="8">
        <f t="shared" si="44"/>
        <v>1840</v>
      </c>
      <c r="Q421" s="8">
        <f t="shared" si="45"/>
        <v>0</v>
      </c>
      <c r="R421" s="9">
        <f t="shared" si="46"/>
        <v>1840</v>
      </c>
      <c r="S421" s="10">
        <f t="shared" si="47"/>
        <v>153.33333333333334</v>
      </c>
      <c r="T421">
        <v>165</v>
      </c>
      <c r="U421">
        <f t="shared" si="48"/>
        <v>15</v>
      </c>
    </row>
    <row r="422" spans="1:21" ht="14.25" customHeight="1" x14ac:dyDescent="0.35">
      <c r="A422" s="6" t="s">
        <v>490</v>
      </c>
      <c r="B422" s="6" t="s">
        <v>491</v>
      </c>
      <c r="C422" s="6" t="s">
        <v>492</v>
      </c>
      <c r="D422" s="6" t="s">
        <v>31</v>
      </c>
      <c r="E422" s="7" t="s">
        <v>23</v>
      </c>
      <c r="F422" s="6">
        <v>85262</v>
      </c>
      <c r="G422" s="6" t="s">
        <v>32</v>
      </c>
      <c r="H422" s="6" t="s">
        <v>33</v>
      </c>
      <c r="I422" s="6" t="s">
        <v>26</v>
      </c>
      <c r="J422" s="6" t="b">
        <v>0</v>
      </c>
      <c r="K422" s="6" t="s">
        <v>27</v>
      </c>
      <c r="L422" s="6">
        <v>40</v>
      </c>
      <c r="M422" s="6">
        <v>150</v>
      </c>
      <c r="N422" s="8" t="str">
        <f t="shared" si="42"/>
        <v>0</v>
      </c>
      <c r="O422" s="8">
        <f t="shared" si="43"/>
        <v>1840</v>
      </c>
      <c r="P422" s="8">
        <f t="shared" si="44"/>
        <v>1840</v>
      </c>
      <c r="Q422" s="8">
        <f t="shared" si="45"/>
        <v>0</v>
      </c>
      <c r="R422" s="9">
        <f t="shared" si="46"/>
        <v>1840</v>
      </c>
      <c r="S422" s="10">
        <f t="shared" si="47"/>
        <v>153.33333333333334</v>
      </c>
      <c r="T422">
        <v>165</v>
      </c>
      <c r="U422">
        <f t="shared" si="48"/>
        <v>15</v>
      </c>
    </row>
    <row r="423" spans="1:21" ht="14.25" customHeight="1" x14ac:dyDescent="0.35">
      <c r="A423" s="6" t="s">
        <v>1044</v>
      </c>
      <c r="B423" s="6" t="s">
        <v>1045</v>
      </c>
      <c r="C423" s="6" t="s">
        <v>1046</v>
      </c>
      <c r="D423" s="6" t="s">
        <v>165</v>
      </c>
      <c r="E423" s="7" t="s">
        <v>23</v>
      </c>
      <c r="F423" s="6">
        <v>85295</v>
      </c>
      <c r="G423" s="6" t="s">
        <v>125</v>
      </c>
      <c r="H423" s="6" t="s">
        <v>1047</v>
      </c>
      <c r="I423" s="6" t="s">
        <v>26</v>
      </c>
      <c r="J423" s="6" t="b">
        <v>1</v>
      </c>
      <c r="K423" s="6" t="s">
        <v>27</v>
      </c>
      <c r="L423" s="6">
        <v>0</v>
      </c>
      <c r="M423" s="6">
        <v>150</v>
      </c>
      <c r="N423" s="8">
        <f t="shared" si="42"/>
        <v>76.679999999999993</v>
      </c>
      <c r="O423" s="8">
        <f t="shared" si="43"/>
        <v>1876.68</v>
      </c>
      <c r="P423" s="8">
        <f t="shared" si="44"/>
        <v>1876.68</v>
      </c>
      <c r="Q423" s="8">
        <f t="shared" si="45"/>
        <v>0</v>
      </c>
      <c r="R423" s="9">
        <f t="shared" si="46"/>
        <v>1876.68</v>
      </c>
      <c r="S423" s="10">
        <f t="shared" si="47"/>
        <v>156.39000000000001</v>
      </c>
      <c r="T423">
        <v>165</v>
      </c>
      <c r="U423">
        <f t="shared" si="48"/>
        <v>15</v>
      </c>
    </row>
    <row r="424" spans="1:21" ht="14.25" customHeight="1" x14ac:dyDescent="0.35">
      <c r="A424" s="6" t="s">
        <v>1048</v>
      </c>
      <c r="B424" s="6" t="s">
        <v>1049</v>
      </c>
      <c r="C424" s="6" t="s">
        <v>1050</v>
      </c>
      <c r="D424" s="6" t="s">
        <v>44</v>
      </c>
      <c r="E424" s="7" t="s">
        <v>23</v>
      </c>
      <c r="F424" s="6">
        <v>85020</v>
      </c>
      <c r="G424" s="6" t="s">
        <v>173</v>
      </c>
      <c r="H424" s="6" t="s">
        <v>202</v>
      </c>
      <c r="I424" s="6" t="s">
        <v>40</v>
      </c>
      <c r="J424" s="6" t="b">
        <v>1</v>
      </c>
      <c r="K424" s="6" t="s">
        <v>27</v>
      </c>
      <c r="L424" s="6">
        <v>0</v>
      </c>
      <c r="M424" s="6">
        <v>150</v>
      </c>
      <c r="N424" s="8">
        <f t="shared" si="42"/>
        <v>76.679999999999993</v>
      </c>
      <c r="O424" s="8">
        <f t="shared" si="43"/>
        <v>1876.68</v>
      </c>
      <c r="P424" s="8">
        <f t="shared" si="44"/>
        <v>1876.68</v>
      </c>
      <c r="Q424" s="8">
        <f t="shared" si="45"/>
        <v>0</v>
      </c>
      <c r="R424" s="9">
        <f t="shared" si="46"/>
        <v>1876.68</v>
      </c>
      <c r="S424" s="10">
        <f t="shared" si="47"/>
        <v>156.39000000000001</v>
      </c>
      <c r="T424">
        <v>165</v>
      </c>
      <c r="U424">
        <f t="shared" si="48"/>
        <v>15</v>
      </c>
    </row>
    <row r="425" spans="1:21" ht="14.25" customHeight="1" x14ac:dyDescent="0.35">
      <c r="A425" s="6" t="s">
        <v>1051</v>
      </c>
      <c r="B425" s="6" t="s">
        <v>1052</v>
      </c>
      <c r="C425" s="6" t="s">
        <v>1053</v>
      </c>
      <c r="D425" s="6" t="s">
        <v>31</v>
      </c>
      <c r="E425" s="7" t="s">
        <v>23</v>
      </c>
      <c r="F425" s="6">
        <v>85257</v>
      </c>
      <c r="G425" s="6" t="s">
        <v>49</v>
      </c>
      <c r="H425" s="6" t="s">
        <v>202</v>
      </c>
      <c r="I425" s="6" t="s">
        <v>26</v>
      </c>
      <c r="J425" s="6" t="b">
        <v>1</v>
      </c>
      <c r="K425" s="6" t="s">
        <v>27</v>
      </c>
      <c r="L425" s="6">
        <v>0</v>
      </c>
      <c r="M425" s="6">
        <v>150</v>
      </c>
      <c r="N425" s="8">
        <f t="shared" si="42"/>
        <v>76.679999999999993</v>
      </c>
      <c r="O425" s="8">
        <f t="shared" si="43"/>
        <v>1876.68</v>
      </c>
      <c r="P425" s="8">
        <f t="shared" si="44"/>
        <v>1876.68</v>
      </c>
      <c r="Q425" s="8">
        <f t="shared" si="45"/>
        <v>0</v>
      </c>
      <c r="R425" s="9">
        <f t="shared" si="46"/>
        <v>1876.68</v>
      </c>
      <c r="S425" s="10">
        <f t="shared" si="47"/>
        <v>156.39000000000001</v>
      </c>
      <c r="T425">
        <v>165</v>
      </c>
      <c r="U425">
        <f t="shared" si="48"/>
        <v>15</v>
      </c>
    </row>
    <row r="426" spans="1:21" ht="14.25" customHeight="1" x14ac:dyDescent="0.35">
      <c r="A426" s="6" t="s">
        <v>1054</v>
      </c>
      <c r="B426" s="6" t="s">
        <v>1055</v>
      </c>
      <c r="C426" s="6" t="s">
        <v>1056</v>
      </c>
      <c r="D426" s="6" t="s">
        <v>248</v>
      </c>
      <c r="E426" s="7" t="s">
        <v>23</v>
      </c>
      <c r="F426" s="6">
        <v>85339</v>
      </c>
      <c r="G426" s="6" t="s">
        <v>213</v>
      </c>
      <c r="H426" s="6" t="s">
        <v>39</v>
      </c>
      <c r="I426" s="6" t="s">
        <v>110</v>
      </c>
      <c r="J426" s="6" t="b">
        <v>1</v>
      </c>
      <c r="K426" s="6" t="s">
        <v>27</v>
      </c>
      <c r="L426" s="6">
        <v>0</v>
      </c>
      <c r="M426" s="6">
        <v>150</v>
      </c>
      <c r="N426" s="8">
        <f t="shared" si="42"/>
        <v>76.679999999999993</v>
      </c>
      <c r="O426" s="8">
        <f t="shared" si="43"/>
        <v>1876.68</v>
      </c>
      <c r="P426" s="8">
        <f t="shared" si="44"/>
        <v>1876.68</v>
      </c>
      <c r="Q426" s="8">
        <f t="shared" si="45"/>
        <v>0</v>
      </c>
      <c r="R426" s="9">
        <f t="shared" si="46"/>
        <v>1876.68</v>
      </c>
      <c r="S426" s="10">
        <f t="shared" si="47"/>
        <v>156.39000000000001</v>
      </c>
      <c r="T426">
        <v>165</v>
      </c>
      <c r="U426">
        <f t="shared" si="48"/>
        <v>15</v>
      </c>
    </row>
    <row r="427" spans="1:21" ht="14.25" customHeight="1" x14ac:dyDescent="0.35">
      <c r="A427" s="6" t="s">
        <v>1057</v>
      </c>
      <c r="B427" s="6" t="s">
        <v>1058</v>
      </c>
      <c r="C427" s="6" t="s">
        <v>1059</v>
      </c>
      <c r="D427" s="6" t="s">
        <v>165</v>
      </c>
      <c r="E427" s="7" t="s">
        <v>23</v>
      </c>
      <c r="F427" s="6">
        <v>85296</v>
      </c>
      <c r="G427" s="6" t="s">
        <v>125</v>
      </c>
      <c r="H427" s="6" t="s">
        <v>126</v>
      </c>
      <c r="I427" s="6" t="s">
        <v>26</v>
      </c>
      <c r="J427" s="6" t="b">
        <v>1</v>
      </c>
      <c r="K427" s="6" t="s">
        <v>27</v>
      </c>
      <c r="L427" s="6">
        <v>0</v>
      </c>
      <c r="M427" s="6">
        <v>150</v>
      </c>
      <c r="N427" s="8">
        <f t="shared" si="42"/>
        <v>76.679999999999993</v>
      </c>
      <c r="O427" s="8">
        <f t="shared" si="43"/>
        <v>1876.68</v>
      </c>
      <c r="P427" s="8">
        <f t="shared" si="44"/>
        <v>1876.68</v>
      </c>
      <c r="Q427" s="8">
        <f t="shared" si="45"/>
        <v>0</v>
      </c>
      <c r="R427" s="9">
        <f t="shared" si="46"/>
        <v>1876.68</v>
      </c>
      <c r="S427" s="10">
        <f t="shared" si="47"/>
        <v>156.39000000000001</v>
      </c>
      <c r="T427">
        <v>165</v>
      </c>
      <c r="U427">
        <f t="shared" si="48"/>
        <v>15</v>
      </c>
    </row>
    <row r="428" spans="1:21" ht="14.25" customHeight="1" x14ac:dyDescent="0.35">
      <c r="A428" s="6" t="s">
        <v>1060</v>
      </c>
      <c r="B428" s="6" t="s">
        <v>1061</v>
      </c>
      <c r="C428" s="6" t="s">
        <v>1062</v>
      </c>
      <c r="D428" s="6" t="s">
        <v>44</v>
      </c>
      <c r="E428" s="7" t="s">
        <v>23</v>
      </c>
      <c r="F428" s="6">
        <v>85050</v>
      </c>
      <c r="G428" s="6" t="s">
        <v>32</v>
      </c>
      <c r="H428" s="6" t="s">
        <v>50</v>
      </c>
      <c r="I428" s="6" t="s">
        <v>61</v>
      </c>
      <c r="J428" s="6" t="b">
        <v>1</v>
      </c>
      <c r="K428" s="6" t="s">
        <v>27</v>
      </c>
      <c r="L428" s="6">
        <v>0</v>
      </c>
      <c r="M428" s="6">
        <v>150</v>
      </c>
      <c r="N428" s="8">
        <f t="shared" si="42"/>
        <v>76.679999999999993</v>
      </c>
      <c r="O428" s="8">
        <f t="shared" si="43"/>
        <v>1876.68</v>
      </c>
      <c r="P428" s="8">
        <f t="shared" si="44"/>
        <v>1876.68</v>
      </c>
      <c r="Q428" s="8">
        <f t="shared" si="45"/>
        <v>0</v>
      </c>
      <c r="R428" s="9">
        <f t="shared" si="46"/>
        <v>1876.68</v>
      </c>
      <c r="S428" s="10">
        <f t="shared" si="47"/>
        <v>156.39000000000001</v>
      </c>
      <c r="T428">
        <v>165</v>
      </c>
      <c r="U428">
        <f t="shared" si="48"/>
        <v>15</v>
      </c>
    </row>
    <row r="429" spans="1:21" ht="14.25" customHeight="1" x14ac:dyDescent="0.35">
      <c r="A429" s="6" t="s">
        <v>1063</v>
      </c>
      <c r="B429" s="6" t="s">
        <v>1064</v>
      </c>
      <c r="C429" s="6" t="s">
        <v>1065</v>
      </c>
      <c r="D429" s="6" t="s">
        <v>77</v>
      </c>
      <c r="E429" s="7" t="s">
        <v>23</v>
      </c>
      <c r="F429" s="6">
        <v>85305</v>
      </c>
      <c r="G429" s="6" t="s">
        <v>72</v>
      </c>
      <c r="H429" s="6" t="s">
        <v>73</v>
      </c>
      <c r="I429" s="6" t="s">
        <v>40</v>
      </c>
      <c r="J429" s="6" t="b">
        <v>1</v>
      </c>
      <c r="K429" s="6" t="s">
        <v>27</v>
      </c>
      <c r="L429" s="6">
        <v>0</v>
      </c>
      <c r="M429" s="6">
        <v>150</v>
      </c>
      <c r="N429" s="8">
        <f t="shared" si="42"/>
        <v>76.679999999999993</v>
      </c>
      <c r="O429" s="8">
        <f t="shared" si="43"/>
        <v>1876.68</v>
      </c>
      <c r="P429" s="8">
        <f t="shared" si="44"/>
        <v>1876.68</v>
      </c>
      <c r="Q429" s="8">
        <f t="shared" si="45"/>
        <v>0</v>
      </c>
      <c r="R429" s="9">
        <f t="shared" si="46"/>
        <v>1876.68</v>
      </c>
      <c r="S429" s="10">
        <f t="shared" si="47"/>
        <v>156.39000000000001</v>
      </c>
      <c r="T429">
        <v>165</v>
      </c>
      <c r="U429">
        <f t="shared" si="48"/>
        <v>15</v>
      </c>
    </row>
    <row r="430" spans="1:21" ht="14.25" customHeight="1" x14ac:dyDescent="0.35">
      <c r="A430" s="6" t="s">
        <v>1066</v>
      </c>
      <c r="B430" s="6" t="s">
        <v>1067</v>
      </c>
      <c r="C430" s="6" t="s">
        <v>1068</v>
      </c>
      <c r="D430" s="6" t="s">
        <v>44</v>
      </c>
      <c r="E430" s="7" t="s">
        <v>23</v>
      </c>
      <c r="F430" s="6">
        <v>85019</v>
      </c>
      <c r="G430" s="6" t="s">
        <v>72</v>
      </c>
      <c r="H430" s="6" t="s">
        <v>73</v>
      </c>
      <c r="I430" s="6" t="s">
        <v>26</v>
      </c>
      <c r="J430" s="6" t="b">
        <v>1</v>
      </c>
      <c r="K430" s="6" t="s">
        <v>27</v>
      </c>
      <c r="L430" s="6">
        <v>0</v>
      </c>
      <c r="M430" s="6">
        <v>150</v>
      </c>
      <c r="N430" s="8">
        <f t="shared" si="42"/>
        <v>76.679999999999993</v>
      </c>
      <c r="O430" s="8">
        <f t="shared" si="43"/>
        <v>1876.68</v>
      </c>
      <c r="P430" s="8">
        <f t="shared" si="44"/>
        <v>1876.68</v>
      </c>
      <c r="Q430" s="8">
        <f t="shared" si="45"/>
        <v>0</v>
      </c>
      <c r="R430" s="9">
        <f t="shared" si="46"/>
        <v>1876.68</v>
      </c>
      <c r="S430" s="10">
        <f t="shared" si="47"/>
        <v>156.39000000000001</v>
      </c>
      <c r="T430">
        <v>165</v>
      </c>
      <c r="U430">
        <f t="shared" si="48"/>
        <v>15</v>
      </c>
    </row>
    <row r="431" spans="1:21" ht="14.25" customHeight="1" x14ac:dyDescent="0.35">
      <c r="A431" s="6" t="s">
        <v>1069</v>
      </c>
      <c r="B431" s="6" t="s">
        <v>1070</v>
      </c>
      <c r="C431" s="6" t="s">
        <v>1071</v>
      </c>
      <c r="D431" s="6" t="s">
        <v>44</v>
      </c>
      <c r="E431" s="7" t="s">
        <v>23</v>
      </c>
      <c r="F431" s="6">
        <v>85028</v>
      </c>
      <c r="G431" s="6" t="s">
        <v>45</v>
      </c>
      <c r="H431" s="6" t="s">
        <v>169</v>
      </c>
      <c r="I431" s="6" t="s">
        <v>26</v>
      </c>
      <c r="J431" s="6" t="b">
        <v>1</v>
      </c>
      <c r="K431" s="6" t="s">
        <v>27</v>
      </c>
      <c r="L431" s="6">
        <v>0</v>
      </c>
      <c r="M431" s="6">
        <v>150</v>
      </c>
      <c r="N431" s="8">
        <f t="shared" si="42"/>
        <v>76.679999999999993</v>
      </c>
      <c r="O431" s="8">
        <f t="shared" si="43"/>
        <v>1876.68</v>
      </c>
      <c r="P431" s="8">
        <f t="shared" si="44"/>
        <v>1876.68</v>
      </c>
      <c r="Q431" s="8">
        <f t="shared" si="45"/>
        <v>0</v>
      </c>
      <c r="R431" s="9">
        <f t="shared" si="46"/>
        <v>1876.68</v>
      </c>
      <c r="S431" s="10">
        <f t="shared" si="47"/>
        <v>156.39000000000001</v>
      </c>
      <c r="T431">
        <v>165</v>
      </c>
      <c r="U431">
        <f t="shared" si="48"/>
        <v>15</v>
      </c>
    </row>
    <row r="432" spans="1:21" ht="14.25" customHeight="1" x14ac:dyDescent="0.35">
      <c r="A432" s="6" t="s">
        <v>1072</v>
      </c>
      <c r="B432" s="6" t="s">
        <v>1073</v>
      </c>
      <c r="C432" s="6" t="s">
        <v>1074</v>
      </c>
      <c r="D432" s="6" t="s">
        <v>248</v>
      </c>
      <c r="E432" s="7" t="s">
        <v>23</v>
      </c>
      <c r="F432" s="6">
        <v>85339</v>
      </c>
      <c r="G432" s="6" t="s">
        <v>213</v>
      </c>
      <c r="H432" s="6" t="s">
        <v>39</v>
      </c>
      <c r="I432" s="6" t="s">
        <v>26</v>
      </c>
      <c r="J432" s="6" t="b">
        <v>1</v>
      </c>
      <c r="K432" s="6" t="s">
        <v>27</v>
      </c>
      <c r="L432" s="6">
        <v>0</v>
      </c>
      <c r="M432" s="6">
        <v>150</v>
      </c>
      <c r="N432" s="8">
        <f t="shared" si="42"/>
        <v>76.679999999999993</v>
      </c>
      <c r="O432" s="8">
        <f t="shared" si="43"/>
        <v>1876.68</v>
      </c>
      <c r="P432" s="8">
        <f t="shared" si="44"/>
        <v>1876.68</v>
      </c>
      <c r="Q432" s="8">
        <f t="shared" si="45"/>
        <v>0</v>
      </c>
      <c r="R432" s="9">
        <f t="shared" si="46"/>
        <v>1876.68</v>
      </c>
      <c r="S432" s="10">
        <f t="shared" si="47"/>
        <v>156.39000000000001</v>
      </c>
      <c r="T432">
        <v>165</v>
      </c>
      <c r="U432">
        <f t="shared" si="48"/>
        <v>15</v>
      </c>
    </row>
    <row r="433" spans="1:21" ht="14.25" customHeight="1" x14ac:dyDescent="0.35">
      <c r="A433" s="6" t="s">
        <v>1509</v>
      </c>
      <c r="B433" s="6" t="s">
        <v>1510</v>
      </c>
      <c r="C433" s="6" t="s">
        <v>1511</v>
      </c>
      <c r="D433" s="6" t="s">
        <v>22</v>
      </c>
      <c r="E433" s="7" t="s">
        <v>23</v>
      </c>
      <c r="F433" s="6">
        <v>85224</v>
      </c>
      <c r="G433" s="6" t="s">
        <v>24</v>
      </c>
      <c r="H433" s="6" t="s">
        <v>25</v>
      </c>
      <c r="I433" s="6" t="s">
        <v>26</v>
      </c>
      <c r="J433" s="6" t="b">
        <v>1</v>
      </c>
      <c r="K433" s="6" t="s">
        <v>27</v>
      </c>
      <c r="L433" s="6">
        <v>40</v>
      </c>
      <c r="M433" s="6">
        <v>150</v>
      </c>
      <c r="N433" s="8">
        <f t="shared" si="42"/>
        <v>76.679999999999993</v>
      </c>
      <c r="O433" s="8">
        <f t="shared" si="43"/>
        <v>1916.68</v>
      </c>
      <c r="P433" s="8">
        <f t="shared" si="44"/>
        <v>1916.68</v>
      </c>
      <c r="Q433" s="8">
        <f t="shared" si="45"/>
        <v>0</v>
      </c>
      <c r="R433" s="9">
        <f t="shared" si="46"/>
        <v>1916.68</v>
      </c>
      <c r="S433" s="10">
        <f t="shared" si="47"/>
        <v>159.72333333333333</v>
      </c>
      <c r="T433">
        <v>165</v>
      </c>
      <c r="U433">
        <f t="shared" si="48"/>
        <v>15</v>
      </c>
    </row>
    <row r="434" spans="1:21" ht="14.25" customHeight="1" x14ac:dyDescent="0.35">
      <c r="A434" s="6" t="s">
        <v>1512</v>
      </c>
      <c r="B434" s="6" t="s">
        <v>1513</v>
      </c>
      <c r="C434" s="6" t="s">
        <v>1514</v>
      </c>
      <c r="D434" s="6" t="s">
        <v>614</v>
      </c>
      <c r="E434" s="7" t="s">
        <v>23</v>
      </c>
      <c r="F434" s="6">
        <v>85268</v>
      </c>
      <c r="G434" s="6" t="s">
        <v>45</v>
      </c>
      <c r="H434" s="6" t="s">
        <v>50</v>
      </c>
      <c r="I434" s="6" t="s">
        <v>26</v>
      </c>
      <c r="J434" s="6" t="b">
        <v>1</v>
      </c>
      <c r="K434" s="6" t="s">
        <v>27</v>
      </c>
      <c r="L434" s="6">
        <v>40</v>
      </c>
      <c r="M434" s="6">
        <v>150</v>
      </c>
      <c r="N434" s="8">
        <f t="shared" si="42"/>
        <v>76.679999999999993</v>
      </c>
      <c r="O434" s="8">
        <f t="shared" si="43"/>
        <v>1916.68</v>
      </c>
      <c r="P434" s="8">
        <f t="shared" si="44"/>
        <v>1916.68</v>
      </c>
      <c r="Q434" s="8">
        <f t="shared" si="45"/>
        <v>0</v>
      </c>
      <c r="R434" s="9">
        <f t="shared" si="46"/>
        <v>1916.68</v>
      </c>
      <c r="S434" s="10">
        <f t="shared" si="47"/>
        <v>159.72333333333333</v>
      </c>
      <c r="T434">
        <v>165</v>
      </c>
      <c r="U434">
        <f t="shared" si="48"/>
        <v>15</v>
      </c>
    </row>
    <row r="435" spans="1:21" ht="14.25" customHeight="1" x14ac:dyDescent="0.35">
      <c r="A435" s="6" t="s">
        <v>1515</v>
      </c>
      <c r="B435" s="6" t="s">
        <v>1516</v>
      </c>
      <c r="C435" s="6" t="s">
        <v>1517</v>
      </c>
      <c r="D435" s="6" t="s">
        <v>44</v>
      </c>
      <c r="E435" s="7" t="s">
        <v>23</v>
      </c>
      <c r="F435" s="6">
        <v>85029</v>
      </c>
      <c r="G435" s="6" t="s">
        <v>72</v>
      </c>
      <c r="H435" s="6" t="s">
        <v>93</v>
      </c>
      <c r="I435" s="6" t="s">
        <v>26</v>
      </c>
      <c r="J435" s="6" t="b">
        <v>1</v>
      </c>
      <c r="K435" s="6" t="s">
        <v>27</v>
      </c>
      <c r="L435" s="6">
        <v>40</v>
      </c>
      <c r="M435" s="6">
        <v>150</v>
      </c>
      <c r="N435" s="8">
        <f t="shared" si="42"/>
        <v>76.679999999999993</v>
      </c>
      <c r="O435" s="8">
        <f t="shared" si="43"/>
        <v>1916.68</v>
      </c>
      <c r="P435" s="8">
        <f t="shared" si="44"/>
        <v>1916.68</v>
      </c>
      <c r="Q435" s="8">
        <f t="shared" si="45"/>
        <v>0</v>
      </c>
      <c r="R435" s="9">
        <f t="shared" si="46"/>
        <v>1916.68</v>
      </c>
      <c r="S435" s="10">
        <f t="shared" si="47"/>
        <v>159.72333333333333</v>
      </c>
      <c r="T435">
        <v>165</v>
      </c>
      <c r="U435">
        <f t="shared" si="48"/>
        <v>15</v>
      </c>
    </row>
    <row r="436" spans="1:21" ht="14.25" customHeight="1" x14ac:dyDescent="0.35">
      <c r="A436" s="6" t="s">
        <v>1518</v>
      </c>
      <c r="B436" s="6" t="s">
        <v>1519</v>
      </c>
      <c r="C436" s="6" t="s">
        <v>1520</v>
      </c>
      <c r="D436" s="6" t="s">
        <v>44</v>
      </c>
      <c r="E436" s="7" t="s">
        <v>23</v>
      </c>
      <c r="F436" s="6">
        <v>85042</v>
      </c>
      <c r="G436" s="6" t="s">
        <v>213</v>
      </c>
      <c r="H436" s="6" t="s">
        <v>39</v>
      </c>
      <c r="I436" s="6" t="s">
        <v>26</v>
      </c>
      <c r="J436" s="6" t="b">
        <v>1</v>
      </c>
      <c r="K436" s="6" t="s">
        <v>27</v>
      </c>
      <c r="L436" s="6">
        <v>40</v>
      </c>
      <c r="M436" s="6">
        <v>150</v>
      </c>
      <c r="N436" s="8">
        <f t="shared" si="42"/>
        <v>76.679999999999993</v>
      </c>
      <c r="O436" s="8">
        <f t="shared" si="43"/>
        <v>1916.68</v>
      </c>
      <c r="P436" s="8">
        <f t="shared" si="44"/>
        <v>1916.68</v>
      </c>
      <c r="Q436" s="8">
        <f t="shared" si="45"/>
        <v>0</v>
      </c>
      <c r="R436" s="9">
        <f t="shared" si="46"/>
        <v>1916.68</v>
      </c>
      <c r="S436" s="10">
        <f t="shared" si="47"/>
        <v>159.72333333333333</v>
      </c>
      <c r="T436">
        <v>165</v>
      </c>
      <c r="U436">
        <f t="shared" si="48"/>
        <v>15</v>
      </c>
    </row>
    <row r="437" spans="1:21" ht="14.25" customHeight="1" x14ac:dyDescent="0.35">
      <c r="A437" s="6" t="s">
        <v>1521</v>
      </c>
      <c r="B437" s="6" t="s">
        <v>1522</v>
      </c>
      <c r="C437" s="6" t="s">
        <v>1523</v>
      </c>
      <c r="D437" s="6" t="s">
        <v>363</v>
      </c>
      <c r="E437" s="7" t="s">
        <v>23</v>
      </c>
      <c r="F437" s="6">
        <v>85284</v>
      </c>
      <c r="G437" s="6" t="s">
        <v>24</v>
      </c>
      <c r="H437" s="6" t="s">
        <v>161</v>
      </c>
      <c r="I437" s="6" t="s">
        <v>26</v>
      </c>
      <c r="J437" s="6" t="b">
        <v>1</v>
      </c>
      <c r="K437" s="6" t="s">
        <v>27</v>
      </c>
      <c r="L437" s="6">
        <v>40</v>
      </c>
      <c r="M437" s="6">
        <v>150</v>
      </c>
      <c r="N437" s="8">
        <f t="shared" si="42"/>
        <v>76.679999999999993</v>
      </c>
      <c r="O437" s="8">
        <f t="shared" si="43"/>
        <v>1916.68</v>
      </c>
      <c r="P437" s="8">
        <f t="shared" si="44"/>
        <v>1916.68</v>
      </c>
      <c r="Q437" s="8">
        <f t="shared" si="45"/>
        <v>0</v>
      </c>
      <c r="R437" s="9">
        <f t="shared" si="46"/>
        <v>1916.68</v>
      </c>
      <c r="S437" s="10">
        <f t="shared" si="47"/>
        <v>159.72333333333333</v>
      </c>
      <c r="T437">
        <v>165</v>
      </c>
      <c r="U437">
        <f t="shared" si="48"/>
        <v>15</v>
      </c>
    </row>
    <row r="438" spans="1:21" ht="14.25" customHeight="1" x14ac:dyDescent="0.35">
      <c r="A438" s="6" t="s">
        <v>1524</v>
      </c>
      <c r="B438" s="6" t="s">
        <v>1525</v>
      </c>
      <c r="C438" s="6" t="s">
        <v>1526</v>
      </c>
      <c r="D438" s="6" t="s">
        <v>31</v>
      </c>
      <c r="E438" s="7" t="s">
        <v>23</v>
      </c>
      <c r="F438" s="6">
        <v>85254</v>
      </c>
      <c r="G438" s="6" t="s">
        <v>45</v>
      </c>
      <c r="H438" s="6" t="s">
        <v>169</v>
      </c>
      <c r="I438" s="6" t="s">
        <v>26</v>
      </c>
      <c r="J438" s="6" t="b">
        <v>1</v>
      </c>
      <c r="K438" s="6" t="s">
        <v>27</v>
      </c>
      <c r="L438" s="6">
        <v>40</v>
      </c>
      <c r="M438" s="6">
        <v>150</v>
      </c>
      <c r="N438" s="8">
        <f t="shared" si="42"/>
        <v>76.679999999999993</v>
      </c>
      <c r="O438" s="8">
        <f t="shared" si="43"/>
        <v>1916.68</v>
      </c>
      <c r="P438" s="8">
        <f t="shared" si="44"/>
        <v>1916.68</v>
      </c>
      <c r="Q438" s="8">
        <f t="shared" si="45"/>
        <v>0</v>
      </c>
      <c r="R438" s="9">
        <f t="shared" si="46"/>
        <v>1916.68</v>
      </c>
      <c r="S438" s="10">
        <f t="shared" si="47"/>
        <v>159.72333333333333</v>
      </c>
      <c r="T438">
        <v>165</v>
      </c>
      <c r="U438">
        <f t="shared" si="48"/>
        <v>15</v>
      </c>
    </row>
    <row r="439" spans="1:21" ht="14.25" customHeight="1" x14ac:dyDescent="0.35">
      <c r="A439" s="6" t="s">
        <v>1527</v>
      </c>
      <c r="B439" s="6" t="s">
        <v>1528</v>
      </c>
      <c r="C439" s="6" t="s">
        <v>1529</v>
      </c>
      <c r="D439" s="6" t="s">
        <v>44</v>
      </c>
      <c r="E439" s="7" t="s">
        <v>23</v>
      </c>
      <c r="F439" s="6">
        <v>85023</v>
      </c>
      <c r="G439" s="6" t="s">
        <v>72</v>
      </c>
      <c r="H439" s="6" t="s">
        <v>93</v>
      </c>
      <c r="I439" s="6" t="s">
        <v>26</v>
      </c>
      <c r="J439" s="6" t="b">
        <v>1</v>
      </c>
      <c r="K439" s="6" t="s">
        <v>27</v>
      </c>
      <c r="L439" s="6">
        <v>40</v>
      </c>
      <c r="M439" s="6">
        <v>150</v>
      </c>
      <c r="N439" s="8">
        <f t="shared" si="42"/>
        <v>76.679999999999993</v>
      </c>
      <c r="O439" s="8">
        <f t="shared" si="43"/>
        <v>1916.68</v>
      </c>
      <c r="P439" s="8">
        <f t="shared" si="44"/>
        <v>1916.68</v>
      </c>
      <c r="Q439" s="8">
        <f t="shared" si="45"/>
        <v>0</v>
      </c>
      <c r="R439" s="9">
        <f t="shared" si="46"/>
        <v>1916.68</v>
      </c>
      <c r="S439" s="10">
        <f t="shared" si="47"/>
        <v>159.72333333333333</v>
      </c>
      <c r="T439">
        <v>165</v>
      </c>
      <c r="U439">
        <f t="shared" si="48"/>
        <v>15</v>
      </c>
    </row>
    <row r="440" spans="1:21" ht="14.25" customHeight="1" x14ac:dyDescent="0.35">
      <c r="A440" s="6" t="s">
        <v>1530</v>
      </c>
      <c r="B440" s="6" t="s">
        <v>1531</v>
      </c>
      <c r="C440" s="6" t="s">
        <v>1532</v>
      </c>
      <c r="D440" s="6" t="s">
        <v>77</v>
      </c>
      <c r="E440" s="7" t="s">
        <v>23</v>
      </c>
      <c r="F440" s="6">
        <v>85304</v>
      </c>
      <c r="G440" s="6" t="s">
        <v>72</v>
      </c>
      <c r="H440" s="6" t="s">
        <v>93</v>
      </c>
      <c r="I440" s="6" t="s">
        <v>26</v>
      </c>
      <c r="J440" s="6" t="b">
        <v>1</v>
      </c>
      <c r="K440" s="6" t="s">
        <v>27</v>
      </c>
      <c r="L440" s="6">
        <v>40</v>
      </c>
      <c r="M440" s="6">
        <v>150</v>
      </c>
      <c r="N440" s="8">
        <f t="shared" si="42"/>
        <v>76.679999999999993</v>
      </c>
      <c r="O440" s="8">
        <f t="shared" si="43"/>
        <v>1916.68</v>
      </c>
      <c r="P440" s="8">
        <f t="shared" si="44"/>
        <v>1916.68</v>
      </c>
      <c r="Q440" s="8">
        <f t="shared" si="45"/>
        <v>0</v>
      </c>
      <c r="R440" s="9">
        <f t="shared" si="46"/>
        <v>1916.68</v>
      </c>
      <c r="S440" s="10">
        <f t="shared" si="47"/>
        <v>159.72333333333333</v>
      </c>
      <c r="T440">
        <v>165</v>
      </c>
      <c r="U440">
        <f t="shared" si="48"/>
        <v>15</v>
      </c>
    </row>
    <row r="441" spans="1:21" ht="14.25" customHeight="1" x14ac:dyDescent="0.35">
      <c r="A441" s="6" t="s">
        <v>1533</v>
      </c>
      <c r="B441" s="6" t="s">
        <v>1534</v>
      </c>
      <c r="C441" s="6" t="s">
        <v>1535</v>
      </c>
      <c r="D441" s="6" t="s">
        <v>31</v>
      </c>
      <c r="E441" s="7" t="s">
        <v>23</v>
      </c>
      <c r="F441" s="6">
        <v>85255</v>
      </c>
      <c r="G441" s="6" t="s">
        <v>32</v>
      </c>
      <c r="H441" s="6" t="s">
        <v>33</v>
      </c>
      <c r="I441" s="6" t="s">
        <v>26</v>
      </c>
      <c r="J441" s="6" t="b">
        <v>1</v>
      </c>
      <c r="K441" s="6" t="s">
        <v>27</v>
      </c>
      <c r="L441" s="6">
        <v>40</v>
      </c>
      <c r="M441" s="6">
        <v>150</v>
      </c>
      <c r="N441" s="8">
        <f t="shared" si="42"/>
        <v>76.679999999999993</v>
      </c>
      <c r="O441" s="8">
        <f t="shared" si="43"/>
        <v>1916.68</v>
      </c>
      <c r="P441" s="8">
        <f t="shared" si="44"/>
        <v>1916.68</v>
      </c>
      <c r="Q441" s="8">
        <f t="shared" si="45"/>
        <v>0</v>
      </c>
      <c r="R441" s="9">
        <f t="shared" si="46"/>
        <v>1916.68</v>
      </c>
      <c r="S441" s="10">
        <f t="shared" si="47"/>
        <v>159.72333333333333</v>
      </c>
      <c r="T441">
        <v>165</v>
      </c>
      <c r="U441">
        <f t="shared" si="48"/>
        <v>15</v>
      </c>
    </row>
    <row r="442" spans="1:21" ht="14.25" customHeight="1" x14ac:dyDescent="0.35">
      <c r="A442" s="6" t="s">
        <v>1536</v>
      </c>
      <c r="B442" s="6" t="s">
        <v>1537</v>
      </c>
      <c r="C442" s="6" t="s">
        <v>1538</v>
      </c>
      <c r="D442" s="6" t="s">
        <v>363</v>
      </c>
      <c r="E442" s="7" t="s">
        <v>23</v>
      </c>
      <c r="F442" s="6">
        <v>85284</v>
      </c>
      <c r="G442" s="6" t="s">
        <v>24</v>
      </c>
      <c r="H442" s="6" t="s">
        <v>161</v>
      </c>
      <c r="I442" s="6" t="s">
        <v>26</v>
      </c>
      <c r="J442" s="6" t="b">
        <v>1</v>
      </c>
      <c r="K442" s="6" t="s">
        <v>27</v>
      </c>
      <c r="L442" s="6">
        <v>40</v>
      </c>
      <c r="M442" s="6">
        <v>150</v>
      </c>
      <c r="N442" s="8">
        <f t="shared" si="42"/>
        <v>76.679999999999993</v>
      </c>
      <c r="O442" s="8">
        <f t="shared" si="43"/>
        <v>1916.68</v>
      </c>
      <c r="P442" s="8">
        <f t="shared" si="44"/>
        <v>1916.68</v>
      </c>
      <c r="Q442" s="8">
        <f t="shared" si="45"/>
        <v>0</v>
      </c>
      <c r="R442" s="9">
        <f t="shared" si="46"/>
        <v>1916.68</v>
      </c>
      <c r="S442" s="10">
        <f t="shared" si="47"/>
        <v>159.72333333333333</v>
      </c>
      <c r="T442">
        <v>165</v>
      </c>
      <c r="U442">
        <f t="shared" si="48"/>
        <v>15</v>
      </c>
    </row>
    <row r="443" spans="1:21" ht="14.25" customHeight="1" x14ac:dyDescent="0.35">
      <c r="A443" s="6" t="s">
        <v>2111</v>
      </c>
      <c r="B443" s="6" t="s">
        <v>2112</v>
      </c>
      <c r="C443" s="6" t="s">
        <v>2113</v>
      </c>
      <c r="D443" s="6" t="s">
        <v>22</v>
      </c>
      <c r="E443" s="7" t="s">
        <v>23</v>
      </c>
      <c r="F443" s="6">
        <v>85249</v>
      </c>
      <c r="G443" s="6" t="s">
        <v>125</v>
      </c>
      <c r="H443" s="6" t="s">
        <v>126</v>
      </c>
      <c r="I443" s="6" t="s">
        <v>26</v>
      </c>
      <c r="J443" s="6" t="b">
        <v>1</v>
      </c>
      <c r="K443" s="6" t="s">
        <v>94</v>
      </c>
      <c r="L443" s="6">
        <v>40</v>
      </c>
      <c r="M443" s="6">
        <v>150</v>
      </c>
      <c r="N443" s="8">
        <f t="shared" si="42"/>
        <v>76.679999999999993</v>
      </c>
      <c r="O443" s="8">
        <f t="shared" si="43"/>
        <v>1916.68</v>
      </c>
      <c r="P443" s="8">
        <f t="shared" si="44"/>
        <v>1859.1795999999999</v>
      </c>
      <c r="Q443" s="8">
        <f t="shared" si="45"/>
        <v>-57.500400000000127</v>
      </c>
      <c r="R443" s="9">
        <f t="shared" si="46"/>
        <v>1974.1804000000002</v>
      </c>
      <c r="S443" s="10">
        <f t="shared" si="47"/>
        <v>164.51503333333335</v>
      </c>
      <c r="T443">
        <v>165</v>
      </c>
      <c r="U443">
        <f t="shared" si="48"/>
        <v>15</v>
      </c>
    </row>
    <row r="444" spans="1:21" ht="14.25" customHeight="1" x14ac:dyDescent="0.35">
      <c r="A444" s="6" t="s">
        <v>1573</v>
      </c>
      <c r="B444" s="6" t="s">
        <v>1574</v>
      </c>
      <c r="C444" s="6" t="s">
        <v>1575</v>
      </c>
      <c r="D444" s="6" t="s">
        <v>44</v>
      </c>
      <c r="E444" s="7" t="s">
        <v>23</v>
      </c>
      <c r="F444" s="6">
        <v>85020</v>
      </c>
      <c r="G444" s="6" t="s">
        <v>173</v>
      </c>
      <c r="H444" s="6" t="s">
        <v>169</v>
      </c>
      <c r="I444" s="6" t="s">
        <v>26</v>
      </c>
      <c r="J444" s="6" t="b">
        <v>1</v>
      </c>
      <c r="K444" s="6" t="s">
        <v>27</v>
      </c>
      <c r="L444" s="6">
        <v>40</v>
      </c>
      <c r="M444" s="6">
        <v>151.88999999999999</v>
      </c>
      <c r="N444" s="8">
        <f t="shared" si="42"/>
        <v>76.679999999999993</v>
      </c>
      <c r="O444" s="8">
        <f t="shared" si="43"/>
        <v>1939.36</v>
      </c>
      <c r="P444" s="8">
        <f t="shared" si="44"/>
        <v>1939.36</v>
      </c>
      <c r="Q444" s="8">
        <f t="shared" si="45"/>
        <v>0</v>
      </c>
      <c r="R444" s="9">
        <f t="shared" si="46"/>
        <v>1939.36</v>
      </c>
      <c r="S444" s="10">
        <f t="shared" si="47"/>
        <v>161.61333333333332</v>
      </c>
      <c r="T444">
        <v>165</v>
      </c>
      <c r="U444">
        <f t="shared" si="48"/>
        <v>13.110000000000014</v>
      </c>
    </row>
    <row r="445" spans="1:21" ht="14.25" customHeight="1" x14ac:dyDescent="0.35">
      <c r="A445" s="6" t="s">
        <v>1634</v>
      </c>
      <c r="B445" s="6" t="s">
        <v>1635</v>
      </c>
      <c r="C445" s="6" t="s">
        <v>1636</v>
      </c>
      <c r="D445" s="6" t="s">
        <v>130</v>
      </c>
      <c r="E445" s="7" t="s">
        <v>23</v>
      </c>
      <c r="F445" s="6">
        <v>85142</v>
      </c>
      <c r="G445" s="6" t="s">
        <v>87</v>
      </c>
      <c r="H445" s="6" t="s">
        <v>109</v>
      </c>
      <c r="I445" s="6" t="s">
        <v>110</v>
      </c>
      <c r="J445" s="6" t="b">
        <v>1</v>
      </c>
      <c r="K445" s="6" t="s">
        <v>27</v>
      </c>
      <c r="L445" s="6">
        <v>40</v>
      </c>
      <c r="M445" s="6">
        <v>153.47</v>
      </c>
      <c r="N445" s="8">
        <f t="shared" si="42"/>
        <v>76.679999999999993</v>
      </c>
      <c r="O445" s="8">
        <f t="shared" si="43"/>
        <v>1958.32</v>
      </c>
      <c r="P445" s="8">
        <f t="shared" si="44"/>
        <v>1958.32</v>
      </c>
      <c r="Q445" s="8">
        <f t="shared" si="45"/>
        <v>0</v>
      </c>
      <c r="R445" s="9">
        <f t="shared" si="46"/>
        <v>1958.32</v>
      </c>
      <c r="S445" s="10">
        <f t="shared" si="47"/>
        <v>163.19333333333333</v>
      </c>
      <c r="T445">
        <v>165</v>
      </c>
      <c r="U445">
        <f t="shared" si="48"/>
        <v>11.530000000000001</v>
      </c>
    </row>
    <row r="446" spans="1:21" ht="14.25" customHeight="1" x14ac:dyDescent="0.35">
      <c r="A446" s="6" t="s">
        <v>1637</v>
      </c>
      <c r="B446" s="6" t="s">
        <v>1638</v>
      </c>
      <c r="C446" s="6" t="s">
        <v>1639</v>
      </c>
      <c r="D446" s="6" t="s">
        <v>1226</v>
      </c>
      <c r="E446" s="7" t="s">
        <v>23</v>
      </c>
      <c r="F446" s="6">
        <v>85128</v>
      </c>
      <c r="G446" s="6" t="s">
        <v>87</v>
      </c>
      <c r="H446" s="6" t="s">
        <v>109</v>
      </c>
      <c r="I446" s="6" t="s">
        <v>40</v>
      </c>
      <c r="J446" s="6" t="b">
        <v>1</v>
      </c>
      <c r="K446" s="6" t="s">
        <v>27</v>
      </c>
      <c r="L446" s="6">
        <v>40</v>
      </c>
      <c r="M446" s="6">
        <v>153.47</v>
      </c>
      <c r="N446" s="8">
        <f t="shared" si="42"/>
        <v>76.679999999999993</v>
      </c>
      <c r="O446" s="8">
        <f t="shared" si="43"/>
        <v>1958.32</v>
      </c>
      <c r="P446" s="8">
        <f t="shared" si="44"/>
        <v>1958.32</v>
      </c>
      <c r="Q446" s="8">
        <f t="shared" si="45"/>
        <v>0</v>
      </c>
      <c r="R446" s="9">
        <f t="shared" si="46"/>
        <v>1958.32</v>
      </c>
      <c r="S446" s="10">
        <f t="shared" si="47"/>
        <v>163.19333333333333</v>
      </c>
      <c r="T446">
        <v>165</v>
      </c>
      <c r="U446">
        <f t="shared" si="48"/>
        <v>11.530000000000001</v>
      </c>
    </row>
    <row r="447" spans="1:21" ht="14.25" customHeight="1" x14ac:dyDescent="0.35">
      <c r="A447" s="6" t="s">
        <v>1640</v>
      </c>
      <c r="B447" s="6" t="s">
        <v>1641</v>
      </c>
      <c r="C447" s="6" t="s">
        <v>1642</v>
      </c>
      <c r="D447" s="6" t="s">
        <v>54</v>
      </c>
      <c r="E447" s="7" t="s">
        <v>23</v>
      </c>
      <c r="F447" s="6">
        <v>85757</v>
      </c>
      <c r="G447" s="6" t="s">
        <v>55</v>
      </c>
      <c r="H447" s="6" t="s">
        <v>56</v>
      </c>
      <c r="I447" s="6" t="s">
        <v>40</v>
      </c>
      <c r="J447" s="6" t="b">
        <v>1</v>
      </c>
      <c r="K447" s="6" t="s">
        <v>27</v>
      </c>
      <c r="L447" s="6">
        <v>40</v>
      </c>
      <c r="M447" s="6">
        <v>153.47</v>
      </c>
      <c r="N447" s="8">
        <f t="shared" si="42"/>
        <v>76.679999999999993</v>
      </c>
      <c r="O447" s="8">
        <f t="shared" si="43"/>
        <v>1958.32</v>
      </c>
      <c r="P447" s="8">
        <f t="shared" si="44"/>
        <v>1958.32</v>
      </c>
      <c r="Q447" s="8">
        <f t="shared" si="45"/>
        <v>0</v>
      </c>
      <c r="R447" s="9">
        <f t="shared" si="46"/>
        <v>1958.32</v>
      </c>
      <c r="S447" s="10">
        <f t="shared" si="47"/>
        <v>163.19333333333333</v>
      </c>
      <c r="T447">
        <v>165</v>
      </c>
      <c r="U447">
        <f t="shared" si="48"/>
        <v>11.530000000000001</v>
      </c>
    </row>
    <row r="448" spans="1:21" ht="14.25" customHeight="1" x14ac:dyDescent="0.35">
      <c r="A448" s="6" t="s">
        <v>1643</v>
      </c>
      <c r="B448" s="6" t="s">
        <v>1644</v>
      </c>
      <c r="C448" s="6" t="s">
        <v>1645</v>
      </c>
      <c r="D448" s="6" t="s">
        <v>1226</v>
      </c>
      <c r="E448" s="7" t="s">
        <v>23</v>
      </c>
      <c r="F448" s="6">
        <v>85128</v>
      </c>
      <c r="G448" s="6" t="s">
        <v>87</v>
      </c>
      <c r="H448" s="6" t="s">
        <v>109</v>
      </c>
      <c r="I448" s="6" t="s">
        <v>40</v>
      </c>
      <c r="J448" s="6" t="b">
        <v>1</v>
      </c>
      <c r="K448" s="6" t="s">
        <v>27</v>
      </c>
      <c r="L448" s="6">
        <v>40</v>
      </c>
      <c r="M448" s="6">
        <v>153.47</v>
      </c>
      <c r="N448" s="8">
        <f t="shared" si="42"/>
        <v>76.679999999999993</v>
      </c>
      <c r="O448" s="8">
        <f t="shared" si="43"/>
        <v>1958.32</v>
      </c>
      <c r="P448" s="8">
        <f t="shared" si="44"/>
        <v>1958.32</v>
      </c>
      <c r="Q448" s="8">
        <f t="shared" si="45"/>
        <v>0</v>
      </c>
      <c r="R448" s="9">
        <f t="shared" si="46"/>
        <v>1958.32</v>
      </c>
      <c r="S448" s="10">
        <f t="shared" si="47"/>
        <v>163.19333333333333</v>
      </c>
      <c r="T448">
        <v>165</v>
      </c>
      <c r="U448">
        <f t="shared" si="48"/>
        <v>11.530000000000001</v>
      </c>
    </row>
    <row r="449" spans="1:21" ht="14.25" customHeight="1" x14ac:dyDescent="0.35">
      <c r="A449" s="6" t="s">
        <v>1646</v>
      </c>
      <c r="B449" s="6" t="s">
        <v>1647</v>
      </c>
      <c r="C449" s="6" t="s">
        <v>1648</v>
      </c>
      <c r="D449" s="6" t="s">
        <v>1649</v>
      </c>
      <c r="E449" s="7" t="s">
        <v>23</v>
      </c>
      <c r="F449" s="6">
        <v>85653</v>
      </c>
      <c r="G449" s="6" t="s">
        <v>55</v>
      </c>
      <c r="H449" s="6" t="s">
        <v>56</v>
      </c>
      <c r="I449" s="6" t="s">
        <v>26</v>
      </c>
      <c r="J449" s="6" t="b">
        <v>1</v>
      </c>
      <c r="K449" s="6" t="s">
        <v>27</v>
      </c>
      <c r="L449" s="6">
        <v>40</v>
      </c>
      <c r="M449" s="6">
        <v>153.47</v>
      </c>
      <c r="N449" s="8">
        <f t="shared" si="42"/>
        <v>76.679999999999993</v>
      </c>
      <c r="O449" s="8">
        <f t="shared" si="43"/>
        <v>1958.32</v>
      </c>
      <c r="P449" s="8">
        <f t="shared" si="44"/>
        <v>1958.32</v>
      </c>
      <c r="Q449" s="8">
        <f t="shared" si="45"/>
        <v>0</v>
      </c>
      <c r="R449" s="9">
        <f t="shared" si="46"/>
        <v>1958.32</v>
      </c>
      <c r="S449" s="10">
        <f t="shared" si="47"/>
        <v>163.19333333333333</v>
      </c>
      <c r="T449">
        <v>165</v>
      </c>
      <c r="U449">
        <f t="shared" si="48"/>
        <v>11.530000000000001</v>
      </c>
    </row>
    <row r="450" spans="1:21" ht="14.25" customHeight="1" x14ac:dyDescent="0.35">
      <c r="A450" s="6" t="s">
        <v>1650</v>
      </c>
      <c r="B450" s="6" t="s">
        <v>1651</v>
      </c>
      <c r="C450" s="6" t="s">
        <v>1652</v>
      </c>
      <c r="D450" s="6" t="s">
        <v>1653</v>
      </c>
      <c r="E450" s="7" t="s">
        <v>23</v>
      </c>
      <c r="F450" s="6">
        <v>85132</v>
      </c>
      <c r="G450" s="6" t="s">
        <v>87</v>
      </c>
      <c r="H450" s="6" t="s">
        <v>109</v>
      </c>
      <c r="I450" s="6" t="s">
        <v>26</v>
      </c>
      <c r="J450" s="6" t="b">
        <v>1</v>
      </c>
      <c r="K450" s="6" t="s">
        <v>27</v>
      </c>
      <c r="L450" s="6">
        <v>40</v>
      </c>
      <c r="M450" s="6">
        <v>153.47</v>
      </c>
      <c r="N450" s="8">
        <f t="shared" ref="N450:N513" si="49">IF(J450=TRUE, 6.39*12, "0")</f>
        <v>76.679999999999993</v>
      </c>
      <c r="O450" s="8">
        <f t="shared" ref="O450:O513" si="50">L450+(M450*12)+N450</f>
        <v>1958.32</v>
      </c>
      <c r="P450" s="8">
        <f t="shared" ref="P450:P513" si="51">IF(OR(K450="Check",K450="ACH"), O450*0.97, O450)</f>
        <v>1958.32</v>
      </c>
      <c r="Q450" s="8">
        <f t="shared" ref="Q450:Q513" si="52">P450-O450</f>
        <v>0</v>
      </c>
      <c r="R450" s="9">
        <f t="shared" ref="R450:R513" si="53">O450-Q450</f>
        <v>1958.32</v>
      </c>
      <c r="S450" s="10">
        <f t="shared" ref="S450:S513" si="54">R450/12</f>
        <v>163.19333333333333</v>
      </c>
      <c r="T450">
        <v>165</v>
      </c>
      <c r="U450">
        <f t="shared" si="48"/>
        <v>11.530000000000001</v>
      </c>
    </row>
    <row r="451" spans="1:21" ht="14.25" customHeight="1" x14ac:dyDescent="0.35">
      <c r="A451" s="6" t="s">
        <v>1654</v>
      </c>
      <c r="B451" s="6" t="s">
        <v>1655</v>
      </c>
      <c r="C451" s="6" t="s">
        <v>1656</v>
      </c>
      <c r="D451" s="6" t="s">
        <v>1627</v>
      </c>
      <c r="E451" s="7" t="s">
        <v>23</v>
      </c>
      <c r="F451" s="6">
        <v>85131</v>
      </c>
      <c r="G451" s="6" t="s">
        <v>87</v>
      </c>
      <c r="H451" s="6" t="s">
        <v>88</v>
      </c>
      <c r="I451" s="6" t="s">
        <v>40</v>
      </c>
      <c r="J451" s="6" t="b">
        <v>1</v>
      </c>
      <c r="K451" s="6" t="s">
        <v>27</v>
      </c>
      <c r="L451" s="6">
        <v>40</v>
      </c>
      <c r="M451" s="6">
        <v>153.47</v>
      </c>
      <c r="N451" s="8">
        <f t="shared" si="49"/>
        <v>76.679999999999993</v>
      </c>
      <c r="O451" s="8">
        <f t="shared" si="50"/>
        <v>1958.32</v>
      </c>
      <c r="P451" s="8">
        <f t="shared" si="51"/>
        <v>1958.32</v>
      </c>
      <c r="Q451" s="8">
        <f t="shared" si="52"/>
        <v>0</v>
      </c>
      <c r="R451" s="9">
        <f t="shared" si="53"/>
        <v>1958.32</v>
      </c>
      <c r="S451" s="10">
        <f t="shared" si="54"/>
        <v>163.19333333333333</v>
      </c>
      <c r="T451">
        <v>165</v>
      </c>
      <c r="U451">
        <f t="shared" si="48"/>
        <v>11.530000000000001</v>
      </c>
    </row>
    <row r="452" spans="1:21" ht="14.25" customHeight="1" x14ac:dyDescent="0.35">
      <c r="A452" s="6" t="s">
        <v>1657</v>
      </c>
      <c r="B452" s="6" t="s">
        <v>1658</v>
      </c>
      <c r="C452" s="6" t="s">
        <v>1659</v>
      </c>
      <c r="D452" s="6" t="s">
        <v>1226</v>
      </c>
      <c r="E452" s="7" t="s">
        <v>23</v>
      </c>
      <c r="F452" s="6">
        <v>85128</v>
      </c>
      <c r="G452" s="6" t="s">
        <v>87</v>
      </c>
      <c r="H452" s="6" t="s">
        <v>99</v>
      </c>
      <c r="I452" s="6" t="s">
        <v>40</v>
      </c>
      <c r="J452" s="6" t="b">
        <v>1</v>
      </c>
      <c r="K452" s="6" t="s">
        <v>27</v>
      </c>
      <c r="L452" s="6">
        <v>41.2</v>
      </c>
      <c r="M452" s="6">
        <v>153.47</v>
      </c>
      <c r="N452" s="8">
        <f t="shared" si="49"/>
        <v>76.679999999999993</v>
      </c>
      <c r="O452" s="8">
        <f t="shared" si="50"/>
        <v>1959.52</v>
      </c>
      <c r="P452" s="8">
        <f t="shared" si="51"/>
        <v>1959.52</v>
      </c>
      <c r="Q452" s="8">
        <f t="shared" si="52"/>
        <v>0</v>
      </c>
      <c r="R452" s="9">
        <f t="shared" si="53"/>
        <v>1959.52</v>
      </c>
      <c r="S452" s="10">
        <f t="shared" si="54"/>
        <v>163.29333333333332</v>
      </c>
      <c r="T452">
        <v>165</v>
      </c>
      <c r="U452">
        <f t="shared" ref="U452:U515" si="55">SUM(T452-M452)</f>
        <v>11.530000000000001</v>
      </c>
    </row>
    <row r="453" spans="1:21" ht="14.25" customHeight="1" x14ac:dyDescent="0.35">
      <c r="A453" s="6" t="s">
        <v>1660</v>
      </c>
      <c r="B453" s="6" t="s">
        <v>1661</v>
      </c>
      <c r="C453" s="6" t="s">
        <v>1662</v>
      </c>
      <c r="D453" s="6" t="s">
        <v>86</v>
      </c>
      <c r="E453" s="7" t="s">
        <v>23</v>
      </c>
      <c r="F453" s="6">
        <v>85123</v>
      </c>
      <c r="G453" s="6" t="s">
        <v>87</v>
      </c>
      <c r="H453" s="6" t="s">
        <v>88</v>
      </c>
      <c r="I453" s="6" t="s">
        <v>40</v>
      </c>
      <c r="J453" s="6" t="b">
        <v>1</v>
      </c>
      <c r="K453" s="6" t="s">
        <v>27</v>
      </c>
      <c r="L453" s="6">
        <v>41.2</v>
      </c>
      <c r="M453" s="6">
        <v>153.47</v>
      </c>
      <c r="N453" s="8">
        <f t="shared" si="49"/>
        <v>76.679999999999993</v>
      </c>
      <c r="O453" s="8">
        <f t="shared" si="50"/>
        <v>1959.52</v>
      </c>
      <c r="P453" s="8">
        <f t="shared" si="51"/>
        <v>1959.52</v>
      </c>
      <c r="Q453" s="8">
        <f t="shared" si="52"/>
        <v>0</v>
      </c>
      <c r="R453" s="9">
        <f t="shared" si="53"/>
        <v>1959.52</v>
      </c>
      <c r="S453" s="10">
        <f t="shared" si="54"/>
        <v>163.29333333333332</v>
      </c>
      <c r="T453">
        <v>165</v>
      </c>
      <c r="U453">
        <f t="shared" si="55"/>
        <v>11.530000000000001</v>
      </c>
    </row>
    <row r="454" spans="1:21" ht="14.25" customHeight="1" x14ac:dyDescent="0.35">
      <c r="A454" s="6" t="s">
        <v>1663</v>
      </c>
      <c r="B454" s="6" t="s">
        <v>1664</v>
      </c>
      <c r="C454" s="6" t="s">
        <v>1665</v>
      </c>
      <c r="D454" s="6" t="s">
        <v>98</v>
      </c>
      <c r="E454" s="7" t="s">
        <v>23</v>
      </c>
      <c r="F454" s="6">
        <v>85194</v>
      </c>
      <c r="G454" s="6" t="s">
        <v>87</v>
      </c>
      <c r="H454" s="6" t="s">
        <v>99</v>
      </c>
      <c r="I454" s="6" t="s">
        <v>26</v>
      </c>
      <c r="J454" s="6" t="b">
        <v>1</v>
      </c>
      <c r="K454" s="6" t="s">
        <v>27</v>
      </c>
      <c r="L454" s="6">
        <v>41.2</v>
      </c>
      <c r="M454" s="6">
        <v>153.47</v>
      </c>
      <c r="N454" s="8">
        <f t="shared" si="49"/>
        <v>76.679999999999993</v>
      </c>
      <c r="O454" s="8">
        <f t="shared" si="50"/>
        <v>1959.52</v>
      </c>
      <c r="P454" s="8">
        <f t="shared" si="51"/>
        <v>1959.52</v>
      </c>
      <c r="Q454" s="8">
        <f t="shared" si="52"/>
        <v>0</v>
      </c>
      <c r="R454" s="9">
        <f t="shared" si="53"/>
        <v>1959.52</v>
      </c>
      <c r="S454" s="10">
        <f t="shared" si="54"/>
        <v>163.29333333333332</v>
      </c>
      <c r="T454">
        <v>165</v>
      </c>
      <c r="U454">
        <f t="shared" si="55"/>
        <v>11.530000000000001</v>
      </c>
    </row>
    <row r="455" spans="1:21" ht="14.25" customHeight="1" x14ac:dyDescent="0.35">
      <c r="A455" s="6" t="s">
        <v>1666</v>
      </c>
      <c r="B455" s="6" t="s">
        <v>1667</v>
      </c>
      <c r="C455" s="6" t="s">
        <v>1668</v>
      </c>
      <c r="D455" s="6" t="s">
        <v>130</v>
      </c>
      <c r="E455" s="7" t="s">
        <v>23</v>
      </c>
      <c r="F455" s="6">
        <v>85143</v>
      </c>
      <c r="G455" s="6" t="s">
        <v>87</v>
      </c>
      <c r="H455" s="6" t="s">
        <v>109</v>
      </c>
      <c r="I455" s="6" t="s">
        <v>26</v>
      </c>
      <c r="J455" s="6" t="b">
        <v>1</v>
      </c>
      <c r="K455" s="6" t="s">
        <v>27</v>
      </c>
      <c r="L455" s="6">
        <v>41.2</v>
      </c>
      <c r="M455" s="6">
        <v>153.47</v>
      </c>
      <c r="N455" s="8">
        <f t="shared" si="49"/>
        <v>76.679999999999993</v>
      </c>
      <c r="O455" s="8">
        <f t="shared" si="50"/>
        <v>1959.52</v>
      </c>
      <c r="P455" s="8">
        <f t="shared" si="51"/>
        <v>1959.52</v>
      </c>
      <c r="Q455" s="8">
        <f t="shared" si="52"/>
        <v>0</v>
      </c>
      <c r="R455" s="9">
        <f t="shared" si="53"/>
        <v>1959.52</v>
      </c>
      <c r="S455" s="10">
        <f t="shared" si="54"/>
        <v>163.29333333333332</v>
      </c>
      <c r="T455">
        <v>165</v>
      </c>
      <c r="U455">
        <f t="shared" si="55"/>
        <v>11.530000000000001</v>
      </c>
    </row>
    <row r="456" spans="1:21" ht="14.25" customHeight="1" x14ac:dyDescent="0.35">
      <c r="A456" s="6" t="s">
        <v>1669</v>
      </c>
      <c r="B456" s="6" t="s">
        <v>1670</v>
      </c>
      <c r="C456" s="6" t="s">
        <v>1671</v>
      </c>
      <c r="D456" s="6" t="s">
        <v>54</v>
      </c>
      <c r="E456" s="7" t="s">
        <v>23</v>
      </c>
      <c r="F456" s="6">
        <v>85741</v>
      </c>
      <c r="G456" s="6" t="s">
        <v>55</v>
      </c>
      <c r="H456" s="6" t="s">
        <v>56</v>
      </c>
      <c r="I456" s="6" t="s">
        <v>57</v>
      </c>
      <c r="J456" s="6" t="b">
        <v>1</v>
      </c>
      <c r="K456" s="6" t="s">
        <v>27</v>
      </c>
      <c r="L456" s="6">
        <v>41.2</v>
      </c>
      <c r="M456" s="6">
        <v>153.47</v>
      </c>
      <c r="N456" s="8">
        <f t="shared" si="49"/>
        <v>76.679999999999993</v>
      </c>
      <c r="O456" s="8">
        <f t="shared" si="50"/>
        <v>1959.52</v>
      </c>
      <c r="P456" s="8">
        <f t="shared" si="51"/>
        <v>1959.52</v>
      </c>
      <c r="Q456" s="8">
        <f t="shared" si="52"/>
        <v>0</v>
      </c>
      <c r="R456" s="9">
        <f t="shared" si="53"/>
        <v>1959.52</v>
      </c>
      <c r="S456" s="10">
        <f t="shared" si="54"/>
        <v>163.29333333333332</v>
      </c>
      <c r="T456">
        <v>165</v>
      </c>
      <c r="U456">
        <f t="shared" si="55"/>
        <v>11.530000000000001</v>
      </c>
    </row>
    <row r="457" spans="1:21" ht="14.25" customHeight="1" x14ac:dyDescent="0.35">
      <c r="A457" s="6" t="s">
        <v>1672</v>
      </c>
      <c r="B457" s="6" t="s">
        <v>1673</v>
      </c>
      <c r="C457" s="6" t="s">
        <v>1674</v>
      </c>
      <c r="D457" s="6" t="s">
        <v>98</v>
      </c>
      <c r="E457" s="7" t="s">
        <v>23</v>
      </c>
      <c r="F457" s="6">
        <v>85122</v>
      </c>
      <c r="G457" s="6" t="s">
        <v>87</v>
      </c>
      <c r="H457" s="6" t="s">
        <v>99</v>
      </c>
      <c r="I457" s="6" t="s">
        <v>61</v>
      </c>
      <c r="J457" s="6" t="b">
        <v>1</v>
      </c>
      <c r="K457" s="6" t="s">
        <v>27</v>
      </c>
      <c r="L457" s="6">
        <v>41.2</v>
      </c>
      <c r="M457" s="6">
        <v>153.47</v>
      </c>
      <c r="N457" s="8">
        <f t="shared" si="49"/>
        <v>76.679999999999993</v>
      </c>
      <c r="O457" s="8">
        <f t="shared" si="50"/>
        <v>1959.52</v>
      </c>
      <c r="P457" s="8">
        <f t="shared" si="51"/>
        <v>1959.52</v>
      </c>
      <c r="Q457" s="8">
        <f t="shared" si="52"/>
        <v>0</v>
      </c>
      <c r="R457" s="9">
        <f t="shared" si="53"/>
        <v>1959.52</v>
      </c>
      <c r="S457" s="10">
        <f t="shared" si="54"/>
        <v>163.29333333333332</v>
      </c>
      <c r="T457">
        <v>165</v>
      </c>
      <c r="U457">
        <f t="shared" si="55"/>
        <v>11.530000000000001</v>
      </c>
    </row>
    <row r="458" spans="1:21" ht="14.25" customHeight="1" x14ac:dyDescent="0.35">
      <c r="A458" s="6" t="s">
        <v>1675</v>
      </c>
      <c r="B458" s="6" t="s">
        <v>1676</v>
      </c>
      <c r="C458" s="6" t="s">
        <v>1677</v>
      </c>
      <c r="D458" s="6" t="s">
        <v>1226</v>
      </c>
      <c r="E458" s="7" t="s">
        <v>23</v>
      </c>
      <c r="F458" s="6">
        <v>85128</v>
      </c>
      <c r="G458" s="6" t="s">
        <v>87</v>
      </c>
      <c r="H458" s="6" t="s">
        <v>109</v>
      </c>
      <c r="I458" s="6" t="s">
        <v>40</v>
      </c>
      <c r="J458" s="6" t="b">
        <v>1</v>
      </c>
      <c r="K458" s="6" t="s">
        <v>27</v>
      </c>
      <c r="L458" s="6">
        <v>41.2</v>
      </c>
      <c r="M458" s="6">
        <v>153.47</v>
      </c>
      <c r="N458" s="8">
        <f t="shared" si="49"/>
        <v>76.679999999999993</v>
      </c>
      <c r="O458" s="8">
        <f t="shared" si="50"/>
        <v>1959.52</v>
      </c>
      <c r="P458" s="8">
        <f t="shared" si="51"/>
        <v>1959.52</v>
      </c>
      <c r="Q458" s="8">
        <f t="shared" si="52"/>
        <v>0</v>
      </c>
      <c r="R458" s="9">
        <f t="shared" si="53"/>
        <v>1959.52</v>
      </c>
      <c r="S458" s="10">
        <f t="shared" si="54"/>
        <v>163.29333333333332</v>
      </c>
      <c r="T458">
        <v>165</v>
      </c>
      <c r="U458">
        <f t="shared" si="55"/>
        <v>11.530000000000001</v>
      </c>
    </row>
    <row r="459" spans="1:21" ht="14.25" customHeight="1" x14ac:dyDescent="0.35">
      <c r="A459" s="6" t="s">
        <v>1678</v>
      </c>
      <c r="B459" s="6" t="s">
        <v>1679</v>
      </c>
      <c r="C459" s="6" t="s">
        <v>1680</v>
      </c>
      <c r="D459" s="6" t="s">
        <v>98</v>
      </c>
      <c r="E459" s="7" t="s">
        <v>23</v>
      </c>
      <c r="F459" s="6">
        <v>85194</v>
      </c>
      <c r="G459" s="6" t="s">
        <v>87</v>
      </c>
      <c r="H459" s="6" t="s">
        <v>99</v>
      </c>
      <c r="I459" s="6" t="s">
        <v>40</v>
      </c>
      <c r="J459" s="6" t="b">
        <v>1</v>
      </c>
      <c r="K459" s="6" t="s">
        <v>27</v>
      </c>
      <c r="L459" s="6">
        <v>41.2</v>
      </c>
      <c r="M459" s="6">
        <v>153.47</v>
      </c>
      <c r="N459" s="8">
        <f t="shared" si="49"/>
        <v>76.679999999999993</v>
      </c>
      <c r="O459" s="8">
        <f t="shared" si="50"/>
        <v>1959.52</v>
      </c>
      <c r="P459" s="8">
        <f t="shared" si="51"/>
        <v>1959.52</v>
      </c>
      <c r="Q459" s="8">
        <f t="shared" si="52"/>
        <v>0</v>
      </c>
      <c r="R459" s="9">
        <f t="shared" si="53"/>
        <v>1959.52</v>
      </c>
      <c r="S459" s="10">
        <f t="shared" si="54"/>
        <v>163.29333333333332</v>
      </c>
      <c r="T459">
        <v>165</v>
      </c>
      <c r="U459">
        <f t="shared" si="55"/>
        <v>11.530000000000001</v>
      </c>
    </row>
    <row r="460" spans="1:21" ht="14.25" customHeight="1" x14ac:dyDescent="0.35">
      <c r="A460" s="6" t="s">
        <v>1681</v>
      </c>
      <c r="B460" s="6" t="s">
        <v>1682</v>
      </c>
      <c r="C460" s="6" t="s">
        <v>1683</v>
      </c>
      <c r="D460" s="6" t="s">
        <v>98</v>
      </c>
      <c r="E460" s="7" t="s">
        <v>23</v>
      </c>
      <c r="F460" s="6">
        <v>85122</v>
      </c>
      <c r="G460" s="6" t="s">
        <v>87</v>
      </c>
      <c r="H460" s="6" t="s">
        <v>99</v>
      </c>
      <c r="I460" s="6" t="s">
        <v>40</v>
      </c>
      <c r="J460" s="6" t="b">
        <v>1</v>
      </c>
      <c r="K460" s="6" t="s">
        <v>27</v>
      </c>
      <c r="L460" s="6">
        <v>41.2</v>
      </c>
      <c r="M460" s="6">
        <v>153.47</v>
      </c>
      <c r="N460" s="8">
        <f t="shared" si="49"/>
        <v>76.679999999999993</v>
      </c>
      <c r="O460" s="8">
        <f t="shared" si="50"/>
        <v>1959.52</v>
      </c>
      <c r="P460" s="8">
        <f t="shared" si="51"/>
        <v>1959.52</v>
      </c>
      <c r="Q460" s="8">
        <f t="shared" si="52"/>
        <v>0</v>
      </c>
      <c r="R460" s="9">
        <f t="shared" si="53"/>
        <v>1959.52</v>
      </c>
      <c r="S460" s="10">
        <f t="shared" si="54"/>
        <v>163.29333333333332</v>
      </c>
      <c r="T460">
        <v>165</v>
      </c>
      <c r="U460">
        <f t="shared" si="55"/>
        <v>11.530000000000001</v>
      </c>
    </row>
    <row r="461" spans="1:21" ht="14.25" customHeight="1" x14ac:dyDescent="0.35">
      <c r="A461" s="6" t="s">
        <v>1684</v>
      </c>
      <c r="B461" s="6" t="s">
        <v>1685</v>
      </c>
      <c r="C461" s="6" t="s">
        <v>1686</v>
      </c>
      <c r="D461" s="6" t="s">
        <v>1687</v>
      </c>
      <c r="E461" s="7" t="s">
        <v>23</v>
      </c>
      <c r="F461" s="6">
        <v>85755</v>
      </c>
      <c r="G461" s="6" t="s">
        <v>55</v>
      </c>
      <c r="H461" s="6" t="s">
        <v>56</v>
      </c>
      <c r="I461" s="6" t="s">
        <v>26</v>
      </c>
      <c r="J461" s="6" t="b">
        <v>1</v>
      </c>
      <c r="K461" s="6" t="s">
        <v>27</v>
      </c>
      <c r="L461" s="6">
        <v>41.2</v>
      </c>
      <c r="M461" s="6">
        <v>153.47</v>
      </c>
      <c r="N461" s="8">
        <f t="shared" si="49"/>
        <v>76.679999999999993</v>
      </c>
      <c r="O461" s="8">
        <f t="shared" si="50"/>
        <v>1959.52</v>
      </c>
      <c r="P461" s="8">
        <f t="shared" si="51"/>
        <v>1959.52</v>
      </c>
      <c r="Q461" s="8">
        <f t="shared" si="52"/>
        <v>0</v>
      </c>
      <c r="R461" s="9">
        <f t="shared" si="53"/>
        <v>1959.52</v>
      </c>
      <c r="S461" s="10">
        <f t="shared" si="54"/>
        <v>163.29333333333332</v>
      </c>
      <c r="T461">
        <v>165</v>
      </c>
      <c r="U461">
        <f t="shared" si="55"/>
        <v>11.530000000000001</v>
      </c>
    </row>
    <row r="462" spans="1:21" ht="14.25" customHeight="1" x14ac:dyDescent="0.35">
      <c r="A462" s="6" t="s">
        <v>1688</v>
      </c>
      <c r="B462" s="6" t="s">
        <v>1689</v>
      </c>
      <c r="C462" s="6" t="s">
        <v>1690</v>
      </c>
      <c r="D462" s="6" t="s">
        <v>98</v>
      </c>
      <c r="E462" s="7" t="s">
        <v>23</v>
      </c>
      <c r="F462" s="6">
        <v>85122</v>
      </c>
      <c r="G462" s="6" t="s">
        <v>87</v>
      </c>
      <c r="H462" s="6" t="s">
        <v>88</v>
      </c>
      <c r="I462" s="6" t="s">
        <v>57</v>
      </c>
      <c r="J462" s="6" t="b">
        <v>1</v>
      </c>
      <c r="K462" s="6" t="s">
        <v>27</v>
      </c>
      <c r="L462" s="6">
        <v>41.2</v>
      </c>
      <c r="M462" s="6">
        <v>153.47</v>
      </c>
      <c r="N462" s="8">
        <f t="shared" si="49"/>
        <v>76.679999999999993</v>
      </c>
      <c r="O462" s="8">
        <f t="shared" si="50"/>
        <v>1959.52</v>
      </c>
      <c r="P462" s="8">
        <f t="shared" si="51"/>
        <v>1959.52</v>
      </c>
      <c r="Q462" s="8">
        <f t="shared" si="52"/>
        <v>0</v>
      </c>
      <c r="R462" s="9">
        <f t="shared" si="53"/>
        <v>1959.52</v>
      </c>
      <c r="S462" s="10">
        <f t="shared" si="54"/>
        <v>163.29333333333332</v>
      </c>
      <c r="T462">
        <v>165</v>
      </c>
      <c r="U462">
        <f t="shared" si="55"/>
        <v>11.530000000000001</v>
      </c>
    </row>
    <row r="463" spans="1:21" ht="14.25" customHeight="1" x14ac:dyDescent="0.35">
      <c r="A463" s="6" t="s">
        <v>1691</v>
      </c>
      <c r="B463" s="6" t="s">
        <v>1692</v>
      </c>
      <c r="C463" s="6" t="s">
        <v>1693</v>
      </c>
      <c r="D463" s="6" t="s">
        <v>98</v>
      </c>
      <c r="E463" s="7" t="s">
        <v>23</v>
      </c>
      <c r="F463" s="6">
        <v>85122</v>
      </c>
      <c r="G463" s="6" t="s">
        <v>87</v>
      </c>
      <c r="H463" s="6" t="s">
        <v>99</v>
      </c>
      <c r="I463" s="6" t="s">
        <v>40</v>
      </c>
      <c r="J463" s="6" t="b">
        <v>1</v>
      </c>
      <c r="K463" s="6" t="s">
        <v>27</v>
      </c>
      <c r="L463" s="6">
        <v>41.2</v>
      </c>
      <c r="M463" s="6">
        <v>153.47</v>
      </c>
      <c r="N463" s="8">
        <f t="shared" si="49"/>
        <v>76.679999999999993</v>
      </c>
      <c r="O463" s="8">
        <f t="shared" si="50"/>
        <v>1959.52</v>
      </c>
      <c r="P463" s="8">
        <f t="shared" si="51"/>
        <v>1959.52</v>
      </c>
      <c r="Q463" s="8">
        <f t="shared" si="52"/>
        <v>0</v>
      </c>
      <c r="R463" s="9">
        <f t="shared" si="53"/>
        <v>1959.52</v>
      </c>
      <c r="S463" s="10">
        <f t="shared" si="54"/>
        <v>163.29333333333332</v>
      </c>
      <c r="T463">
        <v>165</v>
      </c>
      <c r="U463">
        <f t="shared" si="55"/>
        <v>11.530000000000001</v>
      </c>
    </row>
    <row r="464" spans="1:21" ht="14.25" customHeight="1" x14ac:dyDescent="0.35">
      <c r="A464" s="6" t="s">
        <v>1694</v>
      </c>
      <c r="B464" s="6" t="s">
        <v>1695</v>
      </c>
      <c r="C464" s="6" t="s">
        <v>1696</v>
      </c>
      <c r="D464" s="6" t="s">
        <v>98</v>
      </c>
      <c r="E464" s="7" t="s">
        <v>23</v>
      </c>
      <c r="F464" s="6">
        <v>85122</v>
      </c>
      <c r="G464" s="6" t="s">
        <v>87</v>
      </c>
      <c r="H464" s="6" t="s">
        <v>88</v>
      </c>
      <c r="I464" s="6" t="s">
        <v>110</v>
      </c>
      <c r="J464" s="6" t="b">
        <v>1</v>
      </c>
      <c r="K464" s="6" t="s">
        <v>27</v>
      </c>
      <c r="L464" s="6">
        <v>41.2</v>
      </c>
      <c r="M464" s="6">
        <v>153.47</v>
      </c>
      <c r="N464" s="8">
        <f t="shared" si="49"/>
        <v>76.679999999999993</v>
      </c>
      <c r="O464" s="8">
        <f t="shared" si="50"/>
        <v>1959.52</v>
      </c>
      <c r="P464" s="8">
        <f t="shared" si="51"/>
        <v>1959.52</v>
      </c>
      <c r="Q464" s="8">
        <f t="shared" si="52"/>
        <v>0</v>
      </c>
      <c r="R464" s="9">
        <f t="shared" si="53"/>
        <v>1959.52</v>
      </c>
      <c r="S464" s="10">
        <f t="shared" si="54"/>
        <v>163.29333333333332</v>
      </c>
      <c r="T464">
        <v>165</v>
      </c>
      <c r="U464">
        <f t="shared" si="55"/>
        <v>11.530000000000001</v>
      </c>
    </row>
    <row r="465" spans="1:21" ht="14.25" customHeight="1" x14ac:dyDescent="0.35">
      <c r="A465" s="6" t="s">
        <v>1697</v>
      </c>
      <c r="B465" s="6" t="s">
        <v>1698</v>
      </c>
      <c r="C465" s="6" t="s">
        <v>1699</v>
      </c>
      <c r="D465" s="6" t="s">
        <v>98</v>
      </c>
      <c r="E465" s="7" t="s">
        <v>23</v>
      </c>
      <c r="F465" s="6">
        <v>85122</v>
      </c>
      <c r="G465" s="6" t="s">
        <v>87</v>
      </c>
      <c r="H465" s="6" t="s">
        <v>99</v>
      </c>
      <c r="I465" s="6" t="s">
        <v>110</v>
      </c>
      <c r="J465" s="6" t="b">
        <v>1</v>
      </c>
      <c r="K465" s="6" t="s">
        <v>27</v>
      </c>
      <c r="L465" s="6">
        <v>41.2</v>
      </c>
      <c r="M465" s="6">
        <v>153.47</v>
      </c>
      <c r="N465" s="8">
        <f t="shared" si="49"/>
        <v>76.679999999999993</v>
      </c>
      <c r="O465" s="8">
        <f t="shared" si="50"/>
        <v>1959.52</v>
      </c>
      <c r="P465" s="8">
        <f t="shared" si="51"/>
        <v>1959.52</v>
      </c>
      <c r="Q465" s="8">
        <f t="shared" si="52"/>
        <v>0</v>
      </c>
      <c r="R465" s="9">
        <f t="shared" si="53"/>
        <v>1959.52</v>
      </c>
      <c r="S465" s="10">
        <f t="shared" si="54"/>
        <v>163.29333333333332</v>
      </c>
      <c r="T465">
        <v>165</v>
      </c>
      <c r="U465">
        <f t="shared" si="55"/>
        <v>11.530000000000001</v>
      </c>
    </row>
    <row r="466" spans="1:21" ht="14.25" customHeight="1" x14ac:dyDescent="0.35">
      <c r="A466" s="6" t="s">
        <v>1700</v>
      </c>
      <c r="B466" s="6" t="s">
        <v>1701</v>
      </c>
      <c r="C466" s="6" t="s">
        <v>1702</v>
      </c>
      <c r="D466" s="6" t="s">
        <v>98</v>
      </c>
      <c r="E466" s="7" t="s">
        <v>23</v>
      </c>
      <c r="F466" s="6">
        <v>85122</v>
      </c>
      <c r="G466" s="6" t="s">
        <v>87</v>
      </c>
      <c r="H466" s="6" t="s">
        <v>88</v>
      </c>
      <c r="I466" s="6" t="s">
        <v>57</v>
      </c>
      <c r="J466" s="6" t="b">
        <v>1</v>
      </c>
      <c r="K466" s="6" t="s">
        <v>27</v>
      </c>
      <c r="L466" s="6">
        <v>41.2</v>
      </c>
      <c r="M466" s="6">
        <v>153.47</v>
      </c>
      <c r="N466" s="8">
        <f t="shared" si="49"/>
        <v>76.679999999999993</v>
      </c>
      <c r="O466" s="8">
        <f t="shared" si="50"/>
        <v>1959.52</v>
      </c>
      <c r="P466" s="8">
        <f t="shared" si="51"/>
        <v>1959.52</v>
      </c>
      <c r="Q466" s="8">
        <f t="shared" si="52"/>
        <v>0</v>
      </c>
      <c r="R466" s="9">
        <f t="shared" si="53"/>
        <v>1959.52</v>
      </c>
      <c r="S466" s="10">
        <f t="shared" si="54"/>
        <v>163.29333333333332</v>
      </c>
      <c r="T466">
        <v>165</v>
      </c>
      <c r="U466">
        <f t="shared" si="55"/>
        <v>11.530000000000001</v>
      </c>
    </row>
    <row r="467" spans="1:21" ht="14.25" customHeight="1" x14ac:dyDescent="0.35">
      <c r="A467" s="6" t="s">
        <v>1703</v>
      </c>
      <c r="B467" s="6" t="s">
        <v>1704</v>
      </c>
      <c r="C467" s="6" t="s">
        <v>1705</v>
      </c>
      <c r="D467" s="6" t="s">
        <v>98</v>
      </c>
      <c r="E467" s="7" t="s">
        <v>23</v>
      </c>
      <c r="F467" s="6">
        <v>85122</v>
      </c>
      <c r="G467" s="6" t="s">
        <v>87</v>
      </c>
      <c r="H467" s="6" t="s">
        <v>88</v>
      </c>
      <c r="I467" s="6" t="s">
        <v>57</v>
      </c>
      <c r="J467" s="6" t="b">
        <v>1</v>
      </c>
      <c r="K467" s="6" t="s">
        <v>27</v>
      </c>
      <c r="L467" s="6">
        <v>41.2</v>
      </c>
      <c r="M467" s="6">
        <v>153.47</v>
      </c>
      <c r="N467" s="8">
        <f t="shared" si="49"/>
        <v>76.679999999999993</v>
      </c>
      <c r="O467" s="8">
        <f t="shared" si="50"/>
        <v>1959.52</v>
      </c>
      <c r="P467" s="8">
        <f t="shared" si="51"/>
        <v>1959.52</v>
      </c>
      <c r="Q467" s="8">
        <f t="shared" si="52"/>
        <v>0</v>
      </c>
      <c r="R467" s="9">
        <f t="shared" si="53"/>
        <v>1959.52</v>
      </c>
      <c r="S467" s="10">
        <f t="shared" si="54"/>
        <v>163.29333333333332</v>
      </c>
      <c r="T467">
        <v>165</v>
      </c>
      <c r="U467">
        <f t="shared" si="55"/>
        <v>11.530000000000001</v>
      </c>
    </row>
    <row r="468" spans="1:21" ht="14.25" customHeight="1" x14ac:dyDescent="0.35">
      <c r="A468" s="6" t="s">
        <v>1706</v>
      </c>
      <c r="B468" s="6" t="s">
        <v>1707</v>
      </c>
      <c r="C468" s="6" t="s">
        <v>1708</v>
      </c>
      <c r="D468" s="6" t="s">
        <v>54</v>
      </c>
      <c r="E468" s="7" t="s">
        <v>23</v>
      </c>
      <c r="F468" s="6">
        <v>85741</v>
      </c>
      <c r="G468" s="6" t="s">
        <v>55</v>
      </c>
      <c r="H468" s="6" t="s">
        <v>56</v>
      </c>
      <c r="I468" s="6" t="s">
        <v>57</v>
      </c>
      <c r="J468" s="6" t="b">
        <v>1</v>
      </c>
      <c r="K468" s="6" t="s">
        <v>27</v>
      </c>
      <c r="L468" s="6">
        <v>41.2</v>
      </c>
      <c r="M468" s="6">
        <v>153.47</v>
      </c>
      <c r="N468" s="8">
        <f t="shared" si="49"/>
        <v>76.679999999999993</v>
      </c>
      <c r="O468" s="8">
        <f t="shared" si="50"/>
        <v>1959.52</v>
      </c>
      <c r="P468" s="8">
        <f t="shared" si="51"/>
        <v>1959.52</v>
      </c>
      <c r="Q468" s="8">
        <f t="shared" si="52"/>
        <v>0</v>
      </c>
      <c r="R468" s="9">
        <f t="shared" si="53"/>
        <v>1959.52</v>
      </c>
      <c r="S468" s="10">
        <f t="shared" si="54"/>
        <v>163.29333333333332</v>
      </c>
      <c r="T468">
        <v>165</v>
      </c>
      <c r="U468">
        <f t="shared" si="55"/>
        <v>11.530000000000001</v>
      </c>
    </row>
    <row r="469" spans="1:21" ht="14.25" customHeight="1" x14ac:dyDescent="0.35">
      <c r="A469" s="6" t="s">
        <v>3780</v>
      </c>
      <c r="B469" s="6" t="s">
        <v>3781</v>
      </c>
      <c r="C469" s="6" t="s">
        <v>3782</v>
      </c>
      <c r="D469" s="6" t="s">
        <v>98</v>
      </c>
      <c r="E469" s="7" t="s">
        <v>23</v>
      </c>
      <c r="F469" s="6">
        <v>85122</v>
      </c>
      <c r="G469" s="6" t="s">
        <v>87</v>
      </c>
      <c r="H469" s="6" t="s">
        <v>99</v>
      </c>
      <c r="I469" s="6" t="s">
        <v>26</v>
      </c>
      <c r="J469" s="6" t="b">
        <v>1</v>
      </c>
      <c r="K469" s="6" t="s">
        <v>89</v>
      </c>
      <c r="L469" s="6">
        <v>40</v>
      </c>
      <c r="M469" s="6">
        <v>153.47</v>
      </c>
      <c r="N469" s="8">
        <f t="shared" si="49"/>
        <v>76.679999999999993</v>
      </c>
      <c r="O469" s="8">
        <f t="shared" si="50"/>
        <v>1958.32</v>
      </c>
      <c r="P469" s="8">
        <f t="shared" si="51"/>
        <v>1899.5703999999998</v>
      </c>
      <c r="Q469" s="8">
        <f t="shared" si="52"/>
        <v>-58.7496000000001</v>
      </c>
      <c r="R469" s="9">
        <f t="shared" si="53"/>
        <v>2017.0696</v>
      </c>
      <c r="S469" s="10">
        <f t="shared" si="54"/>
        <v>168.08913333333334</v>
      </c>
      <c r="T469">
        <v>165</v>
      </c>
      <c r="U469">
        <f t="shared" si="55"/>
        <v>11.530000000000001</v>
      </c>
    </row>
    <row r="470" spans="1:21" ht="14.25" customHeight="1" x14ac:dyDescent="0.35">
      <c r="A470" s="6" t="s">
        <v>3783</v>
      </c>
      <c r="B470" s="6" t="s">
        <v>3784</v>
      </c>
      <c r="C470" s="6" t="s">
        <v>3785</v>
      </c>
      <c r="D470" s="6" t="s">
        <v>54</v>
      </c>
      <c r="E470" s="7" t="s">
        <v>23</v>
      </c>
      <c r="F470" s="6">
        <v>85750</v>
      </c>
      <c r="G470" s="6" t="s">
        <v>55</v>
      </c>
      <c r="H470" s="6" t="s">
        <v>56</v>
      </c>
      <c r="I470" s="6" t="s">
        <v>110</v>
      </c>
      <c r="J470" s="6" t="b">
        <v>1</v>
      </c>
      <c r="K470" s="6" t="s">
        <v>94</v>
      </c>
      <c r="L470" s="6">
        <v>40</v>
      </c>
      <c r="M470" s="6">
        <v>153.47</v>
      </c>
      <c r="N470" s="8">
        <f t="shared" si="49"/>
        <v>76.679999999999993</v>
      </c>
      <c r="O470" s="8">
        <f t="shared" si="50"/>
        <v>1958.32</v>
      </c>
      <c r="P470" s="8">
        <f t="shared" si="51"/>
        <v>1899.5703999999998</v>
      </c>
      <c r="Q470" s="8">
        <f t="shared" si="52"/>
        <v>-58.7496000000001</v>
      </c>
      <c r="R470" s="9">
        <f t="shared" si="53"/>
        <v>2017.0696</v>
      </c>
      <c r="S470" s="10">
        <f t="shared" si="54"/>
        <v>168.08913333333334</v>
      </c>
      <c r="T470">
        <v>165</v>
      </c>
      <c r="U470">
        <f t="shared" si="55"/>
        <v>11.530000000000001</v>
      </c>
    </row>
    <row r="471" spans="1:21" ht="14.25" customHeight="1" x14ac:dyDescent="0.35">
      <c r="A471" s="6" t="s">
        <v>3786</v>
      </c>
      <c r="B471" s="6" t="s">
        <v>3787</v>
      </c>
      <c r="C471" s="6" t="s">
        <v>3788</v>
      </c>
      <c r="D471" s="6" t="s">
        <v>98</v>
      </c>
      <c r="E471" s="7" t="s">
        <v>23</v>
      </c>
      <c r="F471" s="6">
        <v>85122</v>
      </c>
      <c r="G471" s="6" t="s">
        <v>87</v>
      </c>
      <c r="H471" s="6" t="s">
        <v>99</v>
      </c>
      <c r="I471" s="6" t="s">
        <v>57</v>
      </c>
      <c r="J471" s="6" t="b">
        <v>1</v>
      </c>
      <c r="K471" s="6" t="s">
        <v>94</v>
      </c>
      <c r="L471" s="6">
        <v>41.2</v>
      </c>
      <c r="M471" s="6">
        <v>153.47</v>
      </c>
      <c r="N471" s="8">
        <f t="shared" si="49"/>
        <v>76.679999999999993</v>
      </c>
      <c r="O471" s="8">
        <f t="shared" si="50"/>
        <v>1959.52</v>
      </c>
      <c r="P471" s="8">
        <f t="shared" si="51"/>
        <v>1900.7343999999998</v>
      </c>
      <c r="Q471" s="8">
        <f t="shared" si="52"/>
        <v>-58.785600000000159</v>
      </c>
      <c r="R471" s="9">
        <f t="shared" si="53"/>
        <v>2018.3056000000001</v>
      </c>
      <c r="S471" s="10">
        <f t="shared" si="54"/>
        <v>168.19213333333335</v>
      </c>
      <c r="T471">
        <v>165</v>
      </c>
      <c r="U471">
        <f t="shared" si="55"/>
        <v>11.530000000000001</v>
      </c>
    </row>
    <row r="472" spans="1:21" ht="14.25" customHeight="1" x14ac:dyDescent="0.35">
      <c r="A472" s="6" t="s">
        <v>3789</v>
      </c>
      <c r="B472" s="6" t="s">
        <v>3790</v>
      </c>
      <c r="C472" s="6" t="s">
        <v>3791</v>
      </c>
      <c r="D472" s="6" t="s">
        <v>98</v>
      </c>
      <c r="E472" s="7" t="s">
        <v>23</v>
      </c>
      <c r="F472" s="6">
        <v>85194</v>
      </c>
      <c r="G472" s="6" t="s">
        <v>87</v>
      </c>
      <c r="H472" s="6" t="s">
        <v>99</v>
      </c>
      <c r="I472" s="6" t="s">
        <v>40</v>
      </c>
      <c r="J472" s="6" t="b">
        <v>1</v>
      </c>
      <c r="K472" s="6" t="s">
        <v>89</v>
      </c>
      <c r="L472" s="6">
        <v>41.2</v>
      </c>
      <c r="M472" s="6">
        <v>153.47</v>
      </c>
      <c r="N472" s="8">
        <f t="shared" si="49"/>
        <v>76.679999999999993</v>
      </c>
      <c r="O472" s="8">
        <f t="shared" si="50"/>
        <v>1959.52</v>
      </c>
      <c r="P472" s="8">
        <f t="shared" si="51"/>
        <v>1900.7343999999998</v>
      </c>
      <c r="Q472" s="8">
        <f t="shared" si="52"/>
        <v>-58.785600000000159</v>
      </c>
      <c r="R472" s="9">
        <f t="shared" si="53"/>
        <v>2018.3056000000001</v>
      </c>
      <c r="S472" s="10">
        <f t="shared" si="54"/>
        <v>168.19213333333335</v>
      </c>
      <c r="T472">
        <v>165</v>
      </c>
      <c r="U472">
        <f t="shared" si="55"/>
        <v>11.530000000000001</v>
      </c>
    </row>
    <row r="473" spans="1:21" ht="14.25" customHeight="1" x14ac:dyDescent="0.35">
      <c r="A473" s="6" t="s">
        <v>3792</v>
      </c>
      <c r="B473" s="6" t="s">
        <v>3793</v>
      </c>
      <c r="C473" s="6" t="s">
        <v>3794</v>
      </c>
      <c r="D473" s="6" t="s">
        <v>98</v>
      </c>
      <c r="E473" s="7" t="s">
        <v>23</v>
      </c>
      <c r="F473" s="6">
        <v>85122</v>
      </c>
      <c r="G473" s="6" t="s">
        <v>87</v>
      </c>
      <c r="H473" s="6" t="s">
        <v>99</v>
      </c>
      <c r="I473" s="6" t="s">
        <v>26</v>
      </c>
      <c r="J473" s="6" t="b">
        <v>1</v>
      </c>
      <c r="K473" s="6" t="s">
        <v>94</v>
      </c>
      <c r="L473" s="6">
        <v>41.2</v>
      </c>
      <c r="M473" s="6">
        <v>153.47</v>
      </c>
      <c r="N473" s="8">
        <f t="shared" si="49"/>
        <v>76.679999999999993</v>
      </c>
      <c r="O473" s="8">
        <f t="shared" si="50"/>
        <v>1959.52</v>
      </c>
      <c r="P473" s="8">
        <f t="shared" si="51"/>
        <v>1900.7343999999998</v>
      </c>
      <c r="Q473" s="8">
        <f t="shared" si="52"/>
        <v>-58.785600000000159</v>
      </c>
      <c r="R473" s="9">
        <f t="shared" si="53"/>
        <v>2018.3056000000001</v>
      </c>
      <c r="S473" s="10">
        <f t="shared" si="54"/>
        <v>168.19213333333335</v>
      </c>
      <c r="T473">
        <v>165</v>
      </c>
      <c r="U473">
        <f t="shared" si="55"/>
        <v>11.530000000000001</v>
      </c>
    </row>
    <row r="474" spans="1:21" ht="14.25" customHeight="1" x14ac:dyDescent="0.35">
      <c r="A474" s="6" t="s">
        <v>1011</v>
      </c>
      <c r="B474" s="6" t="s">
        <v>1012</v>
      </c>
      <c r="C474" s="6" t="s">
        <v>1013</v>
      </c>
      <c r="D474" s="6" t="s">
        <v>71</v>
      </c>
      <c r="E474" s="7" t="s">
        <v>23</v>
      </c>
      <c r="F474" s="6">
        <v>85381</v>
      </c>
      <c r="G474" s="6" t="s">
        <v>78</v>
      </c>
      <c r="H474" s="6" t="s">
        <v>73</v>
      </c>
      <c r="I474" s="6" t="s">
        <v>26</v>
      </c>
      <c r="J474" s="6" t="b">
        <v>0</v>
      </c>
      <c r="K474" s="6" t="s">
        <v>27</v>
      </c>
      <c r="L474" s="6">
        <v>0</v>
      </c>
      <c r="M474" s="6">
        <v>154.5</v>
      </c>
      <c r="N474" s="8" t="str">
        <f t="shared" si="49"/>
        <v>0</v>
      </c>
      <c r="O474" s="8">
        <f t="shared" si="50"/>
        <v>1854</v>
      </c>
      <c r="P474" s="8">
        <f t="shared" si="51"/>
        <v>1854</v>
      </c>
      <c r="Q474" s="8">
        <f t="shared" si="52"/>
        <v>0</v>
      </c>
      <c r="R474" s="9">
        <f t="shared" si="53"/>
        <v>1854</v>
      </c>
      <c r="S474" s="10">
        <f t="shared" si="54"/>
        <v>154.5</v>
      </c>
      <c r="T474">
        <v>165</v>
      </c>
      <c r="U474">
        <f t="shared" si="55"/>
        <v>10.5</v>
      </c>
    </row>
    <row r="475" spans="1:21" ht="14.25" customHeight="1" x14ac:dyDescent="0.35">
      <c r="A475" s="6" t="s">
        <v>1078</v>
      </c>
      <c r="B475" s="6" t="s">
        <v>1079</v>
      </c>
      <c r="C475" s="6" t="s">
        <v>1080</v>
      </c>
      <c r="D475" s="6" t="s">
        <v>44</v>
      </c>
      <c r="E475" s="7" t="s">
        <v>23</v>
      </c>
      <c r="F475" s="6">
        <v>85086</v>
      </c>
      <c r="G475" s="6" t="s">
        <v>32</v>
      </c>
      <c r="H475" s="6" t="s">
        <v>79</v>
      </c>
      <c r="I475" s="6" t="s">
        <v>40</v>
      </c>
      <c r="J475" s="6" t="b">
        <v>0</v>
      </c>
      <c r="K475" s="6" t="s">
        <v>27</v>
      </c>
      <c r="L475" s="6">
        <v>40</v>
      </c>
      <c r="M475" s="6">
        <v>154.5</v>
      </c>
      <c r="N475" s="8" t="str">
        <f t="shared" si="49"/>
        <v>0</v>
      </c>
      <c r="O475" s="8">
        <f t="shared" si="50"/>
        <v>1894</v>
      </c>
      <c r="P475" s="8">
        <f t="shared" si="51"/>
        <v>1894</v>
      </c>
      <c r="Q475" s="8">
        <f t="shared" si="52"/>
        <v>0</v>
      </c>
      <c r="R475" s="9">
        <f t="shared" si="53"/>
        <v>1894</v>
      </c>
      <c r="S475" s="10">
        <f t="shared" si="54"/>
        <v>157.83333333333334</v>
      </c>
      <c r="T475">
        <v>165</v>
      </c>
      <c r="U475">
        <f t="shared" si="55"/>
        <v>10.5</v>
      </c>
    </row>
    <row r="476" spans="1:21" ht="14.25" customHeight="1" x14ac:dyDescent="0.35">
      <c r="A476" s="6" t="s">
        <v>1081</v>
      </c>
      <c r="B476" s="6" t="s">
        <v>1082</v>
      </c>
      <c r="C476" s="6" t="s">
        <v>1083</v>
      </c>
      <c r="D476" s="6" t="s">
        <v>22</v>
      </c>
      <c r="E476" s="7" t="s">
        <v>23</v>
      </c>
      <c r="F476" s="6">
        <v>85224</v>
      </c>
      <c r="G476" s="6" t="s">
        <v>24</v>
      </c>
      <c r="H476" s="6" t="s">
        <v>25</v>
      </c>
      <c r="I476" s="6" t="s">
        <v>26</v>
      </c>
      <c r="J476" s="6" t="b">
        <v>1</v>
      </c>
      <c r="K476" s="6" t="s">
        <v>27</v>
      </c>
      <c r="L476" s="6">
        <v>40</v>
      </c>
      <c r="M476" s="6">
        <v>154.5</v>
      </c>
      <c r="N476" s="8">
        <f t="shared" si="49"/>
        <v>76.679999999999993</v>
      </c>
      <c r="O476" s="8">
        <f t="shared" si="50"/>
        <v>1970.68</v>
      </c>
      <c r="P476" s="8">
        <f t="shared" si="51"/>
        <v>1970.68</v>
      </c>
      <c r="Q476" s="8">
        <f t="shared" si="52"/>
        <v>0</v>
      </c>
      <c r="R476" s="9">
        <f t="shared" si="53"/>
        <v>1970.68</v>
      </c>
      <c r="S476" s="10">
        <f t="shared" si="54"/>
        <v>164.22333333333333</v>
      </c>
      <c r="T476">
        <v>165</v>
      </c>
      <c r="U476">
        <f t="shared" si="55"/>
        <v>10.5</v>
      </c>
    </row>
    <row r="477" spans="1:21" ht="14.25" customHeight="1" x14ac:dyDescent="0.35">
      <c r="A477" s="6" t="s">
        <v>1084</v>
      </c>
      <c r="B477" s="6" t="s">
        <v>1085</v>
      </c>
      <c r="C477" s="6" t="s">
        <v>1086</v>
      </c>
      <c r="D477" s="6" t="s">
        <v>482</v>
      </c>
      <c r="E477" s="7" t="s">
        <v>23</v>
      </c>
      <c r="F477" s="6">
        <v>85396</v>
      </c>
      <c r="G477" s="6" t="s">
        <v>38</v>
      </c>
      <c r="H477" s="6" t="s">
        <v>378</v>
      </c>
      <c r="I477" s="6" t="s">
        <v>26</v>
      </c>
      <c r="J477" s="6" t="b">
        <v>0</v>
      </c>
      <c r="K477" s="6" t="s">
        <v>27</v>
      </c>
      <c r="L477" s="6">
        <v>40</v>
      </c>
      <c r="M477" s="6">
        <v>154.5</v>
      </c>
      <c r="N477" s="8" t="str">
        <f t="shared" si="49"/>
        <v>0</v>
      </c>
      <c r="O477" s="8">
        <f t="shared" si="50"/>
        <v>1894</v>
      </c>
      <c r="P477" s="8">
        <f t="shared" si="51"/>
        <v>1894</v>
      </c>
      <c r="Q477" s="8">
        <f t="shared" si="52"/>
        <v>0</v>
      </c>
      <c r="R477" s="9">
        <f t="shared" si="53"/>
        <v>1894</v>
      </c>
      <c r="S477" s="10">
        <f t="shared" si="54"/>
        <v>157.83333333333334</v>
      </c>
      <c r="T477">
        <v>165</v>
      </c>
      <c r="U477">
        <f t="shared" si="55"/>
        <v>10.5</v>
      </c>
    </row>
    <row r="478" spans="1:21" ht="14.25" customHeight="1" x14ac:dyDescent="0.35">
      <c r="A478" s="6" t="s">
        <v>1087</v>
      </c>
      <c r="B478" s="6" t="s">
        <v>1088</v>
      </c>
      <c r="C478" s="6" t="s">
        <v>1089</v>
      </c>
      <c r="D478" s="6" t="s">
        <v>44</v>
      </c>
      <c r="E478" s="7" t="s">
        <v>23</v>
      </c>
      <c r="F478" s="6">
        <v>85035</v>
      </c>
      <c r="G478" s="6" t="s">
        <v>72</v>
      </c>
      <c r="H478" s="6" t="s">
        <v>73</v>
      </c>
      <c r="I478" s="6" t="s">
        <v>26</v>
      </c>
      <c r="J478" s="6" t="b">
        <v>1</v>
      </c>
      <c r="K478" s="6" t="s">
        <v>27</v>
      </c>
      <c r="L478" s="6">
        <v>40</v>
      </c>
      <c r="M478" s="6">
        <v>154.5</v>
      </c>
      <c r="N478" s="8">
        <f t="shared" si="49"/>
        <v>76.679999999999993</v>
      </c>
      <c r="O478" s="8">
        <f t="shared" si="50"/>
        <v>1970.68</v>
      </c>
      <c r="P478" s="8">
        <f t="shared" si="51"/>
        <v>1970.68</v>
      </c>
      <c r="Q478" s="8">
        <f t="shared" si="52"/>
        <v>0</v>
      </c>
      <c r="R478" s="9">
        <f t="shared" si="53"/>
        <v>1970.68</v>
      </c>
      <c r="S478" s="10">
        <f t="shared" si="54"/>
        <v>164.22333333333333</v>
      </c>
      <c r="T478">
        <v>165</v>
      </c>
      <c r="U478">
        <f t="shared" si="55"/>
        <v>10.5</v>
      </c>
    </row>
    <row r="479" spans="1:21" ht="14.25" customHeight="1" x14ac:dyDescent="0.35">
      <c r="A479" s="6" t="s">
        <v>1090</v>
      </c>
      <c r="B479" s="6" t="s">
        <v>1091</v>
      </c>
      <c r="C479" s="6" t="s">
        <v>1092</v>
      </c>
      <c r="D479" s="6" t="s">
        <v>22</v>
      </c>
      <c r="E479" s="7" t="s">
        <v>23</v>
      </c>
      <c r="F479" s="6">
        <v>85224</v>
      </c>
      <c r="G479" s="6" t="s">
        <v>24</v>
      </c>
      <c r="H479" s="6" t="s">
        <v>25</v>
      </c>
      <c r="I479" s="6" t="s">
        <v>26</v>
      </c>
      <c r="J479" s="6" t="b">
        <v>1</v>
      </c>
      <c r="K479" s="6" t="s">
        <v>27</v>
      </c>
      <c r="L479" s="6">
        <v>40</v>
      </c>
      <c r="M479" s="6">
        <v>154.5</v>
      </c>
      <c r="N479" s="8">
        <f t="shared" si="49"/>
        <v>76.679999999999993</v>
      </c>
      <c r="O479" s="8">
        <f t="shared" si="50"/>
        <v>1970.68</v>
      </c>
      <c r="P479" s="8">
        <f t="shared" si="51"/>
        <v>1970.68</v>
      </c>
      <c r="Q479" s="8">
        <f t="shared" si="52"/>
        <v>0</v>
      </c>
      <c r="R479" s="9">
        <f t="shared" si="53"/>
        <v>1970.68</v>
      </c>
      <c r="S479" s="10">
        <f t="shared" si="54"/>
        <v>164.22333333333333</v>
      </c>
      <c r="T479">
        <v>165</v>
      </c>
      <c r="U479">
        <f t="shared" si="55"/>
        <v>10.5</v>
      </c>
    </row>
    <row r="480" spans="1:21" ht="14.25" customHeight="1" x14ac:dyDescent="0.35">
      <c r="A480" s="6" t="s">
        <v>1093</v>
      </c>
      <c r="B480" s="6" t="s">
        <v>1094</v>
      </c>
      <c r="C480" s="6" t="s">
        <v>1095</v>
      </c>
      <c r="D480" s="6" t="s">
        <v>44</v>
      </c>
      <c r="E480" s="7" t="s">
        <v>23</v>
      </c>
      <c r="F480" s="6">
        <v>85053</v>
      </c>
      <c r="G480" s="6" t="s">
        <v>72</v>
      </c>
      <c r="H480" s="6" t="s">
        <v>93</v>
      </c>
      <c r="I480" s="6" t="s">
        <v>26</v>
      </c>
      <c r="J480" s="6" t="b">
        <v>0</v>
      </c>
      <c r="K480" s="6" t="s">
        <v>27</v>
      </c>
      <c r="L480" s="6">
        <v>41.2</v>
      </c>
      <c r="M480" s="6">
        <v>154.5</v>
      </c>
      <c r="N480" s="8" t="str">
        <f t="shared" si="49"/>
        <v>0</v>
      </c>
      <c r="O480" s="8">
        <f t="shared" si="50"/>
        <v>1895.2</v>
      </c>
      <c r="P480" s="8">
        <f t="shared" si="51"/>
        <v>1895.2</v>
      </c>
      <c r="Q480" s="8">
        <f t="shared" si="52"/>
        <v>0</v>
      </c>
      <c r="R480" s="9">
        <f t="shared" si="53"/>
        <v>1895.2</v>
      </c>
      <c r="S480" s="10">
        <f t="shared" si="54"/>
        <v>157.93333333333334</v>
      </c>
      <c r="T480">
        <v>165</v>
      </c>
      <c r="U480">
        <f t="shared" si="55"/>
        <v>10.5</v>
      </c>
    </row>
    <row r="481" spans="1:21" ht="14.25" customHeight="1" x14ac:dyDescent="0.35">
      <c r="A481" s="6" t="s">
        <v>1096</v>
      </c>
      <c r="B481" s="6" t="s">
        <v>1097</v>
      </c>
      <c r="C481" s="6" t="s">
        <v>1098</v>
      </c>
      <c r="D481" s="6" t="s">
        <v>31</v>
      </c>
      <c r="E481" s="7" t="s">
        <v>23</v>
      </c>
      <c r="F481" s="6">
        <v>85254</v>
      </c>
      <c r="G481" s="6" t="s">
        <v>45</v>
      </c>
      <c r="H481" s="6" t="s">
        <v>291</v>
      </c>
      <c r="I481" s="6" t="s">
        <v>26</v>
      </c>
      <c r="J481" s="6" t="b">
        <v>1</v>
      </c>
      <c r="K481" s="6" t="s">
        <v>27</v>
      </c>
      <c r="L481" s="6">
        <v>41.2</v>
      </c>
      <c r="M481" s="6">
        <v>154.5</v>
      </c>
      <c r="N481" s="8">
        <f t="shared" si="49"/>
        <v>76.679999999999993</v>
      </c>
      <c r="O481" s="8">
        <f t="shared" si="50"/>
        <v>1971.88</v>
      </c>
      <c r="P481" s="8">
        <f t="shared" si="51"/>
        <v>1971.88</v>
      </c>
      <c r="Q481" s="8">
        <f t="shared" si="52"/>
        <v>0</v>
      </c>
      <c r="R481" s="9">
        <f t="shared" si="53"/>
        <v>1971.88</v>
      </c>
      <c r="S481" s="10">
        <f t="shared" si="54"/>
        <v>164.32333333333335</v>
      </c>
      <c r="T481">
        <v>165</v>
      </c>
      <c r="U481">
        <f t="shared" si="55"/>
        <v>10.5</v>
      </c>
    </row>
    <row r="482" spans="1:21" ht="14.25" customHeight="1" x14ac:dyDescent="0.35">
      <c r="A482" s="6" t="s">
        <v>1099</v>
      </c>
      <c r="B482" s="6" t="s">
        <v>1100</v>
      </c>
      <c r="C482" s="6" t="s">
        <v>1101</v>
      </c>
      <c r="D482" s="6" t="s">
        <v>44</v>
      </c>
      <c r="E482" s="7" t="s">
        <v>23</v>
      </c>
      <c r="F482" s="6">
        <v>85032</v>
      </c>
      <c r="G482" s="6" t="s">
        <v>45</v>
      </c>
      <c r="H482" s="6" t="s">
        <v>169</v>
      </c>
      <c r="I482" s="6" t="s">
        <v>26</v>
      </c>
      <c r="J482" s="6" t="b">
        <v>1</v>
      </c>
      <c r="K482" s="6" t="s">
        <v>27</v>
      </c>
      <c r="L482" s="6">
        <v>41.2</v>
      </c>
      <c r="M482" s="6">
        <v>154.5</v>
      </c>
      <c r="N482" s="8">
        <f t="shared" si="49"/>
        <v>76.679999999999993</v>
      </c>
      <c r="O482" s="8">
        <f t="shared" si="50"/>
        <v>1971.88</v>
      </c>
      <c r="P482" s="8">
        <f t="shared" si="51"/>
        <v>1971.88</v>
      </c>
      <c r="Q482" s="8">
        <f t="shared" si="52"/>
        <v>0</v>
      </c>
      <c r="R482" s="9">
        <f t="shared" si="53"/>
        <v>1971.88</v>
      </c>
      <c r="S482" s="10">
        <f t="shared" si="54"/>
        <v>164.32333333333335</v>
      </c>
      <c r="T482">
        <v>165</v>
      </c>
      <c r="U482">
        <f t="shared" si="55"/>
        <v>10.5</v>
      </c>
    </row>
    <row r="483" spans="1:21" ht="14.25" customHeight="1" x14ac:dyDescent="0.35">
      <c r="A483" s="6" t="s">
        <v>1102</v>
      </c>
      <c r="B483" s="6" t="s">
        <v>1103</v>
      </c>
      <c r="C483" s="6" t="s">
        <v>1104</v>
      </c>
      <c r="D483" s="6" t="s">
        <v>44</v>
      </c>
      <c r="E483" s="7" t="s">
        <v>23</v>
      </c>
      <c r="F483" s="6">
        <v>85048</v>
      </c>
      <c r="G483" s="6" t="s">
        <v>24</v>
      </c>
      <c r="H483" s="6" t="s">
        <v>161</v>
      </c>
      <c r="I483" s="6" t="s">
        <v>26</v>
      </c>
      <c r="J483" s="6" t="b">
        <v>1</v>
      </c>
      <c r="K483" s="6" t="s">
        <v>27</v>
      </c>
      <c r="L483" s="6">
        <v>41.2</v>
      </c>
      <c r="M483" s="6">
        <v>154.5</v>
      </c>
      <c r="N483" s="8">
        <f t="shared" si="49"/>
        <v>76.679999999999993</v>
      </c>
      <c r="O483" s="8">
        <f t="shared" si="50"/>
        <v>1971.88</v>
      </c>
      <c r="P483" s="8">
        <f t="shared" si="51"/>
        <v>1971.88</v>
      </c>
      <c r="Q483" s="8">
        <f t="shared" si="52"/>
        <v>0</v>
      </c>
      <c r="R483" s="9">
        <f t="shared" si="53"/>
        <v>1971.88</v>
      </c>
      <c r="S483" s="10">
        <f t="shared" si="54"/>
        <v>164.32333333333335</v>
      </c>
      <c r="T483">
        <v>165</v>
      </c>
      <c r="U483">
        <f t="shared" si="55"/>
        <v>10.5</v>
      </c>
    </row>
    <row r="484" spans="1:21" ht="14.25" customHeight="1" x14ac:dyDescent="0.35">
      <c r="A484" s="6" t="s">
        <v>1105</v>
      </c>
      <c r="B484" s="6" t="s">
        <v>1106</v>
      </c>
      <c r="C484" s="6" t="s">
        <v>1107</v>
      </c>
      <c r="D484" s="6" t="s">
        <v>31</v>
      </c>
      <c r="E484" s="7" t="s">
        <v>23</v>
      </c>
      <c r="F484" s="6">
        <v>85257</v>
      </c>
      <c r="G484" s="6" t="s">
        <v>49</v>
      </c>
      <c r="H484" s="6" t="s">
        <v>202</v>
      </c>
      <c r="I484" s="6" t="s">
        <v>26</v>
      </c>
      <c r="J484" s="6" t="b">
        <v>0</v>
      </c>
      <c r="K484" s="6" t="s">
        <v>27</v>
      </c>
      <c r="L484" s="6">
        <v>41.2</v>
      </c>
      <c r="M484" s="6">
        <v>154.5</v>
      </c>
      <c r="N484" s="8" t="str">
        <f t="shared" si="49"/>
        <v>0</v>
      </c>
      <c r="O484" s="8">
        <f t="shared" si="50"/>
        <v>1895.2</v>
      </c>
      <c r="P484" s="8">
        <f t="shared" si="51"/>
        <v>1895.2</v>
      </c>
      <c r="Q484" s="8">
        <f t="shared" si="52"/>
        <v>0</v>
      </c>
      <c r="R484" s="9">
        <f t="shared" si="53"/>
        <v>1895.2</v>
      </c>
      <c r="S484" s="10">
        <f t="shared" si="54"/>
        <v>157.93333333333334</v>
      </c>
      <c r="T484">
        <v>165</v>
      </c>
      <c r="U484">
        <f t="shared" si="55"/>
        <v>10.5</v>
      </c>
    </row>
    <row r="485" spans="1:21" ht="14.25" customHeight="1" x14ac:dyDescent="0.35">
      <c r="A485" s="6" t="s">
        <v>1108</v>
      </c>
      <c r="B485" s="6" t="s">
        <v>1109</v>
      </c>
      <c r="C485" s="6" t="s">
        <v>1110</v>
      </c>
      <c r="D485" s="6" t="s">
        <v>44</v>
      </c>
      <c r="E485" s="7" t="s">
        <v>23</v>
      </c>
      <c r="F485" s="6">
        <v>85339</v>
      </c>
      <c r="G485" s="6" t="s">
        <v>213</v>
      </c>
      <c r="H485" s="6" t="s">
        <v>39</v>
      </c>
      <c r="I485" s="6" t="s">
        <v>110</v>
      </c>
      <c r="J485" s="6" t="b">
        <v>1</v>
      </c>
      <c r="K485" s="6" t="s">
        <v>27</v>
      </c>
      <c r="L485" s="6">
        <v>41.2</v>
      </c>
      <c r="M485" s="6">
        <v>154.5</v>
      </c>
      <c r="N485" s="8">
        <f t="shared" si="49"/>
        <v>76.679999999999993</v>
      </c>
      <c r="O485" s="8">
        <f t="shared" si="50"/>
        <v>1971.88</v>
      </c>
      <c r="P485" s="8">
        <f t="shared" si="51"/>
        <v>1971.88</v>
      </c>
      <c r="Q485" s="8">
        <f t="shared" si="52"/>
        <v>0</v>
      </c>
      <c r="R485" s="9">
        <f t="shared" si="53"/>
        <v>1971.88</v>
      </c>
      <c r="S485" s="10">
        <f t="shared" si="54"/>
        <v>164.32333333333335</v>
      </c>
      <c r="T485">
        <v>165</v>
      </c>
      <c r="U485">
        <f t="shared" si="55"/>
        <v>10.5</v>
      </c>
    </row>
    <row r="486" spans="1:21" ht="14.25" customHeight="1" x14ac:dyDescent="0.35">
      <c r="A486" s="6" t="s">
        <v>1111</v>
      </c>
      <c r="B486" s="6" t="s">
        <v>1112</v>
      </c>
      <c r="C486" s="6" t="s">
        <v>1113</v>
      </c>
      <c r="D486" s="6" t="s">
        <v>44</v>
      </c>
      <c r="E486" s="7" t="s">
        <v>23</v>
      </c>
      <c r="F486" s="6">
        <v>85053</v>
      </c>
      <c r="G486" s="6" t="s">
        <v>72</v>
      </c>
      <c r="H486" s="6" t="s">
        <v>93</v>
      </c>
      <c r="I486" s="6" t="s">
        <v>26</v>
      </c>
      <c r="J486" s="6" t="b">
        <v>1</v>
      </c>
      <c r="K486" s="6" t="s">
        <v>27</v>
      </c>
      <c r="L486" s="6">
        <v>41.2</v>
      </c>
      <c r="M486" s="6">
        <v>154.5</v>
      </c>
      <c r="N486" s="8">
        <f t="shared" si="49"/>
        <v>76.679999999999993</v>
      </c>
      <c r="O486" s="8">
        <f t="shared" si="50"/>
        <v>1971.88</v>
      </c>
      <c r="P486" s="8">
        <f t="shared" si="51"/>
        <v>1971.88</v>
      </c>
      <c r="Q486" s="8">
        <f t="shared" si="52"/>
        <v>0</v>
      </c>
      <c r="R486" s="9">
        <f t="shared" si="53"/>
        <v>1971.88</v>
      </c>
      <c r="S486" s="10">
        <f t="shared" si="54"/>
        <v>164.32333333333335</v>
      </c>
      <c r="T486">
        <v>165</v>
      </c>
      <c r="U486">
        <f t="shared" si="55"/>
        <v>10.5</v>
      </c>
    </row>
    <row r="487" spans="1:21" ht="14.25" customHeight="1" x14ac:dyDescent="0.35">
      <c r="A487" s="6" t="s">
        <v>1114</v>
      </c>
      <c r="B487" s="6" t="s">
        <v>1115</v>
      </c>
      <c r="C487" s="6" t="s">
        <v>1116</v>
      </c>
      <c r="D487" s="6" t="s">
        <v>44</v>
      </c>
      <c r="E487" s="7" t="s">
        <v>23</v>
      </c>
      <c r="F487" s="6">
        <v>85086</v>
      </c>
      <c r="G487" s="6" t="s">
        <v>32</v>
      </c>
      <c r="H487" s="6" t="s">
        <v>50</v>
      </c>
      <c r="I487" s="6" t="s">
        <v>61</v>
      </c>
      <c r="J487" s="6" t="b">
        <v>1</v>
      </c>
      <c r="K487" s="6" t="s">
        <v>27</v>
      </c>
      <c r="L487" s="6">
        <v>41.2</v>
      </c>
      <c r="M487" s="6">
        <v>154.5</v>
      </c>
      <c r="N487" s="8">
        <f t="shared" si="49"/>
        <v>76.679999999999993</v>
      </c>
      <c r="O487" s="8">
        <f t="shared" si="50"/>
        <v>1971.88</v>
      </c>
      <c r="P487" s="8">
        <f t="shared" si="51"/>
        <v>1971.88</v>
      </c>
      <c r="Q487" s="8">
        <f t="shared" si="52"/>
        <v>0</v>
      </c>
      <c r="R487" s="9">
        <f t="shared" si="53"/>
        <v>1971.88</v>
      </c>
      <c r="S487" s="10">
        <f t="shared" si="54"/>
        <v>164.32333333333335</v>
      </c>
      <c r="T487">
        <v>165</v>
      </c>
      <c r="U487">
        <f t="shared" si="55"/>
        <v>10.5</v>
      </c>
    </row>
    <row r="488" spans="1:21" ht="14.25" customHeight="1" x14ac:dyDescent="0.35">
      <c r="A488" s="6" t="s">
        <v>1117</v>
      </c>
      <c r="B488" s="6" t="s">
        <v>1118</v>
      </c>
      <c r="C488" s="6" t="s">
        <v>1119</v>
      </c>
      <c r="D488" s="6" t="s">
        <v>22</v>
      </c>
      <c r="E488" s="7" t="s">
        <v>23</v>
      </c>
      <c r="F488" s="6">
        <v>85249</v>
      </c>
      <c r="G488" s="6" t="s">
        <v>125</v>
      </c>
      <c r="H488" s="6" t="s">
        <v>225</v>
      </c>
      <c r="I488" s="6" t="s">
        <v>26</v>
      </c>
      <c r="J488" s="6" t="b">
        <v>1</v>
      </c>
      <c r="K488" s="6" t="s">
        <v>27</v>
      </c>
      <c r="L488" s="6">
        <v>41.2</v>
      </c>
      <c r="M488" s="6">
        <v>154.5</v>
      </c>
      <c r="N488" s="8">
        <f t="shared" si="49"/>
        <v>76.679999999999993</v>
      </c>
      <c r="O488" s="8">
        <f t="shared" si="50"/>
        <v>1971.88</v>
      </c>
      <c r="P488" s="8">
        <f t="shared" si="51"/>
        <v>1971.88</v>
      </c>
      <c r="Q488" s="8">
        <f t="shared" si="52"/>
        <v>0</v>
      </c>
      <c r="R488" s="9">
        <f t="shared" si="53"/>
        <v>1971.88</v>
      </c>
      <c r="S488" s="10">
        <f t="shared" si="54"/>
        <v>164.32333333333335</v>
      </c>
      <c r="T488">
        <v>165</v>
      </c>
      <c r="U488">
        <f t="shared" si="55"/>
        <v>10.5</v>
      </c>
    </row>
    <row r="489" spans="1:21" ht="14.25" customHeight="1" x14ac:dyDescent="0.35">
      <c r="A489" s="6" t="s">
        <v>1120</v>
      </c>
      <c r="B489" s="6" t="s">
        <v>1121</v>
      </c>
      <c r="C489" s="6" t="s">
        <v>1122</v>
      </c>
      <c r="D489" s="6" t="s">
        <v>71</v>
      </c>
      <c r="E489" s="7" t="s">
        <v>23</v>
      </c>
      <c r="F489" s="6">
        <v>85345</v>
      </c>
      <c r="G489" s="6" t="s">
        <v>72</v>
      </c>
      <c r="H489" s="6" t="s">
        <v>73</v>
      </c>
      <c r="I489" s="6" t="s">
        <v>26</v>
      </c>
      <c r="J489" s="6" t="b">
        <v>1</v>
      </c>
      <c r="K489" s="6" t="s">
        <v>27</v>
      </c>
      <c r="L489" s="6">
        <v>41.2</v>
      </c>
      <c r="M489" s="6">
        <v>154.5</v>
      </c>
      <c r="N489" s="8">
        <f t="shared" si="49"/>
        <v>76.679999999999993</v>
      </c>
      <c r="O489" s="8">
        <f t="shared" si="50"/>
        <v>1971.88</v>
      </c>
      <c r="P489" s="8">
        <f t="shared" si="51"/>
        <v>1971.88</v>
      </c>
      <c r="Q489" s="8">
        <f t="shared" si="52"/>
        <v>0</v>
      </c>
      <c r="R489" s="9">
        <f t="shared" si="53"/>
        <v>1971.88</v>
      </c>
      <c r="S489" s="10">
        <f t="shared" si="54"/>
        <v>164.32333333333335</v>
      </c>
      <c r="T489">
        <v>165</v>
      </c>
      <c r="U489">
        <f t="shared" si="55"/>
        <v>10.5</v>
      </c>
    </row>
    <row r="490" spans="1:21" ht="14.25" customHeight="1" x14ac:dyDescent="0.35">
      <c r="A490" s="6" t="s">
        <v>1123</v>
      </c>
      <c r="B490" s="6" t="s">
        <v>1124</v>
      </c>
      <c r="C490" s="6" t="s">
        <v>1125</v>
      </c>
      <c r="D490" s="6" t="s">
        <v>31</v>
      </c>
      <c r="E490" s="7" t="s">
        <v>23</v>
      </c>
      <c r="F490" s="6">
        <v>85251</v>
      </c>
      <c r="G490" s="6" t="s">
        <v>49</v>
      </c>
      <c r="H490" s="6" t="s">
        <v>202</v>
      </c>
      <c r="I490" s="6" t="s">
        <v>40</v>
      </c>
      <c r="J490" s="6" t="b">
        <v>1</v>
      </c>
      <c r="K490" s="6" t="s">
        <v>27</v>
      </c>
      <c r="L490" s="6">
        <v>41.2</v>
      </c>
      <c r="M490" s="6">
        <v>154.5</v>
      </c>
      <c r="N490" s="8">
        <f t="shared" si="49"/>
        <v>76.679999999999993</v>
      </c>
      <c r="O490" s="8">
        <f t="shared" si="50"/>
        <v>1971.88</v>
      </c>
      <c r="P490" s="8">
        <f t="shared" si="51"/>
        <v>1971.88</v>
      </c>
      <c r="Q490" s="8">
        <f t="shared" si="52"/>
        <v>0</v>
      </c>
      <c r="R490" s="9">
        <f t="shared" si="53"/>
        <v>1971.88</v>
      </c>
      <c r="S490" s="10">
        <f t="shared" si="54"/>
        <v>164.32333333333335</v>
      </c>
      <c r="T490">
        <v>165</v>
      </c>
      <c r="U490">
        <f t="shared" si="55"/>
        <v>10.5</v>
      </c>
    </row>
    <row r="491" spans="1:21" ht="14.25" customHeight="1" x14ac:dyDescent="0.35">
      <c r="A491" s="6" t="s">
        <v>1126</v>
      </c>
      <c r="B491" s="6" t="s">
        <v>1127</v>
      </c>
      <c r="C491" s="6" t="s">
        <v>1128</v>
      </c>
      <c r="D491" s="6" t="s">
        <v>165</v>
      </c>
      <c r="E491" s="7" t="s">
        <v>23</v>
      </c>
      <c r="F491" s="6">
        <v>85296</v>
      </c>
      <c r="G491" s="6" t="s">
        <v>125</v>
      </c>
      <c r="H491" s="6" t="s">
        <v>225</v>
      </c>
      <c r="I491" s="6" t="s">
        <v>26</v>
      </c>
      <c r="J491" s="6" t="b">
        <v>1</v>
      </c>
      <c r="K491" s="6" t="s">
        <v>27</v>
      </c>
      <c r="L491" s="6">
        <v>41.2</v>
      </c>
      <c r="M491" s="6">
        <v>154.5</v>
      </c>
      <c r="N491" s="8">
        <f t="shared" si="49"/>
        <v>76.679999999999993</v>
      </c>
      <c r="O491" s="8">
        <f t="shared" si="50"/>
        <v>1971.88</v>
      </c>
      <c r="P491" s="8">
        <f t="shared" si="51"/>
        <v>1971.88</v>
      </c>
      <c r="Q491" s="8">
        <f t="shared" si="52"/>
        <v>0</v>
      </c>
      <c r="R491" s="9">
        <f t="shared" si="53"/>
        <v>1971.88</v>
      </c>
      <c r="S491" s="10">
        <f t="shared" si="54"/>
        <v>164.32333333333335</v>
      </c>
      <c r="T491">
        <v>165</v>
      </c>
      <c r="U491">
        <f t="shared" si="55"/>
        <v>10.5</v>
      </c>
    </row>
    <row r="492" spans="1:21" ht="14.25" customHeight="1" x14ac:dyDescent="0.35">
      <c r="A492" s="6" t="s">
        <v>1129</v>
      </c>
      <c r="B492" s="6" t="s">
        <v>1130</v>
      </c>
      <c r="C492" s="6" t="s">
        <v>1131</v>
      </c>
      <c r="D492" s="6" t="s">
        <v>77</v>
      </c>
      <c r="E492" s="7" t="s">
        <v>23</v>
      </c>
      <c r="F492" s="6">
        <v>85310</v>
      </c>
      <c r="G492" s="6" t="s">
        <v>78</v>
      </c>
      <c r="H492" s="6" t="s">
        <v>268</v>
      </c>
      <c r="I492" s="6" t="s">
        <v>61</v>
      </c>
      <c r="J492" s="6" t="b">
        <v>1</v>
      </c>
      <c r="K492" s="6" t="s">
        <v>27</v>
      </c>
      <c r="L492" s="6">
        <v>41.2</v>
      </c>
      <c r="M492" s="6">
        <v>154.5</v>
      </c>
      <c r="N492" s="8">
        <f t="shared" si="49"/>
        <v>76.679999999999993</v>
      </c>
      <c r="O492" s="8">
        <f t="shared" si="50"/>
        <v>1971.88</v>
      </c>
      <c r="P492" s="8">
        <f t="shared" si="51"/>
        <v>1971.88</v>
      </c>
      <c r="Q492" s="8">
        <f t="shared" si="52"/>
        <v>0</v>
      </c>
      <c r="R492" s="9">
        <f t="shared" si="53"/>
        <v>1971.88</v>
      </c>
      <c r="S492" s="10">
        <f t="shared" si="54"/>
        <v>164.32333333333335</v>
      </c>
      <c r="T492">
        <v>165</v>
      </c>
      <c r="U492">
        <f t="shared" si="55"/>
        <v>10.5</v>
      </c>
    </row>
    <row r="493" spans="1:21" ht="14.25" customHeight="1" x14ac:dyDescent="0.35">
      <c r="A493" s="6" t="s">
        <v>1132</v>
      </c>
      <c r="B493" s="6" t="s">
        <v>1133</v>
      </c>
      <c r="C493" s="6" t="s">
        <v>1134</v>
      </c>
      <c r="D493" s="6" t="s">
        <v>165</v>
      </c>
      <c r="E493" s="7" t="s">
        <v>23</v>
      </c>
      <c r="F493" s="6">
        <v>85295</v>
      </c>
      <c r="G493" s="6" t="s">
        <v>125</v>
      </c>
      <c r="H493" s="6" t="s">
        <v>225</v>
      </c>
      <c r="I493" s="6" t="s">
        <v>26</v>
      </c>
      <c r="J493" s="6" t="b">
        <v>1</v>
      </c>
      <c r="K493" s="6" t="s">
        <v>27</v>
      </c>
      <c r="L493" s="6">
        <v>41.2</v>
      </c>
      <c r="M493" s="6">
        <v>154.5</v>
      </c>
      <c r="N493" s="8">
        <f t="shared" si="49"/>
        <v>76.679999999999993</v>
      </c>
      <c r="O493" s="8">
        <f t="shared" si="50"/>
        <v>1971.88</v>
      </c>
      <c r="P493" s="8">
        <f t="shared" si="51"/>
        <v>1971.88</v>
      </c>
      <c r="Q493" s="8">
        <f t="shared" si="52"/>
        <v>0</v>
      </c>
      <c r="R493" s="9">
        <f t="shared" si="53"/>
        <v>1971.88</v>
      </c>
      <c r="S493" s="10">
        <f t="shared" si="54"/>
        <v>164.32333333333335</v>
      </c>
      <c r="T493">
        <v>165</v>
      </c>
      <c r="U493">
        <f t="shared" si="55"/>
        <v>10.5</v>
      </c>
    </row>
    <row r="494" spans="1:21" ht="14.25" customHeight="1" x14ac:dyDescent="0.35">
      <c r="A494" s="6" t="s">
        <v>1548</v>
      </c>
      <c r="B494" s="6" t="s">
        <v>1549</v>
      </c>
      <c r="C494" s="6" t="s">
        <v>1550</v>
      </c>
      <c r="D494" s="6" t="s">
        <v>1551</v>
      </c>
      <c r="E494" s="7" t="s">
        <v>23</v>
      </c>
      <c r="F494" s="6">
        <v>85373</v>
      </c>
      <c r="G494" s="6" t="s">
        <v>78</v>
      </c>
      <c r="H494" s="6" t="s">
        <v>281</v>
      </c>
      <c r="I494" s="6" t="s">
        <v>26</v>
      </c>
      <c r="J494" s="6" t="b">
        <v>1</v>
      </c>
      <c r="K494" s="6" t="s">
        <v>27</v>
      </c>
      <c r="L494" s="6">
        <v>0</v>
      </c>
      <c r="M494" s="6">
        <v>154.5</v>
      </c>
      <c r="N494" s="8">
        <f t="shared" si="49"/>
        <v>76.679999999999993</v>
      </c>
      <c r="O494" s="8">
        <f t="shared" si="50"/>
        <v>1930.68</v>
      </c>
      <c r="P494" s="8">
        <f t="shared" si="51"/>
        <v>1930.68</v>
      </c>
      <c r="Q494" s="8">
        <f t="shared" si="52"/>
        <v>0</v>
      </c>
      <c r="R494" s="9">
        <f t="shared" si="53"/>
        <v>1930.68</v>
      </c>
      <c r="S494" s="10">
        <f t="shared" si="54"/>
        <v>160.89000000000001</v>
      </c>
      <c r="T494">
        <v>165</v>
      </c>
      <c r="U494">
        <f t="shared" si="55"/>
        <v>10.5</v>
      </c>
    </row>
    <row r="495" spans="1:21" ht="14.25" customHeight="1" x14ac:dyDescent="0.35">
      <c r="A495" s="6" t="s">
        <v>1576</v>
      </c>
      <c r="B495" s="6" t="s">
        <v>1577</v>
      </c>
      <c r="C495" s="6" t="s">
        <v>1578</v>
      </c>
      <c r="D495" s="6" t="s">
        <v>892</v>
      </c>
      <c r="E495" s="7" t="s">
        <v>23</v>
      </c>
      <c r="F495" s="6">
        <v>85143</v>
      </c>
      <c r="G495" s="6" t="s">
        <v>87</v>
      </c>
      <c r="H495" s="6" t="s">
        <v>109</v>
      </c>
      <c r="I495" s="6" t="s">
        <v>57</v>
      </c>
      <c r="J495" s="6" t="b">
        <v>1</v>
      </c>
      <c r="K495" s="6" t="s">
        <v>89</v>
      </c>
      <c r="L495" s="6">
        <v>40</v>
      </c>
      <c r="M495" s="6">
        <v>154.5</v>
      </c>
      <c r="N495" s="8">
        <f t="shared" si="49"/>
        <v>76.679999999999993</v>
      </c>
      <c r="O495" s="8">
        <f t="shared" si="50"/>
        <v>1970.68</v>
      </c>
      <c r="P495" s="8">
        <f t="shared" si="51"/>
        <v>1911.5596</v>
      </c>
      <c r="Q495" s="8">
        <f t="shared" si="52"/>
        <v>-59.120400000000018</v>
      </c>
      <c r="R495" s="9">
        <f t="shared" si="53"/>
        <v>2029.8004000000001</v>
      </c>
      <c r="S495" s="10">
        <f t="shared" si="54"/>
        <v>169.15003333333334</v>
      </c>
      <c r="T495">
        <v>165</v>
      </c>
      <c r="U495">
        <f t="shared" si="55"/>
        <v>10.5</v>
      </c>
    </row>
    <row r="496" spans="1:21" ht="14.25" customHeight="1" x14ac:dyDescent="0.35">
      <c r="A496" s="6" t="s">
        <v>1579</v>
      </c>
      <c r="B496" s="6" t="s">
        <v>1580</v>
      </c>
      <c r="C496" s="6" t="s">
        <v>1581</v>
      </c>
      <c r="D496" s="6" t="s">
        <v>44</v>
      </c>
      <c r="E496" s="7" t="s">
        <v>23</v>
      </c>
      <c r="F496" s="6">
        <v>85016</v>
      </c>
      <c r="G496" s="6" t="s">
        <v>49</v>
      </c>
      <c r="H496" s="6" t="s">
        <v>202</v>
      </c>
      <c r="I496" s="6" t="s">
        <v>26</v>
      </c>
      <c r="J496" s="6" t="b">
        <v>1</v>
      </c>
      <c r="K496" s="6" t="s">
        <v>94</v>
      </c>
      <c r="L496" s="6">
        <v>41.2</v>
      </c>
      <c r="M496" s="6">
        <v>154.5</v>
      </c>
      <c r="N496" s="8">
        <f t="shared" si="49"/>
        <v>76.679999999999993</v>
      </c>
      <c r="O496" s="8">
        <f t="shared" si="50"/>
        <v>1971.88</v>
      </c>
      <c r="P496" s="8">
        <f t="shared" si="51"/>
        <v>1912.7236</v>
      </c>
      <c r="Q496" s="8">
        <f t="shared" si="52"/>
        <v>-59.156400000000076</v>
      </c>
      <c r="R496" s="9">
        <f t="shared" si="53"/>
        <v>2031.0364000000002</v>
      </c>
      <c r="S496" s="10">
        <f t="shared" si="54"/>
        <v>169.25303333333335</v>
      </c>
      <c r="T496">
        <v>165</v>
      </c>
      <c r="U496">
        <f t="shared" si="55"/>
        <v>10.5</v>
      </c>
    </row>
    <row r="497" spans="1:21" ht="14.25" customHeight="1" x14ac:dyDescent="0.35">
      <c r="A497" s="6" t="s">
        <v>1724</v>
      </c>
      <c r="B497" s="6" t="s">
        <v>1725</v>
      </c>
      <c r="C497" s="6" t="s">
        <v>1726</v>
      </c>
      <c r="D497" s="6" t="s">
        <v>363</v>
      </c>
      <c r="E497" s="7" t="s">
        <v>23</v>
      </c>
      <c r="F497" s="6">
        <v>85283</v>
      </c>
      <c r="G497" s="6" t="s">
        <v>364</v>
      </c>
      <c r="H497" s="6" t="s">
        <v>365</v>
      </c>
      <c r="I497" s="6" t="s">
        <v>26</v>
      </c>
      <c r="J497" s="6" t="b">
        <v>1</v>
      </c>
      <c r="K497" s="6" t="s">
        <v>27</v>
      </c>
      <c r="L497" s="6">
        <v>40</v>
      </c>
      <c r="M497" s="6">
        <v>154.5</v>
      </c>
      <c r="N497" s="8">
        <f t="shared" si="49"/>
        <v>76.679999999999993</v>
      </c>
      <c r="O497" s="8">
        <f t="shared" si="50"/>
        <v>1970.68</v>
      </c>
      <c r="P497" s="8">
        <f t="shared" si="51"/>
        <v>1970.68</v>
      </c>
      <c r="Q497" s="8">
        <f t="shared" si="52"/>
        <v>0</v>
      </c>
      <c r="R497" s="9">
        <f t="shared" si="53"/>
        <v>1970.68</v>
      </c>
      <c r="S497" s="10">
        <f t="shared" si="54"/>
        <v>164.22333333333333</v>
      </c>
      <c r="T497">
        <v>165</v>
      </c>
      <c r="U497">
        <f t="shared" si="55"/>
        <v>10.5</v>
      </c>
    </row>
    <row r="498" spans="1:21" ht="14.25" customHeight="1" x14ac:dyDescent="0.35">
      <c r="A498" s="6" t="s">
        <v>1727</v>
      </c>
      <c r="B498" s="6" t="s">
        <v>1728</v>
      </c>
      <c r="C498" s="6" t="s">
        <v>1729</v>
      </c>
      <c r="D498" s="6" t="s">
        <v>31</v>
      </c>
      <c r="E498" s="7" t="s">
        <v>23</v>
      </c>
      <c r="F498" s="6">
        <v>85258</v>
      </c>
      <c r="G498" s="6" t="s">
        <v>45</v>
      </c>
      <c r="H498" s="6" t="s">
        <v>291</v>
      </c>
      <c r="I498" s="6" t="s">
        <v>26</v>
      </c>
      <c r="J498" s="6" t="b">
        <v>1</v>
      </c>
      <c r="K498" s="6" t="s">
        <v>27</v>
      </c>
      <c r="L498" s="6">
        <v>40</v>
      </c>
      <c r="M498" s="6">
        <v>154.5</v>
      </c>
      <c r="N498" s="8">
        <f t="shared" si="49"/>
        <v>76.679999999999993</v>
      </c>
      <c r="O498" s="8">
        <f t="shared" si="50"/>
        <v>1970.68</v>
      </c>
      <c r="P498" s="8">
        <f t="shared" si="51"/>
        <v>1970.68</v>
      </c>
      <c r="Q498" s="8">
        <f t="shared" si="52"/>
        <v>0</v>
      </c>
      <c r="R498" s="9">
        <f t="shared" si="53"/>
        <v>1970.68</v>
      </c>
      <c r="S498" s="10">
        <f t="shared" si="54"/>
        <v>164.22333333333333</v>
      </c>
      <c r="T498">
        <v>165</v>
      </c>
      <c r="U498">
        <f t="shared" si="55"/>
        <v>10.5</v>
      </c>
    </row>
    <row r="499" spans="1:21" ht="14.25" customHeight="1" x14ac:dyDescent="0.35">
      <c r="A499" s="6" t="s">
        <v>1730</v>
      </c>
      <c r="B499" s="6" t="s">
        <v>1731</v>
      </c>
      <c r="C499" s="6" t="s">
        <v>1732</v>
      </c>
      <c r="D499" s="6" t="s">
        <v>44</v>
      </c>
      <c r="E499" s="7" t="s">
        <v>23</v>
      </c>
      <c r="F499" s="6">
        <v>85012</v>
      </c>
      <c r="G499" s="6" t="s">
        <v>49</v>
      </c>
      <c r="H499" s="6" t="s">
        <v>202</v>
      </c>
      <c r="I499" s="6" t="s">
        <v>26</v>
      </c>
      <c r="J499" s="6" t="b">
        <v>1</v>
      </c>
      <c r="K499" s="6" t="s">
        <v>27</v>
      </c>
      <c r="L499" s="6">
        <v>40</v>
      </c>
      <c r="M499" s="6">
        <v>154.5</v>
      </c>
      <c r="N499" s="8">
        <f t="shared" si="49"/>
        <v>76.679999999999993</v>
      </c>
      <c r="O499" s="8">
        <f t="shared" si="50"/>
        <v>1970.68</v>
      </c>
      <c r="P499" s="8">
        <f t="shared" si="51"/>
        <v>1970.68</v>
      </c>
      <c r="Q499" s="8">
        <f t="shared" si="52"/>
        <v>0</v>
      </c>
      <c r="R499" s="9">
        <f t="shared" si="53"/>
        <v>1970.68</v>
      </c>
      <c r="S499" s="10">
        <f t="shared" si="54"/>
        <v>164.22333333333333</v>
      </c>
      <c r="T499">
        <v>165</v>
      </c>
      <c r="U499">
        <f t="shared" si="55"/>
        <v>10.5</v>
      </c>
    </row>
    <row r="500" spans="1:21" ht="14.25" customHeight="1" x14ac:dyDescent="0.35">
      <c r="A500" s="6" t="s">
        <v>1733</v>
      </c>
      <c r="B500" s="6" t="s">
        <v>1734</v>
      </c>
      <c r="C500" s="6" t="s">
        <v>1735</v>
      </c>
      <c r="D500" s="6" t="s">
        <v>44</v>
      </c>
      <c r="E500" s="7" t="s">
        <v>23</v>
      </c>
      <c r="F500" s="6">
        <v>85009</v>
      </c>
      <c r="G500" s="6" t="s">
        <v>213</v>
      </c>
      <c r="H500" s="6" t="s">
        <v>202</v>
      </c>
      <c r="I500" s="6" t="s">
        <v>26</v>
      </c>
      <c r="J500" s="6" t="b">
        <v>1</v>
      </c>
      <c r="K500" s="6" t="s">
        <v>27</v>
      </c>
      <c r="L500" s="6">
        <v>40</v>
      </c>
      <c r="M500" s="6">
        <v>154.5</v>
      </c>
      <c r="N500" s="8">
        <f t="shared" si="49"/>
        <v>76.679999999999993</v>
      </c>
      <c r="O500" s="8">
        <f t="shared" si="50"/>
        <v>1970.68</v>
      </c>
      <c r="P500" s="8">
        <f t="shared" si="51"/>
        <v>1970.68</v>
      </c>
      <c r="Q500" s="8">
        <f t="shared" si="52"/>
        <v>0</v>
      </c>
      <c r="R500" s="9">
        <f t="shared" si="53"/>
        <v>1970.68</v>
      </c>
      <c r="S500" s="10">
        <f t="shared" si="54"/>
        <v>164.22333333333333</v>
      </c>
      <c r="T500">
        <v>165</v>
      </c>
      <c r="U500">
        <f t="shared" si="55"/>
        <v>10.5</v>
      </c>
    </row>
    <row r="501" spans="1:21" ht="14.25" customHeight="1" x14ac:dyDescent="0.35">
      <c r="A501" s="6" t="s">
        <v>1736</v>
      </c>
      <c r="B501" s="6" t="s">
        <v>1737</v>
      </c>
      <c r="C501" s="6" t="s">
        <v>1738</v>
      </c>
      <c r="D501" s="6" t="s">
        <v>37</v>
      </c>
      <c r="E501" s="7" t="s">
        <v>23</v>
      </c>
      <c r="F501" s="6">
        <v>85323</v>
      </c>
      <c r="G501" s="6" t="s">
        <v>38</v>
      </c>
      <c r="H501" s="6" t="s">
        <v>378</v>
      </c>
      <c r="I501" s="6" t="s">
        <v>61</v>
      </c>
      <c r="J501" s="6" t="b">
        <v>1</v>
      </c>
      <c r="K501" s="6" t="s">
        <v>27</v>
      </c>
      <c r="L501" s="6">
        <v>40</v>
      </c>
      <c r="M501" s="6">
        <v>154.5</v>
      </c>
      <c r="N501" s="8">
        <f t="shared" si="49"/>
        <v>76.679999999999993</v>
      </c>
      <c r="O501" s="8">
        <f t="shared" si="50"/>
        <v>1970.68</v>
      </c>
      <c r="P501" s="8">
        <f t="shared" si="51"/>
        <v>1970.68</v>
      </c>
      <c r="Q501" s="8">
        <f t="shared" si="52"/>
        <v>0</v>
      </c>
      <c r="R501" s="9">
        <f t="shared" si="53"/>
        <v>1970.68</v>
      </c>
      <c r="S501" s="10">
        <f t="shared" si="54"/>
        <v>164.22333333333333</v>
      </c>
      <c r="T501">
        <v>165</v>
      </c>
      <c r="U501">
        <f t="shared" si="55"/>
        <v>10.5</v>
      </c>
    </row>
    <row r="502" spans="1:21" ht="14.25" customHeight="1" x14ac:dyDescent="0.35">
      <c r="A502" s="6" t="s">
        <v>1739</v>
      </c>
      <c r="B502" s="6" t="s">
        <v>1740</v>
      </c>
      <c r="C502" s="6" t="s">
        <v>1741</v>
      </c>
      <c r="D502" s="6" t="s">
        <v>454</v>
      </c>
      <c r="E502" s="7" t="s">
        <v>23</v>
      </c>
      <c r="F502" s="6">
        <v>85338</v>
      </c>
      <c r="G502" s="6" t="s">
        <v>38</v>
      </c>
      <c r="H502" s="6" t="s">
        <v>378</v>
      </c>
      <c r="I502" s="6" t="s">
        <v>57</v>
      </c>
      <c r="J502" s="6" t="b">
        <v>1</v>
      </c>
      <c r="K502" s="6" t="s">
        <v>27</v>
      </c>
      <c r="L502" s="6">
        <v>40</v>
      </c>
      <c r="M502" s="6">
        <v>154.5</v>
      </c>
      <c r="N502" s="8">
        <f t="shared" si="49"/>
        <v>76.679999999999993</v>
      </c>
      <c r="O502" s="8">
        <f t="shared" si="50"/>
        <v>1970.68</v>
      </c>
      <c r="P502" s="8">
        <f t="shared" si="51"/>
        <v>1970.68</v>
      </c>
      <c r="Q502" s="8">
        <f t="shared" si="52"/>
        <v>0</v>
      </c>
      <c r="R502" s="9">
        <f t="shared" si="53"/>
        <v>1970.68</v>
      </c>
      <c r="S502" s="10">
        <f t="shared" si="54"/>
        <v>164.22333333333333</v>
      </c>
      <c r="T502">
        <v>165</v>
      </c>
      <c r="U502">
        <f t="shared" si="55"/>
        <v>10.5</v>
      </c>
    </row>
    <row r="503" spans="1:21" ht="14.25" customHeight="1" x14ac:dyDescent="0.35">
      <c r="A503" s="6" t="s">
        <v>1742</v>
      </c>
      <c r="B503" s="6" t="s">
        <v>1743</v>
      </c>
      <c r="C503" s="6" t="s">
        <v>1744</v>
      </c>
      <c r="D503" s="6" t="s">
        <v>892</v>
      </c>
      <c r="E503" s="7" t="s">
        <v>23</v>
      </c>
      <c r="F503" s="6">
        <v>85142</v>
      </c>
      <c r="G503" s="6" t="s">
        <v>125</v>
      </c>
      <c r="H503" s="6" t="s">
        <v>225</v>
      </c>
      <c r="I503" s="6" t="s">
        <v>26</v>
      </c>
      <c r="J503" s="6" t="b">
        <v>1</v>
      </c>
      <c r="K503" s="6" t="s">
        <v>27</v>
      </c>
      <c r="L503" s="6">
        <v>40</v>
      </c>
      <c r="M503" s="6">
        <v>154.5</v>
      </c>
      <c r="N503" s="8">
        <f t="shared" si="49"/>
        <v>76.679999999999993</v>
      </c>
      <c r="O503" s="8">
        <f t="shared" si="50"/>
        <v>1970.68</v>
      </c>
      <c r="P503" s="8">
        <f t="shared" si="51"/>
        <v>1970.68</v>
      </c>
      <c r="Q503" s="8">
        <f t="shared" si="52"/>
        <v>0</v>
      </c>
      <c r="R503" s="9">
        <f t="shared" si="53"/>
        <v>1970.68</v>
      </c>
      <c r="S503" s="10">
        <f t="shared" si="54"/>
        <v>164.22333333333333</v>
      </c>
      <c r="T503">
        <v>165</v>
      </c>
      <c r="U503">
        <f t="shared" si="55"/>
        <v>10.5</v>
      </c>
    </row>
    <row r="504" spans="1:21" ht="14.25" customHeight="1" x14ac:dyDescent="0.35">
      <c r="A504" s="6" t="s">
        <v>1745</v>
      </c>
      <c r="B504" s="6" t="s">
        <v>1746</v>
      </c>
      <c r="C504" s="6" t="s">
        <v>1747</v>
      </c>
      <c r="D504" s="6" t="s">
        <v>65</v>
      </c>
      <c r="E504" s="7" t="s">
        <v>23</v>
      </c>
      <c r="F504" s="6">
        <v>85203</v>
      </c>
      <c r="G504" s="6" t="s">
        <v>66</v>
      </c>
      <c r="H504" s="6" t="s">
        <v>1047</v>
      </c>
      <c r="I504" s="6" t="s">
        <v>26</v>
      </c>
      <c r="J504" s="6" t="b">
        <v>1</v>
      </c>
      <c r="K504" s="6" t="s">
        <v>27</v>
      </c>
      <c r="L504" s="6">
        <v>40</v>
      </c>
      <c r="M504" s="6">
        <v>154.5</v>
      </c>
      <c r="N504" s="8">
        <f t="shared" si="49"/>
        <v>76.679999999999993</v>
      </c>
      <c r="O504" s="8">
        <f t="shared" si="50"/>
        <v>1970.68</v>
      </c>
      <c r="P504" s="8">
        <f t="shared" si="51"/>
        <v>1970.68</v>
      </c>
      <c r="Q504" s="8">
        <f t="shared" si="52"/>
        <v>0</v>
      </c>
      <c r="R504" s="9">
        <f t="shared" si="53"/>
        <v>1970.68</v>
      </c>
      <c r="S504" s="10">
        <f t="shared" si="54"/>
        <v>164.22333333333333</v>
      </c>
      <c r="T504">
        <v>165</v>
      </c>
      <c r="U504">
        <f t="shared" si="55"/>
        <v>10.5</v>
      </c>
    </row>
    <row r="505" spans="1:21" ht="14.25" customHeight="1" x14ac:dyDescent="0.35">
      <c r="A505" s="6" t="s">
        <v>1748</v>
      </c>
      <c r="B505" s="6" t="s">
        <v>1749</v>
      </c>
      <c r="C505" s="6" t="s">
        <v>1750</v>
      </c>
      <c r="D505" s="6" t="s">
        <v>44</v>
      </c>
      <c r="E505" s="7" t="s">
        <v>23</v>
      </c>
      <c r="F505" s="6">
        <v>85018</v>
      </c>
      <c r="G505" s="6" t="s">
        <v>49</v>
      </c>
      <c r="H505" s="6" t="s">
        <v>202</v>
      </c>
      <c r="I505" s="6" t="s">
        <v>26</v>
      </c>
      <c r="J505" s="6" t="b">
        <v>1</v>
      </c>
      <c r="K505" s="6" t="s">
        <v>27</v>
      </c>
      <c r="L505" s="6">
        <v>40</v>
      </c>
      <c r="M505" s="6">
        <v>154.5</v>
      </c>
      <c r="N505" s="8">
        <f t="shared" si="49"/>
        <v>76.679999999999993</v>
      </c>
      <c r="O505" s="8">
        <f t="shared" si="50"/>
        <v>1970.68</v>
      </c>
      <c r="P505" s="8">
        <f t="shared" si="51"/>
        <v>1970.68</v>
      </c>
      <c r="Q505" s="8">
        <f t="shared" si="52"/>
        <v>0</v>
      </c>
      <c r="R505" s="9">
        <f t="shared" si="53"/>
        <v>1970.68</v>
      </c>
      <c r="S505" s="10">
        <f t="shared" si="54"/>
        <v>164.22333333333333</v>
      </c>
      <c r="T505">
        <v>165</v>
      </c>
      <c r="U505">
        <f t="shared" si="55"/>
        <v>10.5</v>
      </c>
    </row>
    <row r="506" spans="1:21" ht="14.25" customHeight="1" x14ac:dyDescent="0.35">
      <c r="A506" s="6" t="s">
        <v>1751</v>
      </c>
      <c r="B506" s="6" t="s">
        <v>1752</v>
      </c>
      <c r="C506" s="6" t="s">
        <v>1753</v>
      </c>
      <c r="D506" s="6" t="s">
        <v>65</v>
      </c>
      <c r="E506" s="7" t="s">
        <v>23</v>
      </c>
      <c r="F506" s="6">
        <v>85207</v>
      </c>
      <c r="G506" s="6" t="s">
        <v>66</v>
      </c>
      <c r="H506" s="6" t="s">
        <v>67</v>
      </c>
      <c r="I506" s="6" t="s">
        <v>26</v>
      </c>
      <c r="J506" s="6" t="b">
        <v>1</v>
      </c>
      <c r="K506" s="6" t="s">
        <v>27</v>
      </c>
      <c r="L506" s="6">
        <v>40</v>
      </c>
      <c r="M506" s="6">
        <v>154.5</v>
      </c>
      <c r="N506" s="8">
        <f t="shared" si="49"/>
        <v>76.679999999999993</v>
      </c>
      <c r="O506" s="8">
        <f t="shared" si="50"/>
        <v>1970.68</v>
      </c>
      <c r="P506" s="8">
        <f t="shared" si="51"/>
        <v>1970.68</v>
      </c>
      <c r="Q506" s="8">
        <f t="shared" si="52"/>
        <v>0</v>
      </c>
      <c r="R506" s="9">
        <f t="shared" si="53"/>
        <v>1970.68</v>
      </c>
      <c r="S506" s="10">
        <f t="shared" si="54"/>
        <v>164.22333333333333</v>
      </c>
      <c r="T506">
        <v>165</v>
      </c>
      <c r="U506">
        <f t="shared" si="55"/>
        <v>10.5</v>
      </c>
    </row>
    <row r="507" spans="1:21" ht="14.25" customHeight="1" x14ac:dyDescent="0.35">
      <c r="A507" s="6" t="s">
        <v>1754</v>
      </c>
      <c r="B507" s="6" t="s">
        <v>1755</v>
      </c>
      <c r="C507" s="6" t="s">
        <v>1756</v>
      </c>
      <c r="D507" s="6" t="s">
        <v>31</v>
      </c>
      <c r="E507" s="7" t="s">
        <v>23</v>
      </c>
      <c r="F507" s="6">
        <v>85258</v>
      </c>
      <c r="G507" s="6" t="s">
        <v>45</v>
      </c>
      <c r="H507" s="6" t="s">
        <v>50</v>
      </c>
      <c r="I507" s="6" t="s">
        <v>26</v>
      </c>
      <c r="J507" s="6" t="b">
        <v>1</v>
      </c>
      <c r="K507" s="6" t="s">
        <v>27</v>
      </c>
      <c r="L507" s="6">
        <v>40</v>
      </c>
      <c r="M507" s="6">
        <v>154.5</v>
      </c>
      <c r="N507" s="8">
        <f t="shared" si="49"/>
        <v>76.679999999999993</v>
      </c>
      <c r="O507" s="8">
        <f t="shared" si="50"/>
        <v>1970.68</v>
      </c>
      <c r="P507" s="8">
        <f t="shared" si="51"/>
        <v>1970.68</v>
      </c>
      <c r="Q507" s="8">
        <f t="shared" si="52"/>
        <v>0</v>
      </c>
      <c r="R507" s="9">
        <f t="shared" si="53"/>
        <v>1970.68</v>
      </c>
      <c r="S507" s="10">
        <f t="shared" si="54"/>
        <v>164.22333333333333</v>
      </c>
      <c r="T507">
        <v>165</v>
      </c>
      <c r="U507">
        <f t="shared" si="55"/>
        <v>10.5</v>
      </c>
    </row>
    <row r="508" spans="1:21" ht="14.25" customHeight="1" x14ac:dyDescent="0.35">
      <c r="A508" s="6" t="s">
        <v>1757</v>
      </c>
      <c r="B508" s="6" t="s">
        <v>1758</v>
      </c>
      <c r="C508" s="6" t="s">
        <v>1759</v>
      </c>
      <c r="D508" s="6" t="s">
        <v>44</v>
      </c>
      <c r="E508" s="7" t="s">
        <v>23</v>
      </c>
      <c r="F508" s="6">
        <v>85022</v>
      </c>
      <c r="G508" s="6" t="s">
        <v>173</v>
      </c>
      <c r="H508" s="6" t="s">
        <v>79</v>
      </c>
      <c r="I508" s="6" t="s">
        <v>26</v>
      </c>
      <c r="J508" s="6" t="b">
        <v>1</v>
      </c>
      <c r="K508" s="6" t="s">
        <v>27</v>
      </c>
      <c r="L508" s="6">
        <v>40</v>
      </c>
      <c r="M508" s="6">
        <v>154.5</v>
      </c>
      <c r="N508" s="8">
        <f t="shared" si="49"/>
        <v>76.679999999999993</v>
      </c>
      <c r="O508" s="8">
        <f t="shared" si="50"/>
        <v>1970.68</v>
      </c>
      <c r="P508" s="8">
        <f t="shared" si="51"/>
        <v>1970.68</v>
      </c>
      <c r="Q508" s="8">
        <f t="shared" si="52"/>
        <v>0</v>
      </c>
      <c r="R508" s="9">
        <f t="shared" si="53"/>
        <v>1970.68</v>
      </c>
      <c r="S508" s="10">
        <f t="shared" si="54"/>
        <v>164.22333333333333</v>
      </c>
      <c r="T508">
        <v>165</v>
      </c>
      <c r="U508">
        <f t="shared" si="55"/>
        <v>10.5</v>
      </c>
    </row>
    <row r="509" spans="1:21" ht="14.25" customHeight="1" x14ac:dyDescent="0.35">
      <c r="A509" s="6" t="s">
        <v>1760</v>
      </c>
      <c r="B509" s="6" t="s">
        <v>1761</v>
      </c>
      <c r="C509" s="6" t="s">
        <v>1762</v>
      </c>
      <c r="D509" s="6" t="s">
        <v>248</v>
      </c>
      <c r="E509" s="7" t="s">
        <v>23</v>
      </c>
      <c r="F509" s="6">
        <v>85339</v>
      </c>
      <c r="G509" s="6" t="s">
        <v>213</v>
      </c>
      <c r="H509" s="6" t="s">
        <v>39</v>
      </c>
      <c r="I509" s="6" t="s">
        <v>26</v>
      </c>
      <c r="J509" s="6" t="b">
        <v>1</v>
      </c>
      <c r="K509" s="6" t="s">
        <v>27</v>
      </c>
      <c r="L509" s="6">
        <v>40</v>
      </c>
      <c r="M509" s="6">
        <v>154.5</v>
      </c>
      <c r="N509" s="8">
        <f t="shared" si="49"/>
        <v>76.679999999999993</v>
      </c>
      <c r="O509" s="8">
        <f t="shared" si="50"/>
        <v>1970.68</v>
      </c>
      <c r="P509" s="8">
        <f t="shared" si="51"/>
        <v>1970.68</v>
      </c>
      <c r="Q509" s="8">
        <f t="shared" si="52"/>
        <v>0</v>
      </c>
      <c r="R509" s="9">
        <f t="shared" si="53"/>
        <v>1970.68</v>
      </c>
      <c r="S509" s="10">
        <f t="shared" si="54"/>
        <v>164.22333333333333</v>
      </c>
      <c r="T509">
        <v>165</v>
      </c>
      <c r="U509">
        <f t="shared" si="55"/>
        <v>10.5</v>
      </c>
    </row>
    <row r="510" spans="1:21" ht="14.25" customHeight="1" x14ac:dyDescent="0.35">
      <c r="A510" s="6" t="s">
        <v>1763</v>
      </c>
      <c r="B510" s="6" t="s">
        <v>1764</v>
      </c>
      <c r="C510" s="6" t="s">
        <v>1765</v>
      </c>
      <c r="D510" s="6" t="s">
        <v>71</v>
      </c>
      <c r="E510" s="7" t="s">
        <v>23</v>
      </c>
      <c r="F510" s="6">
        <v>85382</v>
      </c>
      <c r="G510" s="6" t="s">
        <v>78</v>
      </c>
      <c r="H510" s="6" t="s">
        <v>268</v>
      </c>
      <c r="I510" s="6" t="s">
        <v>40</v>
      </c>
      <c r="J510" s="6" t="b">
        <v>1</v>
      </c>
      <c r="K510" s="6" t="s">
        <v>27</v>
      </c>
      <c r="L510" s="6">
        <v>40</v>
      </c>
      <c r="M510" s="6">
        <v>154.5</v>
      </c>
      <c r="N510" s="8">
        <f t="shared" si="49"/>
        <v>76.679999999999993</v>
      </c>
      <c r="O510" s="8">
        <f t="shared" si="50"/>
        <v>1970.68</v>
      </c>
      <c r="P510" s="8">
        <f t="shared" si="51"/>
        <v>1970.68</v>
      </c>
      <c r="Q510" s="8">
        <f t="shared" si="52"/>
        <v>0</v>
      </c>
      <c r="R510" s="9">
        <f t="shared" si="53"/>
        <v>1970.68</v>
      </c>
      <c r="S510" s="10">
        <f t="shared" si="54"/>
        <v>164.22333333333333</v>
      </c>
      <c r="T510">
        <v>165</v>
      </c>
      <c r="U510">
        <f t="shared" si="55"/>
        <v>10.5</v>
      </c>
    </row>
    <row r="511" spans="1:21" ht="14.25" customHeight="1" x14ac:dyDescent="0.35">
      <c r="A511" s="6" t="s">
        <v>1766</v>
      </c>
      <c r="B511" s="6" t="s">
        <v>1767</v>
      </c>
      <c r="C511" s="6" t="s">
        <v>1768</v>
      </c>
      <c r="D511" s="6" t="s">
        <v>22</v>
      </c>
      <c r="E511" s="7" t="s">
        <v>23</v>
      </c>
      <c r="F511" s="6">
        <v>85249</v>
      </c>
      <c r="G511" s="6" t="s">
        <v>125</v>
      </c>
      <c r="H511" s="6" t="s">
        <v>126</v>
      </c>
      <c r="I511" s="6" t="s">
        <v>26</v>
      </c>
      <c r="J511" s="6" t="b">
        <v>1</v>
      </c>
      <c r="K511" s="6" t="s">
        <v>27</v>
      </c>
      <c r="L511" s="6">
        <v>40</v>
      </c>
      <c r="M511" s="6">
        <v>154.5</v>
      </c>
      <c r="N511" s="8">
        <f t="shared" si="49"/>
        <v>76.679999999999993</v>
      </c>
      <c r="O511" s="8">
        <f t="shared" si="50"/>
        <v>1970.68</v>
      </c>
      <c r="P511" s="8">
        <f t="shared" si="51"/>
        <v>1970.68</v>
      </c>
      <c r="Q511" s="8">
        <f t="shared" si="52"/>
        <v>0</v>
      </c>
      <c r="R511" s="9">
        <f t="shared" si="53"/>
        <v>1970.68</v>
      </c>
      <c r="S511" s="10">
        <f t="shared" si="54"/>
        <v>164.22333333333333</v>
      </c>
      <c r="T511">
        <v>165</v>
      </c>
      <c r="U511">
        <f t="shared" si="55"/>
        <v>10.5</v>
      </c>
    </row>
    <row r="512" spans="1:21" ht="14.25" customHeight="1" x14ac:dyDescent="0.35">
      <c r="A512" s="6" t="s">
        <v>1769</v>
      </c>
      <c r="B512" s="6" t="s">
        <v>1770</v>
      </c>
      <c r="C512" s="6" t="s">
        <v>1771</v>
      </c>
      <c r="D512" s="6" t="s">
        <v>77</v>
      </c>
      <c r="E512" s="7" t="s">
        <v>23</v>
      </c>
      <c r="F512" s="6">
        <v>85301</v>
      </c>
      <c r="G512" s="6" t="s">
        <v>72</v>
      </c>
      <c r="H512" s="6" t="s">
        <v>1772</v>
      </c>
      <c r="I512" s="6" t="s">
        <v>26</v>
      </c>
      <c r="J512" s="6" t="b">
        <v>1</v>
      </c>
      <c r="K512" s="6" t="s">
        <v>27</v>
      </c>
      <c r="L512" s="6">
        <v>40</v>
      </c>
      <c r="M512" s="6">
        <v>154.5</v>
      </c>
      <c r="N512" s="8">
        <f t="shared" si="49"/>
        <v>76.679999999999993</v>
      </c>
      <c r="O512" s="8">
        <f t="shared" si="50"/>
        <v>1970.68</v>
      </c>
      <c r="P512" s="8">
        <f t="shared" si="51"/>
        <v>1970.68</v>
      </c>
      <c r="Q512" s="8">
        <f t="shared" si="52"/>
        <v>0</v>
      </c>
      <c r="R512" s="9">
        <f t="shared" si="53"/>
        <v>1970.68</v>
      </c>
      <c r="S512" s="10">
        <f t="shared" si="54"/>
        <v>164.22333333333333</v>
      </c>
      <c r="T512">
        <v>165</v>
      </c>
      <c r="U512">
        <f t="shared" si="55"/>
        <v>10.5</v>
      </c>
    </row>
    <row r="513" spans="1:21" ht="14.25" customHeight="1" x14ac:dyDescent="0.35">
      <c r="A513" s="6" t="s">
        <v>1773</v>
      </c>
      <c r="B513" s="6" t="s">
        <v>1774</v>
      </c>
      <c r="C513" s="6" t="s">
        <v>1775</v>
      </c>
      <c r="D513" s="6" t="s">
        <v>22</v>
      </c>
      <c r="E513" s="7" t="s">
        <v>23</v>
      </c>
      <c r="F513" s="6">
        <v>85224</v>
      </c>
      <c r="G513" s="6" t="s">
        <v>24</v>
      </c>
      <c r="H513" s="6" t="s">
        <v>25</v>
      </c>
      <c r="I513" s="6" t="s">
        <v>26</v>
      </c>
      <c r="J513" s="6" t="b">
        <v>1</v>
      </c>
      <c r="K513" s="6" t="s">
        <v>27</v>
      </c>
      <c r="L513" s="6">
        <v>40</v>
      </c>
      <c r="M513" s="6">
        <v>154.5</v>
      </c>
      <c r="N513" s="8">
        <f t="shared" si="49"/>
        <v>76.679999999999993</v>
      </c>
      <c r="O513" s="8">
        <f t="shared" si="50"/>
        <v>1970.68</v>
      </c>
      <c r="P513" s="8">
        <f t="shared" si="51"/>
        <v>1970.68</v>
      </c>
      <c r="Q513" s="8">
        <f t="shared" si="52"/>
        <v>0</v>
      </c>
      <c r="R513" s="9">
        <f t="shared" si="53"/>
        <v>1970.68</v>
      </c>
      <c r="S513" s="10">
        <f t="shared" si="54"/>
        <v>164.22333333333333</v>
      </c>
      <c r="T513">
        <v>165</v>
      </c>
      <c r="U513">
        <f t="shared" si="55"/>
        <v>10.5</v>
      </c>
    </row>
    <row r="514" spans="1:21" ht="14.25" customHeight="1" x14ac:dyDescent="0.35">
      <c r="A514" s="6" t="s">
        <v>1776</v>
      </c>
      <c r="B514" s="6" t="s">
        <v>1777</v>
      </c>
      <c r="C514" s="6" t="s">
        <v>1778</v>
      </c>
      <c r="D514" s="6" t="s">
        <v>22</v>
      </c>
      <c r="E514" s="7" t="s">
        <v>23</v>
      </c>
      <c r="F514" s="6">
        <v>85226</v>
      </c>
      <c r="G514" s="6" t="s">
        <v>24</v>
      </c>
      <c r="H514" s="6" t="s">
        <v>365</v>
      </c>
      <c r="I514" s="6" t="s">
        <v>57</v>
      </c>
      <c r="J514" s="6" t="b">
        <v>1</v>
      </c>
      <c r="K514" s="6" t="s">
        <v>27</v>
      </c>
      <c r="L514" s="6">
        <v>40</v>
      </c>
      <c r="M514" s="6">
        <v>154.5</v>
      </c>
      <c r="N514" s="8">
        <f t="shared" ref="N514:N577" si="56">IF(J514=TRUE, 6.39*12, "0")</f>
        <v>76.679999999999993</v>
      </c>
      <c r="O514" s="8">
        <f t="shared" ref="O514:O577" si="57">L514+(M514*12)+N514</f>
        <v>1970.68</v>
      </c>
      <c r="P514" s="8">
        <f t="shared" ref="P514:P577" si="58">IF(OR(K514="Check",K514="ACH"), O514*0.97, O514)</f>
        <v>1970.68</v>
      </c>
      <c r="Q514" s="8">
        <f t="shared" ref="Q514:Q577" si="59">P514-O514</f>
        <v>0</v>
      </c>
      <c r="R514" s="9">
        <f t="shared" ref="R514:R577" si="60">O514-Q514</f>
        <v>1970.68</v>
      </c>
      <c r="S514" s="10">
        <f t="shared" ref="S514:S577" si="61">R514/12</f>
        <v>164.22333333333333</v>
      </c>
      <c r="T514">
        <v>165</v>
      </c>
      <c r="U514">
        <f t="shared" si="55"/>
        <v>10.5</v>
      </c>
    </row>
    <row r="515" spans="1:21" ht="14.25" customHeight="1" x14ac:dyDescent="0.35">
      <c r="A515" s="6" t="s">
        <v>1779</v>
      </c>
      <c r="B515" s="6" t="s">
        <v>1780</v>
      </c>
      <c r="C515" s="6" t="s">
        <v>1781</v>
      </c>
      <c r="D515" s="6" t="s">
        <v>892</v>
      </c>
      <c r="E515" s="7" t="s">
        <v>23</v>
      </c>
      <c r="F515" s="6">
        <v>85142</v>
      </c>
      <c r="G515" s="6" t="s">
        <v>125</v>
      </c>
      <c r="H515" s="6" t="s">
        <v>225</v>
      </c>
      <c r="I515" s="6" t="s">
        <v>26</v>
      </c>
      <c r="J515" s="6" t="b">
        <v>1</v>
      </c>
      <c r="K515" s="6" t="s">
        <v>27</v>
      </c>
      <c r="L515" s="6">
        <v>40</v>
      </c>
      <c r="M515" s="6">
        <v>154.5</v>
      </c>
      <c r="N515" s="8">
        <f t="shared" si="56"/>
        <v>76.679999999999993</v>
      </c>
      <c r="O515" s="8">
        <f t="shared" si="57"/>
        <v>1970.68</v>
      </c>
      <c r="P515" s="8">
        <f t="shared" si="58"/>
        <v>1970.68</v>
      </c>
      <c r="Q515" s="8">
        <f t="shared" si="59"/>
        <v>0</v>
      </c>
      <c r="R515" s="9">
        <f t="shared" si="60"/>
        <v>1970.68</v>
      </c>
      <c r="S515" s="10">
        <f t="shared" si="61"/>
        <v>164.22333333333333</v>
      </c>
      <c r="T515">
        <v>165</v>
      </c>
      <c r="U515">
        <f t="shared" si="55"/>
        <v>10.5</v>
      </c>
    </row>
    <row r="516" spans="1:21" ht="14.25" customHeight="1" x14ac:dyDescent="0.35">
      <c r="A516" s="6" t="s">
        <v>1782</v>
      </c>
      <c r="B516" s="6" t="s">
        <v>1783</v>
      </c>
      <c r="C516" s="6" t="s">
        <v>1784</v>
      </c>
      <c r="D516" s="6" t="s">
        <v>71</v>
      </c>
      <c r="E516" s="7" t="s">
        <v>23</v>
      </c>
      <c r="F516" s="6">
        <v>85345</v>
      </c>
      <c r="G516" s="6" t="s">
        <v>72</v>
      </c>
      <c r="H516" s="6" t="s">
        <v>73</v>
      </c>
      <c r="I516" s="6" t="s">
        <v>26</v>
      </c>
      <c r="J516" s="6" t="b">
        <v>1</v>
      </c>
      <c r="K516" s="6" t="s">
        <v>27</v>
      </c>
      <c r="L516" s="6">
        <v>40</v>
      </c>
      <c r="M516" s="6">
        <v>154.5</v>
      </c>
      <c r="N516" s="8">
        <f t="shared" si="56"/>
        <v>76.679999999999993</v>
      </c>
      <c r="O516" s="8">
        <f t="shared" si="57"/>
        <v>1970.68</v>
      </c>
      <c r="P516" s="8">
        <f t="shared" si="58"/>
        <v>1970.68</v>
      </c>
      <c r="Q516" s="8">
        <f t="shared" si="59"/>
        <v>0</v>
      </c>
      <c r="R516" s="9">
        <f t="shared" si="60"/>
        <v>1970.68</v>
      </c>
      <c r="S516" s="10">
        <f t="shared" si="61"/>
        <v>164.22333333333333</v>
      </c>
      <c r="T516">
        <v>165</v>
      </c>
      <c r="U516">
        <f t="shared" ref="U516:U579" si="62">SUM(T516-M516)</f>
        <v>10.5</v>
      </c>
    </row>
    <row r="517" spans="1:21" ht="14.25" customHeight="1" x14ac:dyDescent="0.35">
      <c r="A517" s="6" t="s">
        <v>1785</v>
      </c>
      <c r="B517" s="6" t="s">
        <v>1786</v>
      </c>
      <c r="C517" s="6" t="s">
        <v>1787</v>
      </c>
      <c r="D517" s="6" t="s">
        <v>71</v>
      </c>
      <c r="E517" s="7" t="s">
        <v>23</v>
      </c>
      <c r="F517" s="6">
        <v>85381</v>
      </c>
      <c r="G517" s="6" t="s">
        <v>78</v>
      </c>
      <c r="H517" s="6" t="s">
        <v>79</v>
      </c>
      <c r="I517" s="6" t="s">
        <v>110</v>
      </c>
      <c r="J517" s="6" t="b">
        <v>1</v>
      </c>
      <c r="K517" s="6" t="s">
        <v>27</v>
      </c>
      <c r="L517" s="6">
        <v>40</v>
      </c>
      <c r="M517" s="6">
        <v>154.5</v>
      </c>
      <c r="N517" s="8">
        <f t="shared" si="56"/>
        <v>76.679999999999993</v>
      </c>
      <c r="O517" s="8">
        <f t="shared" si="57"/>
        <v>1970.68</v>
      </c>
      <c r="P517" s="8">
        <f t="shared" si="58"/>
        <v>1970.68</v>
      </c>
      <c r="Q517" s="8">
        <f t="shared" si="59"/>
        <v>0</v>
      </c>
      <c r="R517" s="9">
        <f t="shared" si="60"/>
        <v>1970.68</v>
      </c>
      <c r="S517" s="10">
        <f t="shared" si="61"/>
        <v>164.22333333333333</v>
      </c>
      <c r="T517">
        <v>165</v>
      </c>
      <c r="U517">
        <f t="shared" si="62"/>
        <v>10.5</v>
      </c>
    </row>
    <row r="518" spans="1:21" ht="14.25" customHeight="1" x14ac:dyDescent="0.35">
      <c r="A518" s="6" t="s">
        <v>1788</v>
      </c>
      <c r="B518" s="6" t="s">
        <v>1789</v>
      </c>
      <c r="C518" s="6" t="s">
        <v>1790</v>
      </c>
      <c r="D518" s="6" t="s">
        <v>71</v>
      </c>
      <c r="E518" s="7" t="s">
        <v>23</v>
      </c>
      <c r="F518" s="6">
        <v>85382</v>
      </c>
      <c r="G518" s="6" t="s">
        <v>78</v>
      </c>
      <c r="H518" s="6" t="s">
        <v>268</v>
      </c>
      <c r="I518" s="6" t="s">
        <v>40</v>
      </c>
      <c r="J518" s="6" t="b">
        <v>1</v>
      </c>
      <c r="K518" s="6" t="s">
        <v>27</v>
      </c>
      <c r="L518" s="6">
        <v>40</v>
      </c>
      <c r="M518" s="6">
        <v>154.5</v>
      </c>
      <c r="N518" s="8">
        <f t="shared" si="56"/>
        <v>76.679999999999993</v>
      </c>
      <c r="O518" s="8">
        <f t="shared" si="57"/>
        <v>1970.68</v>
      </c>
      <c r="P518" s="8">
        <f t="shared" si="58"/>
        <v>1970.68</v>
      </c>
      <c r="Q518" s="8">
        <f t="shared" si="59"/>
        <v>0</v>
      </c>
      <c r="R518" s="9">
        <f t="shared" si="60"/>
        <v>1970.68</v>
      </c>
      <c r="S518" s="10">
        <f t="shared" si="61"/>
        <v>164.22333333333333</v>
      </c>
      <c r="T518">
        <v>165</v>
      </c>
      <c r="U518">
        <f t="shared" si="62"/>
        <v>10.5</v>
      </c>
    </row>
    <row r="519" spans="1:21" ht="14.25" customHeight="1" x14ac:dyDescent="0.35">
      <c r="A519" s="6" t="s">
        <v>1791</v>
      </c>
      <c r="B519" s="6" t="s">
        <v>1792</v>
      </c>
      <c r="C519" s="6" t="s">
        <v>1793</v>
      </c>
      <c r="D519" s="6" t="s">
        <v>363</v>
      </c>
      <c r="E519" s="7" t="s">
        <v>23</v>
      </c>
      <c r="F519" s="6">
        <v>85283</v>
      </c>
      <c r="G519" s="6" t="s">
        <v>364</v>
      </c>
      <c r="H519" s="6" t="s">
        <v>365</v>
      </c>
      <c r="I519" s="6" t="s">
        <v>26</v>
      </c>
      <c r="J519" s="6" t="b">
        <v>1</v>
      </c>
      <c r="K519" s="6" t="s">
        <v>27</v>
      </c>
      <c r="L519" s="6">
        <v>40</v>
      </c>
      <c r="M519" s="6">
        <v>154.5</v>
      </c>
      <c r="N519" s="8">
        <f t="shared" si="56"/>
        <v>76.679999999999993</v>
      </c>
      <c r="O519" s="8">
        <f t="shared" si="57"/>
        <v>1970.68</v>
      </c>
      <c r="P519" s="8">
        <f t="shared" si="58"/>
        <v>1970.68</v>
      </c>
      <c r="Q519" s="8">
        <f t="shared" si="59"/>
        <v>0</v>
      </c>
      <c r="R519" s="9">
        <f t="shared" si="60"/>
        <v>1970.68</v>
      </c>
      <c r="S519" s="10">
        <f t="shared" si="61"/>
        <v>164.22333333333333</v>
      </c>
      <c r="T519">
        <v>165</v>
      </c>
      <c r="U519">
        <f t="shared" si="62"/>
        <v>10.5</v>
      </c>
    </row>
    <row r="520" spans="1:21" ht="14.25" customHeight="1" x14ac:dyDescent="0.35">
      <c r="A520" s="6" t="s">
        <v>1794</v>
      </c>
      <c r="B520" s="6" t="s">
        <v>1795</v>
      </c>
      <c r="C520" s="6" t="s">
        <v>1796</v>
      </c>
      <c r="D520" s="6" t="s">
        <v>22</v>
      </c>
      <c r="E520" s="7" t="s">
        <v>23</v>
      </c>
      <c r="F520" s="6">
        <v>85286</v>
      </c>
      <c r="G520" s="6" t="s">
        <v>125</v>
      </c>
      <c r="H520" s="6" t="s">
        <v>126</v>
      </c>
      <c r="I520" s="6" t="s">
        <v>26</v>
      </c>
      <c r="J520" s="6" t="b">
        <v>1</v>
      </c>
      <c r="K520" s="6" t="s">
        <v>27</v>
      </c>
      <c r="L520" s="6">
        <v>40</v>
      </c>
      <c r="M520" s="6">
        <v>154.5</v>
      </c>
      <c r="N520" s="8">
        <f t="shared" si="56"/>
        <v>76.679999999999993</v>
      </c>
      <c r="O520" s="8">
        <f t="shared" si="57"/>
        <v>1970.68</v>
      </c>
      <c r="P520" s="8">
        <f t="shared" si="58"/>
        <v>1970.68</v>
      </c>
      <c r="Q520" s="8">
        <f t="shared" si="59"/>
        <v>0</v>
      </c>
      <c r="R520" s="9">
        <f t="shared" si="60"/>
        <v>1970.68</v>
      </c>
      <c r="S520" s="10">
        <f t="shared" si="61"/>
        <v>164.22333333333333</v>
      </c>
      <c r="T520">
        <v>165</v>
      </c>
      <c r="U520">
        <f t="shared" si="62"/>
        <v>10.5</v>
      </c>
    </row>
    <row r="521" spans="1:21" ht="14.25" customHeight="1" x14ac:dyDescent="0.35">
      <c r="A521" s="6" t="s">
        <v>1797</v>
      </c>
      <c r="B521" s="6" t="s">
        <v>1798</v>
      </c>
      <c r="C521" s="6" t="s">
        <v>1799</v>
      </c>
      <c r="D521" s="6" t="s">
        <v>22</v>
      </c>
      <c r="E521" s="7" t="s">
        <v>23</v>
      </c>
      <c r="F521" s="6">
        <v>85249</v>
      </c>
      <c r="G521" s="6" t="s">
        <v>125</v>
      </c>
      <c r="H521" s="6" t="s">
        <v>126</v>
      </c>
      <c r="I521" s="6" t="s">
        <v>26</v>
      </c>
      <c r="J521" s="6" t="b">
        <v>1</v>
      </c>
      <c r="K521" s="6" t="s">
        <v>27</v>
      </c>
      <c r="L521" s="6">
        <v>40</v>
      </c>
      <c r="M521" s="6">
        <v>154.5</v>
      </c>
      <c r="N521" s="8">
        <f t="shared" si="56"/>
        <v>76.679999999999993</v>
      </c>
      <c r="O521" s="8">
        <f t="shared" si="57"/>
        <v>1970.68</v>
      </c>
      <c r="P521" s="8">
        <f t="shared" si="58"/>
        <v>1970.68</v>
      </c>
      <c r="Q521" s="8">
        <f t="shared" si="59"/>
        <v>0</v>
      </c>
      <c r="R521" s="9">
        <f t="shared" si="60"/>
        <v>1970.68</v>
      </c>
      <c r="S521" s="10">
        <f t="shared" si="61"/>
        <v>164.22333333333333</v>
      </c>
      <c r="T521">
        <v>165</v>
      </c>
      <c r="U521">
        <f t="shared" si="62"/>
        <v>10.5</v>
      </c>
    </row>
    <row r="522" spans="1:21" ht="14.25" customHeight="1" x14ac:dyDescent="0.35">
      <c r="A522" s="6" t="s">
        <v>1800</v>
      </c>
      <c r="B522" s="6" t="s">
        <v>1801</v>
      </c>
      <c r="C522" s="6" t="s">
        <v>1802</v>
      </c>
      <c r="D522" s="6" t="s">
        <v>77</v>
      </c>
      <c r="E522" s="7" t="s">
        <v>23</v>
      </c>
      <c r="F522" s="6">
        <v>85306</v>
      </c>
      <c r="G522" s="6" t="s">
        <v>72</v>
      </c>
      <c r="H522" s="6" t="s">
        <v>93</v>
      </c>
      <c r="I522" s="6" t="s">
        <v>26</v>
      </c>
      <c r="J522" s="6" t="b">
        <v>1</v>
      </c>
      <c r="K522" s="6" t="s">
        <v>27</v>
      </c>
      <c r="L522" s="6">
        <v>40</v>
      </c>
      <c r="M522" s="6">
        <v>154.5</v>
      </c>
      <c r="N522" s="8">
        <f t="shared" si="56"/>
        <v>76.679999999999993</v>
      </c>
      <c r="O522" s="8">
        <f t="shared" si="57"/>
        <v>1970.68</v>
      </c>
      <c r="P522" s="8">
        <f t="shared" si="58"/>
        <v>1970.68</v>
      </c>
      <c r="Q522" s="8">
        <f t="shared" si="59"/>
        <v>0</v>
      </c>
      <c r="R522" s="9">
        <f t="shared" si="60"/>
        <v>1970.68</v>
      </c>
      <c r="S522" s="10">
        <f t="shared" si="61"/>
        <v>164.22333333333333</v>
      </c>
      <c r="T522">
        <v>165</v>
      </c>
      <c r="U522">
        <f t="shared" si="62"/>
        <v>10.5</v>
      </c>
    </row>
    <row r="523" spans="1:21" ht="14.25" customHeight="1" x14ac:dyDescent="0.35">
      <c r="A523" s="6" t="s">
        <v>1803</v>
      </c>
      <c r="B523" s="6" t="s">
        <v>1804</v>
      </c>
      <c r="C523" s="6" t="s">
        <v>1805</v>
      </c>
      <c r="D523" s="6" t="s">
        <v>363</v>
      </c>
      <c r="E523" s="7" t="s">
        <v>23</v>
      </c>
      <c r="F523" s="6">
        <v>85284</v>
      </c>
      <c r="G523" s="6" t="s">
        <v>24</v>
      </c>
      <c r="H523" s="6" t="s">
        <v>25</v>
      </c>
      <c r="I523" s="6" t="s">
        <v>26</v>
      </c>
      <c r="J523" s="6" t="b">
        <v>1</v>
      </c>
      <c r="K523" s="6" t="s">
        <v>27</v>
      </c>
      <c r="L523" s="6">
        <v>40</v>
      </c>
      <c r="M523" s="6">
        <v>154.5</v>
      </c>
      <c r="N523" s="8">
        <f t="shared" si="56"/>
        <v>76.679999999999993</v>
      </c>
      <c r="O523" s="8">
        <f t="shared" si="57"/>
        <v>1970.68</v>
      </c>
      <c r="P523" s="8">
        <f t="shared" si="58"/>
        <v>1970.68</v>
      </c>
      <c r="Q523" s="8">
        <f t="shared" si="59"/>
        <v>0</v>
      </c>
      <c r="R523" s="9">
        <f t="shared" si="60"/>
        <v>1970.68</v>
      </c>
      <c r="S523" s="10">
        <f t="shared" si="61"/>
        <v>164.22333333333333</v>
      </c>
      <c r="T523">
        <v>165</v>
      </c>
      <c r="U523">
        <f t="shared" si="62"/>
        <v>10.5</v>
      </c>
    </row>
    <row r="524" spans="1:21" ht="14.25" customHeight="1" x14ac:dyDescent="0.35">
      <c r="A524" s="6" t="s">
        <v>1806</v>
      </c>
      <c r="B524" s="6" t="s">
        <v>1807</v>
      </c>
      <c r="C524" s="6" t="s">
        <v>1808</v>
      </c>
      <c r="D524" s="6" t="s">
        <v>65</v>
      </c>
      <c r="E524" s="7" t="s">
        <v>23</v>
      </c>
      <c r="F524" s="6">
        <v>85202</v>
      </c>
      <c r="G524" s="6" t="s">
        <v>364</v>
      </c>
      <c r="H524" s="6" t="s">
        <v>365</v>
      </c>
      <c r="I524" s="6" t="s">
        <v>26</v>
      </c>
      <c r="J524" s="6" t="b">
        <v>1</v>
      </c>
      <c r="K524" s="6" t="s">
        <v>27</v>
      </c>
      <c r="L524" s="6">
        <v>40</v>
      </c>
      <c r="M524" s="6">
        <v>154.5</v>
      </c>
      <c r="N524" s="8">
        <f t="shared" si="56"/>
        <v>76.679999999999993</v>
      </c>
      <c r="O524" s="8">
        <f t="shared" si="57"/>
        <v>1970.68</v>
      </c>
      <c r="P524" s="8">
        <f t="shared" si="58"/>
        <v>1970.68</v>
      </c>
      <c r="Q524" s="8">
        <f t="shared" si="59"/>
        <v>0</v>
      </c>
      <c r="R524" s="9">
        <f t="shared" si="60"/>
        <v>1970.68</v>
      </c>
      <c r="S524" s="10">
        <f t="shared" si="61"/>
        <v>164.22333333333333</v>
      </c>
      <c r="T524">
        <v>165</v>
      </c>
      <c r="U524">
        <f t="shared" si="62"/>
        <v>10.5</v>
      </c>
    </row>
    <row r="525" spans="1:21" ht="14.25" customHeight="1" x14ac:dyDescent="0.35">
      <c r="A525" s="6" t="s">
        <v>1809</v>
      </c>
      <c r="B525" s="6" t="s">
        <v>1810</v>
      </c>
      <c r="C525" s="6" t="s">
        <v>1811</v>
      </c>
      <c r="D525" s="6" t="s">
        <v>165</v>
      </c>
      <c r="E525" s="7" t="s">
        <v>23</v>
      </c>
      <c r="F525" s="6">
        <v>85296</v>
      </c>
      <c r="G525" s="6" t="s">
        <v>125</v>
      </c>
      <c r="H525" s="6" t="s">
        <v>225</v>
      </c>
      <c r="I525" s="6" t="s">
        <v>26</v>
      </c>
      <c r="J525" s="6" t="b">
        <v>1</v>
      </c>
      <c r="K525" s="6" t="s">
        <v>27</v>
      </c>
      <c r="L525" s="6">
        <v>41.2</v>
      </c>
      <c r="M525" s="6">
        <v>154.5</v>
      </c>
      <c r="N525" s="8">
        <f t="shared" si="56"/>
        <v>76.679999999999993</v>
      </c>
      <c r="O525" s="8">
        <f t="shared" si="57"/>
        <v>1971.88</v>
      </c>
      <c r="P525" s="8">
        <f t="shared" si="58"/>
        <v>1971.88</v>
      </c>
      <c r="Q525" s="8">
        <f t="shared" si="59"/>
        <v>0</v>
      </c>
      <c r="R525" s="9">
        <f t="shared" si="60"/>
        <v>1971.88</v>
      </c>
      <c r="S525" s="10">
        <f t="shared" si="61"/>
        <v>164.32333333333335</v>
      </c>
      <c r="T525">
        <v>165</v>
      </c>
      <c r="U525">
        <f t="shared" si="62"/>
        <v>10.5</v>
      </c>
    </row>
    <row r="526" spans="1:21" ht="14.25" customHeight="1" x14ac:dyDescent="0.35">
      <c r="A526" s="6" t="s">
        <v>1812</v>
      </c>
      <c r="B526" s="6" t="s">
        <v>1813</v>
      </c>
      <c r="C526" s="6" t="s">
        <v>1814</v>
      </c>
      <c r="D526" s="6" t="s">
        <v>31</v>
      </c>
      <c r="E526" s="7" t="s">
        <v>23</v>
      </c>
      <c r="F526" s="6">
        <v>85254</v>
      </c>
      <c r="G526" s="6" t="s">
        <v>45</v>
      </c>
      <c r="H526" s="6" t="s">
        <v>291</v>
      </c>
      <c r="I526" s="6" t="s">
        <v>26</v>
      </c>
      <c r="J526" s="6" t="b">
        <v>1</v>
      </c>
      <c r="K526" s="6" t="s">
        <v>27</v>
      </c>
      <c r="L526" s="6">
        <v>41.2</v>
      </c>
      <c r="M526" s="6">
        <v>154.5</v>
      </c>
      <c r="N526" s="8">
        <f t="shared" si="56"/>
        <v>76.679999999999993</v>
      </c>
      <c r="O526" s="8">
        <f t="shared" si="57"/>
        <v>1971.88</v>
      </c>
      <c r="P526" s="8">
        <f t="shared" si="58"/>
        <v>1971.88</v>
      </c>
      <c r="Q526" s="8">
        <f t="shared" si="59"/>
        <v>0</v>
      </c>
      <c r="R526" s="9">
        <f t="shared" si="60"/>
        <v>1971.88</v>
      </c>
      <c r="S526" s="10">
        <f t="shared" si="61"/>
        <v>164.32333333333335</v>
      </c>
      <c r="T526">
        <v>165</v>
      </c>
      <c r="U526">
        <f t="shared" si="62"/>
        <v>10.5</v>
      </c>
    </row>
    <row r="527" spans="1:21" ht="14.25" customHeight="1" x14ac:dyDescent="0.35">
      <c r="A527" s="6" t="s">
        <v>1815</v>
      </c>
      <c r="B527" s="6" t="s">
        <v>1816</v>
      </c>
      <c r="C527" s="6" t="s">
        <v>1817</v>
      </c>
      <c r="D527" s="6" t="s">
        <v>37</v>
      </c>
      <c r="E527" s="7" t="s">
        <v>23</v>
      </c>
      <c r="F527" s="6">
        <v>85392</v>
      </c>
      <c r="G527" s="6" t="s">
        <v>38</v>
      </c>
      <c r="H527" s="6" t="s">
        <v>378</v>
      </c>
      <c r="I527" s="6" t="s">
        <v>40</v>
      </c>
      <c r="J527" s="6" t="b">
        <v>1</v>
      </c>
      <c r="K527" s="6" t="s">
        <v>27</v>
      </c>
      <c r="L527" s="6">
        <v>41.2</v>
      </c>
      <c r="M527" s="6">
        <v>154.5</v>
      </c>
      <c r="N527" s="8">
        <f t="shared" si="56"/>
        <v>76.679999999999993</v>
      </c>
      <c r="O527" s="8">
        <f t="shared" si="57"/>
        <v>1971.88</v>
      </c>
      <c r="P527" s="8">
        <f t="shared" si="58"/>
        <v>1971.88</v>
      </c>
      <c r="Q527" s="8">
        <f t="shared" si="59"/>
        <v>0</v>
      </c>
      <c r="R527" s="9">
        <f t="shared" si="60"/>
        <v>1971.88</v>
      </c>
      <c r="S527" s="10">
        <f t="shared" si="61"/>
        <v>164.32333333333335</v>
      </c>
      <c r="T527">
        <v>165</v>
      </c>
      <c r="U527">
        <f t="shared" si="62"/>
        <v>10.5</v>
      </c>
    </row>
    <row r="528" spans="1:21" ht="14.25" customHeight="1" x14ac:dyDescent="0.35">
      <c r="A528" s="6" t="s">
        <v>1818</v>
      </c>
      <c r="B528" s="6" t="s">
        <v>1819</v>
      </c>
      <c r="C528" s="6" t="s">
        <v>1820</v>
      </c>
      <c r="D528" s="6" t="s">
        <v>31</v>
      </c>
      <c r="E528" s="7" t="s">
        <v>23</v>
      </c>
      <c r="F528" s="6">
        <v>85255</v>
      </c>
      <c r="G528" s="6" t="s">
        <v>32</v>
      </c>
      <c r="H528" s="6" t="s">
        <v>169</v>
      </c>
      <c r="I528" s="6" t="s">
        <v>61</v>
      </c>
      <c r="J528" s="6" t="b">
        <v>1</v>
      </c>
      <c r="K528" s="6" t="s">
        <v>27</v>
      </c>
      <c r="L528" s="6">
        <v>41.2</v>
      </c>
      <c r="M528" s="6">
        <v>154.5</v>
      </c>
      <c r="N528" s="8">
        <f t="shared" si="56"/>
        <v>76.679999999999993</v>
      </c>
      <c r="O528" s="8">
        <f t="shared" si="57"/>
        <v>1971.88</v>
      </c>
      <c r="P528" s="8">
        <f t="shared" si="58"/>
        <v>1971.88</v>
      </c>
      <c r="Q528" s="8">
        <f t="shared" si="59"/>
        <v>0</v>
      </c>
      <c r="R528" s="9">
        <f t="shared" si="60"/>
        <v>1971.88</v>
      </c>
      <c r="S528" s="10">
        <f t="shared" si="61"/>
        <v>164.32333333333335</v>
      </c>
      <c r="T528">
        <v>165</v>
      </c>
      <c r="U528">
        <f t="shared" si="62"/>
        <v>10.5</v>
      </c>
    </row>
    <row r="529" spans="1:21" ht="14.25" customHeight="1" x14ac:dyDescent="0.35">
      <c r="A529" s="6" t="s">
        <v>1821</v>
      </c>
      <c r="B529" s="6" t="s">
        <v>1822</v>
      </c>
      <c r="C529" s="6" t="s">
        <v>1823</v>
      </c>
      <c r="D529" s="6" t="s">
        <v>31</v>
      </c>
      <c r="E529" s="7" t="s">
        <v>23</v>
      </c>
      <c r="F529" s="6">
        <v>85259</v>
      </c>
      <c r="G529" s="6" t="s">
        <v>45</v>
      </c>
      <c r="H529" s="6" t="s">
        <v>169</v>
      </c>
      <c r="I529" s="6" t="s">
        <v>26</v>
      </c>
      <c r="J529" s="6" t="b">
        <v>1</v>
      </c>
      <c r="K529" s="6" t="s">
        <v>27</v>
      </c>
      <c r="L529" s="6">
        <v>41.2</v>
      </c>
      <c r="M529" s="6">
        <v>154.5</v>
      </c>
      <c r="N529" s="8">
        <f t="shared" si="56"/>
        <v>76.679999999999993</v>
      </c>
      <c r="O529" s="8">
        <f t="shared" si="57"/>
        <v>1971.88</v>
      </c>
      <c r="P529" s="8">
        <f t="shared" si="58"/>
        <v>1971.88</v>
      </c>
      <c r="Q529" s="8">
        <f t="shared" si="59"/>
        <v>0</v>
      </c>
      <c r="R529" s="9">
        <f t="shared" si="60"/>
        <v>1971.88</v>
      </c>
      <c r="S529" s="10">
        <f t="shared" si="61"/>
        <v>164.32333333333335</v>
      </c>
      <c r="T529">
        <v>165</v>
      </c>
      <c r="U529">
        <f t="shared" si="62"/>
        <v>10.5</v>
      </c>
    </row>
    <row r="530" spans="1:21" ht="14.25" customHeight="1" x14ac:dyDescent="0.35">
      <c r="A530" s="6" t="s">
        <v>1824</v>
      </c>
      <c r="B530" s="6" t="s">
        <v>1825</v>
      </c>
      <c r="C530" s="6" t="s">
        <v>1826</v>
      </c>
      <c r="D530" s="6" t="s">
        <v>482</v>
      </c>
      <c r="E530" s="7" t="s">
        <v>23</v>
      </c>
      <c r="F530" s="6">
        <v>85326</v>
      </c>
      <c r="G530" s="6" t="s">
        <v>38</v>
      </c>
      <c r="H530" s="6" t="s">
        <v>378</v>
      </c>
      <c r="I530" s="6" t="s">
        <v>26</v>
      </c>
      <c r="J530" s="6" t="b">
        <v>1</v>
      </c>
      <c r="K530" s="6" t="s">
        <v>27</v>
      </c>
      <c r="L530" s="6">
        <v>41.2</v>
      </c>
      <c r="M530" s="6">
        <v>154.5</v>
      </c>
      <c r="N530" s="8">
        <f t="shared" si="56"/>
        <v>76.679999999999993</v>
      </c>
      <c r="O530" s="8">
        <f t="shared" si="57"/>
        <v>1971.88</v>
      </c>
      <c r="P530" s="8">
        <f t="shared" si="58"/>
        <v>1971.88</v>
      </c>
      <c r="Q530" s="8">
        <f t="shared" si="59"/>
        <v>0</v>
      </c>
      <c r="R530" s="9">
        <f t="shared" si="60"/>
        <v>1971.88</v>
      </c>
      <c r="S530" s="10">
        <f t="shared" si="61"/>
        <v>164.32333333333335</v>
      </c>
      <c r="T530">
        <v>165</v>
      </c>
      <c r="U530">
        <f t="shared" si="62"/>
        <v>10.5</v>
      </c>
    </row>
    <row r="531" spans="1:21" ht="14.25" customHeight="1" x14ac:dyDescent="0.35">
      <c r="A531" s="6" t="s">
        <v>1827</v>
      </c>
      <c r="B531" s="6" t="s">
        <v>1828</v>
      </c>
      <c r="C531" s="6" t="s">
        <v>1829</v>
      </c>
      <c r="D531" s="6" t="s">
        <v>71</v>
      </c>
      <c r="E531" s="7" t="s">
        <v>23</v>
      </c>
      <c r="F531" s="6">
        <v>85345</v>
      </c>
      <c r="G531" s="6" t="s">
        <v>78</v>
      </c>
      <c r="H531" s="6" t="s">
        <v>281</v>
      </c>
      <c r="I531" s="6" t="s">
        <v>26</v>
      </c>
      <c r="J531" s="6" t="b">
        <v>1</v>
      </c>
      <c r="K531" s="6" t="s">
        <v>27</v>
      </c>
      <c r="L531" s="6">
        <v>41.2</v>
      </c>
      <c r="M531" s="6">
        <v>154.5</v>
      </c>
      <c r="N531" s="8">
        <f t="shared" si="56"/>
        <v>76.679999999999993</v>
      </c>
      <c r="O531" s="8">
        <f t="shared" si="57"/>
        <v>1971.88</v>
      </c>
      <c r="P531" s="8">
        <f t="shared" si="58"/>
        <v>1971.88</v>
      </c>
      <c r="Q531" s="8">
        <f t="shared" si="59"/>
        <v>0</v>
      </c>
      <c r="R531" s="9">
        <f t="shared" si="60"/>
        <v>1971.88</v>
      </c>
      <c r="S531" s="10">
        <f t="shared" si="61"/>
        <v>164.32333333333335</v>
      </c>
      <c r="T531">
        <v>165</v>
      </c>
      <c r="U531">
        <f t="shared" si="62"/>
        <v>10.5</v>
      </c>
    </row>
    <row r="532" spans="1:21" ht="14.25" customHeight="1" x14ac:dyDescent="0.35">
      <c r="A532" s="6" t="s">
        <v>1830</v>
      </c>
      <c r="B532" s="6" t="s">
        <v>1831</v>
      </c>
      <c r="C532" s="6" t="s">
        <v>1832</v>
      </c>
      <c r="D532" s="6" t="s">
        <v>65</v>
      </c>
      <c r="E532" s="7" t="s">
        <v>23</v>
      </c>
      <c r="F532" s="6">
        <v>85212</v>
      </c>
      <c r="G532" s="6" t="s">
        <v>125</v>
      </c>
      <c r="H532" s="6" t="s">
        <v>180</v>
      </c>
      <c r="I532" s="6" t="s">
        <v>26</v>
      </c>
      <c r="J532" s="6" t="b">
        <v>1</v>
      </c>
      <c r="K532" s="6" t="s">
        <v>27</v>
      </c>
      <c r="L532" s="6">
        <v>41.2</v>
      </c>
      <c r="M532" s="6">
        <v>154.5</v>
      </c>
      <c r="N532" s="8">
        <f t="shared" si="56"/>
        <v>76.679999999999993</v>
      </c>
      <c r="O532" s="8">
        <f t="shared" si="57"/>
        <v>1971.88</v>
      </c>
      <c r="P532" s="8">
        <f t="shared" si="58"/>
        <v>1971.88</v>
      </c>
      <c r="Q532" s="8">
        <f t="shared" si="59"/>
        <v>0</v>
      </c>
      <c r="R532" s="9">
        <f t="shared" si="60"/>
        <v>1971.88</v>
      </c>
      <c r="S532" s="10">
        <f t="shared" si="61"/>
        <v>164.32333333333335</v>
      </c>
      <c r="T532">
        <v>165</v>
      </c>
      <c r="U532">
        <f t="shared" si="62"/>
        <v>10.5</v>
      </c>
    </row>
    <row r="533" spans="1:21" ht="14.25" customHeight="1" x14ac:dyDescent="0.35">
      <c r="A533" s="6" t="s">
        <v>1833</v>
      </c>
      <c r="B533" s="6" t="s">
        <v>1834</v>
      </c>
      <c r="C533" s="6" t="s">
        <v>1835</v>
      </c>
      <c r="D533" s="6" t="s">
        <v>44</v>
      </c>
      <c r="E533" s="7" t="s">
        <v>23</v>
      </c>
      <c r="F533" s="6">
        <v>85013</v>
      </c>
      <c r="G533" s="6" t="s">
        <v>49</v>
      </c>
      <c r="H533" s="6" t="s">
        <v>202</v>
      </c>
      <c r="I533" s="6" t="s">
        <v>26</v>
      </c>
      <c r="J533" s="6" t="b">
        <v>1</v>
      </c>
      <c r="K533" s="6" t="s">
        <v>27</v>
      </c>
      <c r="L533" s="6">
        <v>41.2</v>
      </c>
      <c r="M533" s="6">
        <v>154.5</v>
      </c>
      <c r="N533" s="8">
        <f t="shared" si="56"/>
        <v>76.679999999999993</v>
      </c>
      <c r="O533" s="8">
        <f t="shared" si="57"/>
        <v>1971.88</v>
      </c>
      <c r="P533" s="8">
        <f t="shared" si="58"/>
        <v>1971.88</v>
      </c>
      <c r="Q533" s="8">
        <f t="shared" si="59"/>
        <v>0</v>
      </c>
      <c r="R533" s="9">
        <f t="shared" si="60"/>
        <v>1971.88</v>
      </c>
      <c r="S533" s="10">
        <f t="shared" si="61"/>
        <v>164.32333333333335</v>
      </c>
      <c r="T533">
        <v>165</v>
      </c>
      <c r="U533">
        <f t="shared" si="62"/>
        <v>10.5</v>
      </c>
    </row>
    <row r="534" spans="1:21" ht="14.25" customHeight="1" x14ac:dyDescent="0.35">
      <c r="A534" s="6" t="s">
        <v>1836</v>
      </c>
      <c r="B534" s="6" t="s">
        <v>1837</v>
      </c>
      <c r="C534" s="6" t="s">
        <v>1838</v>
      </c>
      <c r="D534" s="6" t="s">
        <v>77</v>
      </c>
      <c r="E534" s="7" t="s">
        <v>23</v>
      </c>
      <c r="F534" s="6">
        <v>85308</v>
      </c>
      <c r="G534" s="6" t="s">
        <v>78</v>
      </c>
      <c r="H534" s="6" t="s">
        <v>281</v>
      </c>
      <c r="I534" s="6" t="s">
        <v>26</v>
      </c>
      <c r="J534" s="6" t="b">
        <v>1</v>
      </c>
      <c r="K534" s="6" t="s">
        <v>27</v>
      </c>
      <c r="L534" s="6">
        <v>41.2</v>
      </c>
      <c r="M534" s="6">
        <v>154.5</v>
      </c>
      <c r="N534" s="8">
        <f t="shared" si="56"/>
        <v>76.679999999999993</v>
      </c>
      <c r="O534" s="8">
        <f t="shared" si="57"/>
        <v>1971.88</v>
      </c>
      <c r="P534" s="8">
        <f t="shared" si="58"/>
        <v>1971.88</v>
      </c>
      <c r="Q534" s="8">
        <f t="shared" si="59"/>
        <v>0</v>
      </c>
      <c r="R534" s="9">
        <f t="shared" si="60"/>
        <v>1971.88</v>
      </c>
      <c r="S534" s="10">
        <f t="shared" si="61"/>
        <v>164.32333333333335</v>
      </c>
      <c r="T534">
        <v>165</v>
      </c>
      <c r="U534">
        <f t="shared" si="62"/>
        <v>10.5</v>
      </c>
    </row>
    <row r="535" spans="1:21" ht="14.25" customHeight="1" x14ac:dyDescent="0.35">
      <c r="A535" s="6" t="s">
        <v>1839</v>
      </c>
      <c r="B535" s="6" t="s">
        <v>1840</v>
      </c>
      <c r="C535" s="6" t="s">
        <v>1841</v>
      </c>
      <c r="D535" s="6" t="s">
        <v>44</v>
      </c>
      <c r="E535" s="7" t="s">
        <v>23</v>
      </c>
      <c r="F535" s="6">
        <v>85045</v>
      </c>
      <c r="G535" s="6" t="s">
        <v>24</v>
      </c>
      <c r="H535" s="6" t="s">
        <v>161</v>
      </c>
      <c r="I535" s="6" t="s">
        <v>110</v>
      </c>
      <c r="J535" s="6" t="b">
        <v>1</v>
      </c>
      <c r="K535" s="6" t="s">
        <v>27</v>
      </c>
      <c r="L535" s="6">
        <v>41.2</v>
      </c>
      <c r="M535" s="6">
        <v>154.5</v>
      </c>
      <c r="N535" s="8">
        <f t="shared" si="56"/>
        <v>76.679999999999993</v>
      </c>
      <c r="O535" s="8">
        <f t="shared" si="57"/>
        <v>1971.88</v>
      </c>
      <c r="P535" s="8">
        <f t="shared" si="58"/>
        <v>1971.88</v>
      </c>
      <c r="Q535" s="8">
        <f t="shared" si="59"/>
        <v>0</v>
      </c>
      <c r="R535" s="9">
        <f t="shared" si="60"/>
        <v>1971.88</v>
      </c>
      <c r="S535" s="10">
        <f t="shared" si="61"/>
        <v>164.32333333333335</v>
      </c>
      <c r="T535">
        <v>165</v>
      </c>
      <c r="U535">
        <f t="shared" si="62"/>
        <v>10.5</v>
      </c>
    </row>
    <row r="536" spans="1:21" ht="14.25" customHeight="1" x14ac:dyDescent="0.35">
      <c r="A536" s="6" t="s">
        <v>1842</v>
      </c>
      <c r="B536" s="6" t="s">
        <v>1843</v>
      </c>
      <c r="C536" s="6" t="s">
        <v>1844</v>
      </c>
      <c r="D536" s="6" t="s">
        <v>65</v>
      </c>
      <c r="E536" s="7" t="s">
        <v>23</v>
      </c>
      <c r="F536" s="6">
        <v>85212</v>
      </c>
      <c r="G536" s="6" t="s">
        <v>125</v>
      </c>
      <c r="H536" s="6" t="s">
        <v>180</v>
      </c>
      <c r="I536" s="6" t="s">
        <v>26</v>
      </c>
      <c r="J536" s="6" t="b">
        <v>1</v>
      </c>
      <c r="K536" s="6" t="s">
        <v>27</v>
      </c>
      <c r="L536" s="6">
        <v>41.2</v>
      </c>
      <c r="M536" s="6">
        <v>154.5</v>
      </c>
      <c r="N536" s="8">
        <f t="shared" si="56"/>
        <v>76.679999999999993</v>
      </c>
      <c r="O536" s="8">
        <f t="shared" si="57"/>
        <v>1971.88</v>
      </c>
      <c r="P536" s="8">
        <f t="shared" si="58"/>
        <v>1971.88</v>
      </c>
      <c r="Q536" s="8">
        <f t="shared" si="59"/>
        <v>0</v>
      </c>
      <c r="R536" s="9">
        <f t="shared" si="60"/>
        <v>1971.88</v>
      </c>
      <c r="S536" s="10">
        <f t="shared" si="61"/>
        <v>164.32333333333335</v>
      </c>
      <c r="T536">
        <v>165</v>
      </c>
      <c r="U536">
        <f t="shared" si="62"/>
        <v>10.5</v>
      </c>
    </row>
    <row r="537" spans="1:21" ht="14.25" customHeight="1" x14ac:dyDescent="0.35">
      <c r="A537" s="6" t="s">
        <v>1845</v>
      </c>
      <c r="B537" s="6" t="s">
        <v>1846</v>
      </c>
      <c r="C537" s="6" t="s">
        <v>1847</v>
      </c>
      <c r="D537" s="6" t="s">
        <v>44</v>
      </c>
      <c r="E537" s="7" t="s">
        <v>23</v>
      </c>
      <c r="F537" s="6">
        <v>85013</v>
      </c>
      <c r="G537" s="6" t="s">
        <v>213</v>
      </c>
      <c r="H537" s="6" t="s">
        <v>202</v>
      </c>
      <c r="I537" s="6" t="s">
        <v>26</v>
      </c>
      <c r="J537" s="6" t="b">
        <v>1</v>
      </c>
      <c r="K537" s="6" t="s">
        <v>27</v>
      </c>
      <c r="L537" s="6">
        <v>41.2</v>
      </c>
      <c r="M537" s="6">
        <v>154.5</v>
      </c>
      <c r="N537" s="8">
        <f t="shared" si="56"/>
        <v>76.679999999999993</v>
      </c>
      <c r="O537" s="8">
        <f t="shared" si="57"/>
        <v>1971.88</v>
      </c>
      <c r="P537" s="8">
        <f t="shared" si="58"/>
        <v>1971.88</v>
      </c>
      <c r="Q537" s="8">
        <f t="shared" si="59"/>
        <v>0</v>
      </c>
      <c r="R537" s="9">
        <f t="shared" si="60"/>
        <v>1971.88</v>
      </c>
      <c r="S537" s="10">
        <f t="shared" si="61"/>
        <v>164.32333333333335</v>
      </c>
      <c r="T537">
        <v>165</v>
      </c>
      <c r="U537">
        <f t="shared" si="62"/>
        <v>10.5</v>
      </c>
    </row>
    <row r="538" spans="1:21" ht="14.25" customHeight="1" x14ac:dyDescent="0.35">
      <c r="A538" s="6" t="s">
        <v>1848</v>
      </c>
      <c r="B538" s="6" t="s">
        <v>1849</v>
      </c>
      <c r="C538" s="6" t="s">
        <v>1850</v>
      </c>
      <c r="D538" s="6" t="s">
        <v>165</v>
      </c>
      <c r="E538" s="7" t="s">
        <v>23</v>
      </c>
      <c r="F538" s="6">
        <v>85297</v>
      </c>
      <c r="G538" s="6" t="s">
        <v>125</v>
      </c>
      <c r="H538" s="6" t="s">
        <v>126</v>
      </c>
      <c r="I538" s="6" t="s">
        <v>26</v>
      </c>
      <c r="J538" s="6" t="b">
        <v>1</v>
      </c>
      <c r="K538" s="6" t="s">
        <v>27</v>
      </c>
      <c r="L538" s="6">
        <v>41.2</v>
      </c>
      <c r="M538" s="6">
        <v>154.5</v>
      </c>
      <c r="N538" s="8">
        <f t="shared" si="56"/>
        <v>76.679999999999993</v>
      </c>
      <c r="O538" s="8">
        <f t="shared" si="57"/>
        <v>1971.88</v>
      </c>
      <c r="P538" s="8">
        <f t="shared" si="58"/>
        <v>1971.88</v>
      </c>
      <c r="Q538" s="8">
        <f t="shared" si="59"/>
        <v>0</v>
      </c>
      <c r="R538" s="9">
        <f t="shared" si="60"/>
        <v>1971.88</v>
      </c>
      <c r="S538" s="10">
        <f t="shared" si="61"/>
        <v>164.32333333333335</v>
      </c>
      <c r="T538">
        <v>165</v>
      </c>
      <c r="U538">
        <f t="shared" si="62"/>
        <v>10.5</v>
      </c>
    </row>
    <row r="539" spans="1:21" ht="14.25" customHeight="1" x14ac:dyDescent="0.35">
      <c r="A539" s="6" t="s">
        <v>1851</v>
      </c>
      <c r="B539" s="6" t="s">
        <v>1852</v>
      </c>
      <c r="C539" s="6" t="s">
        <v>1853</v>
      </c>
      <c r="D539" s="6" t="s">
        <v>44</v>
      </c>
      <c r="E539" s="7" t="s">
        <v>23</v>
      </c>
      <c r="F539" s="6">
        <v>85013</v>
      </c>
      <c r="G539" s="6" t="s">
        <v>213</v>
      </c>
      <c r="H539" s="6" t="s">
        <v>202</v>
      </c>
      <c r="I539" s="6" t="s">
        <v>26</v>
      </c>
      <c r="J539" s="6" t="b">
        <v>1</v>
      </c>
      <c r="K539" s="6" t="s">
        <v>27</v>
      </c>
      <c r="L539" s="6">
        <v>41.2</v>
      </c>
      <c r="M539" s="6">
        <v>154.5</v>
      </c>
      <c r="N539" s="8">
        <f t="shared" si="56"/>
        <v>76.679999999999993</v>
      </c>
      <c r="O539" s="8">
        <f t="shared" si="57"/>
        <v>1971.88</v>
      </c>
      <c r="P539" s="8">
        <f t="shared" si="58"/>
        <v>1971.88</v>
      </c>
      <c r="Q539" s="8">
        <f t="shared" si="59"/>
        <v>0</v>
      </c>
      <c r="R539" s="9">
        <f t="shared" si="60"/>
        <v>1971.88</v>
      </c>
      <c r="S539" s="10">
        <f t="shared" si="61"/>
        <v>164.32333333333335</v>
      </c>
      <c r="T539">
        <v>165</v>
      </c>
      <c r="U539">
        <f t="shared" si="62"/>
        <v>10.5</v>
      </c>
    </row>
    <row r="540" spans="1:21" ht="14.25" customHeight="1" x14ac:dyDescent="0.35">
      <c r="A540" s="6" t="s">
        <v>1854</v>
      </c>
      <c r="B540" s="6" t="s">
        <v>1855</v>
      </c>
      <c r="C540" s="6" t="s">
        <v>1856</v>
      </c>
      <c r="D540" s="6" t="s">
        <v>44</v>
      </c>
      <c r="E540" s="7" t="s">
        <v>23</v>
      </c>
      <c r="F540" s="6">
        <v>85035</v>
      </c>
      <c r="G540" s="6" t="s">
        <v>72</v>
      </c>
      <c r="H540" s="6" t="s">
        <v>73</v>
      </c>
      <c r="I540" s="6" t="s">
        <v>26</v>
      </c>
      <c r="J540" s="6" t="b">
        <v>1</v>
      </c>
      <c r="K540" s="6" t="s">
        <v>27</v>
      </c>
      <c r="L540" s="6">
        <v>41.2</v>
      </c>
      <c r="M540" s="6">
        <v>154.5</v>
      </c>
      <c r="N540" s="8">
        <f t="shared" si="56"/>
        <v>76.679999999999993</v>
      </c>
      <c r="O540" s="8">
        <f t="shared" si="57"/>
        <v>1971.88</v>
      </c>
      <c r="P540" s="8">
        <f t="shared" si="58"/>
        <v>1971.88</v>
      </c>
      <c r="Q540" s="8">
        <f t="shared" si="59"/>
        <v>0</v>
      </c>
      <c r="R540" s="9">
        <f t="shared" si="60"/>
        <v>1971.88</v>
      </c>
      <c r="S540" s="10">
        <f t="shared" si="61"/>
        <v>164.32333333333335</v>
      </c>
      <c r="T540">
        <v>165</v>
      </c>
      <c r="U540">
        <f t="shared" si="62"/>
        <v>10.5</v>
      </c>
    </row>
    <row r="541" spans="1:21" ht="14.25" customHeight="1" x14ac:dyDescent="0.35">
      <c r="A541" s="6" t="s">
        <v>1857</v>
      </c>
      <c r="B541" s="6" t="s">
        <v>1858</v>
      </c>
      <c r="C541" s="6" t="s">
        <v>1859</v>
      </c>
      <c r="D541" s="6" t="s">
        <v>454</v>
      </c>
      <c r="E541" s="7" t="s">
        <v>23</v>
      </c>
      <c r="F541" s="6">
        <v>85338</v>
      </c>
      <c r="G541" s="6" t="s">
        <v>38</v>
      </c>
      <c r="H541" s="6" t="s">
        <v>378</v>
      </c>
      <c r="I541" s="6" t="s">
        <v>57</v>
      </c>
      <c r="J541" s="6" t="b">
        <v>1</v>
      </c>
      <c r="K541" s="6" t="s">
        <v>27</v>
      </c>
      <c r="L541" s="6">
        <v>41.2</v>
      </c>
      <c r="M541" s="6">
        <v>154.5</v>
      </c>
      <c r="N541" s="8">
        <f t="shared" si="56"/>
        <v>76.679999999999993</v>
      </c>
      <c r="O541" s="8">
        <f t="shared" si="57"/>
        <v>1971.88</v>
      </c>
      <c r="P541" s="8">
        <f t="shared" si="58"/>
        <v>1971.88</v>
      </c>
      <c r="Q541" s="8">
        <f t="shared" si="59"/>
        <v>0</v>
      </c>
      <c r="R541" s="9">
        <f t="shared" si="60"/>
        <v>1971.88</v>
      </c>
      <c r="S541" s="10">
        <f t="shared" si="61"/>
        <v>164.32333333333335</v>
      </c>
      <c r="T541">
        <v>165</v>
      </c>
      <c r="U541">
        <f t="shared" si="62"/>
        <v>10.5</v>
      </c>
    </row>
    <row r="542" spans="1:21" ht="14.25" customHeight="1" x14ac:dyDescent="0.35">
      <c r="A542" s="6" t="s">
        <v>1860</v>
      </c>
      <c r="B542" s="6" t="s">
        <v>1861</v>
      </c>
      <c r="C542" s="6" t="s">
        <v>1862</v>
      </c>
      <c r="D542" s="6" t="s">
        <v>77</v>
      </c>
      <c r="E542" s="7" t="s">
        <v>23</v>
      </c>
      <c r="F542" s="6">
        <v>85308</v>
      </c>
      <c r="G542" s="6" t="s">
        <v>78</v>
      </c>
      <c r="H542" s="6" t="s">
        <v>79</v>
      </c>
      <c r="I542" s="6" t="s">
        <v>110</v>
      </c>
      <c r="J542" s="6" t="b">
        <v>1</v>
      </c>
      <c r="K542" s="6" t="s">
        <v>27</v>
      </c>
      <c r="L542" s="6">
        <v>41.2</v>
      </c>
      <c r="M542" s="6">
        <v>154.5</v>
      </c>
      <c r="N542" s="8">
        <f t="shared" si="56"/>
        <v>76.679999999999993</v>
      </c>
      <c r="O542" s="8">
        <f t="shared" si="57"/>
        <v>1971.88</v>
      </c>
      <c r="P542" s="8">
        <f t="shared" si="58"/>
        <v>1971.88</v>
      </c>
      <c r="Q542" s="8">
        <f t="shared" si="59"/>
        <v>0</v>
      </c>
      <c r="R542" s="9">
        <f t="shared" si="60"/>
        <v>1971.88</v>
      </c>
      <c r="S542" s="10">
        <f t="shared" si="61"/>
        <v>164.32333333333335</v>
      </c>
      <c r="T542">
        <v>165</v>
      </c>
      <c r="U542">
        <f t="shared" si="62"/>
        <v>10.5</v>
      </c>
    </row>
    <row r="543" spans="1:21" ht="14.25" customHeight="1" x14ac:dyDescent="0.35">
      <c r="A543" s="6" t="s">
        <v>1863</v>
      </c>
      <c r="B543" s="6" t="s">
        <v>1864</v>
      </c>
      <c r="C543" s="6" t="s">
        <v>1865</v>
      </c>
      <c r="D543" s="6" t="s">
        <v>31</v>
      </c>
      <c r="E543" s="7" t="s">
        <v>23</v>
      </c>
      <c r="F543" s="6">
        <v>85254</v>
      </c>
      <c r="G543" s="6" t="s">
        <v>45</v>
      </c>
      <c r="H543" s="6" t="s">
        <v>291</v>
      </c>
      <c r="I543" s="6" t="s">
        <v>26</v>
      </c>
      <c r="J543" s="6" t="b">
        <v>1</v>
      </c>
      <c r="K543" s="6" t="s">
        <v>27</v>
      </c>
      <c r="L543" s="6">
        <v>41.2</v>
      </c>
      <c r="M543" s="6">
        <v>154.5</v>
      </c>
      <c r="N543" s="8">
        <f t="shared" si="56"/>
        <v>76.679999999999993</v>
      </c>
      <c r="O543" s="8">
        <f t="shared" si="57"/>
        <v>1971.88</v>
      </c>
      <c r="P543" s="8">
        <f t="shared" si="58"/>
        <v>1971.88</v>
      </c>
      <c r="Q543" s="8">
        <f t="shared" si="59"/>
        <v>0</v>
      </c>
      <c r="R543" s="9">
        <f t="shared" si="60"/>
        <v>1971.88</v>
      </c>
      <c r="S543" s="10">
        <f t="shared" si="61"/>
        <v>164.32333333333335</v>
      </c>
      <c r="T543">
        <v>165</v>
      </c>
      <c r="U543">
        <f t="shared" si="62"/>
        <v>10.5</v>
      </c>
    </row>
    <row r="544" spans="1:21" ht="14.25" customHeight="1" x14ac:dyDescent="0.35">
      <c r="A544" s="6" t="s">
        <v>1866</v>
      </c>
      <c r="B544" s="6" t="s">
        <v>1867</v>
      </c>
      <c r="C544" s="6" t="s">
        <v>1868</v>
      </c>
      <c r="D544" s="6" t="s">
        <v>22</v>
      </c>
      <c r="E544" s="7" t="s">
        <v>23</v>
      </c>
      <c r="F544" s="6">
        <v>85286</v>
      </c>
      <c r="G544" s="6" t="s">
        <v>125</v>
      </c>
      <c r="H544" s="6" t="s">
        <v>126</v>
      </c>
      <c r="I544" s="6" t="s">
        <v>26</v>
      </c>
      <c r="J544" s="6" t="b">
        <v>1</v>
      </c>
      <c r="K544" s="6" t="s">
        <v>27</v>
      </c>
      <c r="L544" s="6">
        <v>41.2</v>
      </c>
      <c r="M544" s="6">
        <v>154.5</v>
      </c>
      <c r="N544" s="8">
        <f t="shared" si="56"/>
        <v>76.679999999999993</v>
      </c>
      <c r="O544" s="8">
        <f t="shared" si="57"/>
        <v>1971.88</v>
      </c>
      <c r="P544" s="8">
        <f t="shared" si="58"/>
        <v>1971.88</v>
      </c>
      <c r="Q544" s="8">
        <f t="shared" si="59"/>
        <v>0</v>
      </c>
      <c r="R544" s="9">
        <f t="shared" si="60"/>
        <v>1971.88</v>
      </c>
      <c r="S544" s="10">
        <f t="shared" si="61"/>
        <v>164.32333333333335</v>
      </c>
      <c r="T544">
        <v>165</v>
      </c>
      <c r="U544">
        <f t="shared" si="62"/>
        <v>10.5</v>
      </c>
    </row>
    <row r="545" spans="1:21" ht="14.25" customHeight="1" x14ac:dyDescent="0.35">
      <c r="A545" s="6" t="s">
        <v>1869</v>
      </c>
      <c r="B545" s="6" t="s">
        <v>1870</v>
      </c>
      <c r="C545" s="6" t="s">
        <v>1871</v>
      </c>
      <c r="D545" s="6" t="s">
        <v>22</v>
      </c>
      <c r="E545" s="7" t="s">
        <v>23</v>
      </c>
      <c r="F545" s="6">
        <v>85286</v>
      </c>
      <c r="G545" s="6" t="s">
        <v>125</v>
      </c>
      <c r="H545" s="6" t="s">
        <v>126</v>
      </c>
      <c r="I545" s="6" t="s">
        <v>26</v>
      </c>
      <c r="J545" s="6" t="b">
        <v>1</v>
      </c>
      <c r="K545" s="6" t="s">
        <v>27</v>
      </c>
      <c r="L545" s="6">
        <v>41.2</v>
      </c>
      <c r="M545" s="6">
        <v>154.5</v>
      </c>
      <c r="N545" s="8">
        <f t="shared" si="56"/>
        <v>76.679999999999993</v>
      </c>
      <c r="O545" s="8">
        <f t="shared" si="57"/>
        <v>1971.88</v>
      </c>
      <c r="P545" s="8">
        <f t="shared" si="58"/>
        <v>1971.88</v>
      </c>
      <c r="Q545" s="8">
        <f t="shared" si="59"/>
        <v>0</v>
      </c>
      <c r="R545" s="9">
        <f t="shared" si="60"/>
        <v>1971.88</v>
      </c>
      <c r="S545" s="10">
        <f t="shared" si="61"/>
        <v>164.32333333333335</v>
      </c>
      <c r="T545">
        <v>165</v>
      </c>
      <c r="U545">
        <f t="shared" si="62"/>
        <v>10.5</v>
      </c>
    </row>
    <row r="546" spans="1:21" ht="14.25" customHeight="1" x14ac:dyDescent="0.35">
      <c r="A546" s="6" t="s">
        <v>1872</v>
      </c>
      <c r="B546" s="6" t="s">
        <v>1873</v>
      </c>
      <c r="C546" s="6" t="s">
        <v>1874</v>
      </c>
      <c r="D546" s="6" t="s">
        <v>71</v>
      </c>
      <c r="E546" s="7" t="s">
        <v>23</v>
      </c>
      <c r="F546" s="6">
        <v>85382</v>
      </c>
      <c r="G546" s="6" t="s">
        <v>78</v>
      </c>
      <c r="H546" s="6" t="s">
        <v>281</v>
      </c>
      <c r="I546" s="6" t="s">
        <v>26</v>
      </c>
      <c r="J546" s="6" t="b">
        <v>1</v>
      </c>
      <c r="K546" s="6" t="s">
        <v>27</v>
      </c>
      <c r="L546" s="6">
        <v>41.2</v>
      </c>
      <c r="M546" s="6">
        <v>154.5</v>
      </c>
      <c r="N546" s="8">
        <f t="shared" si="56"/>
        <v>76.679999999999993</v>
      </c>
      <c r="O546" s="8">
        <f t="shared" si="57"/>
        <v>1971.88</v>
      </c>
      <c r="P546" s="8">
        <f t="shared" si="58"/>
        <v>1971.88</v>
      </c>
      <c r="Q546" s="8">
        <f t="shared" si="59"/>
        <v>0</v>
      </c>
      <c r="R546" s="9">
        <f t="shared" si="60"/>
        <v>1971.88</v>
      </c>
      <c r="S546" s="10">
        <f t="shared" si="61"/>
        <v>164.32333333333335</v>
      </c>
      <c r="T546">
        <v>165</v>
      </c>
      <c r="U546">
        <f t="shared" si="62"/>
        <v>10.5</v>
      </c>
    </row>
    <row r="547" spans="1:21" ht="14.25" customHeight="1" x14ac:dyDescent="0.35">
      <c r="A547" s="6" t="s">
        <v>1875</v>
      </c>
      <c r="B547" s="6" t="s">
        <v>1876</v>
      </c>
      <c r="C547" s="6" t="s">
        <v>1877</v>
      </c>
      <c r="D547" s="6" t="s">
        <v>165</v>
      </c>
      <c r="E547" s="7" t="s">
        <v>23</v>
      </c>
      <c r="F547" s="6">
        <v>85297</v>
      </c>
      <c r="G547" s="6" t="s">
        <v>125</v>
      </c>
      <c r="H547" s="6" t="s">
        <v>225</v>
      </c>
      <c r="I547" s="6" t="s">
        <v>26</v>
      </c>
      <c r="J547" s="6" t="b">
        <v>1</v>
      </c>
      <c r="K547" s="6" t="s">
        <v>27</v>
      </c>
      <c r="L547" s="6">
        <v>41.2</v>
      </c>
      <c r="M547" s="6">
        <v>154.5</v>
      </c>
      <c r="N547" s="8">
        <f t="shared" si="56"/>
        <v>76.679999999999993</v>
      </c>
      <c r="O547" s="8">
        <f t="shared" si="57"/>
        <v>1971.88</v>
      </c>
      <c r="P547" s="8">
        <f t="shared" si="58"/>
        <v>1971.88</v>
      </c>
      <c r="Q547" s="8">
        <f t="shared" si="59"/>
        <v>0</v>
      </c>
      <c r="R547" s="9">
        <f t="shared" si="60"/>
        <v>1971.88</v>
      </c>
      <c r="S547" s="10">
        <f t="shared" si="61"/>
        <v>164.32333333333335</v>
      </c>
      <c r="T547">
        <v>165</v>
      </c>
      <c r="U547">
        <f t="shared" si="62"/>
        <v>10.5</v>
      </c>
    </row>
    <row r="548" spans="1:21" ht="14.25" customHeight="1" x14ac:dyDescent="0.35">
      <c r="A548" s="6" t="s">
        <v>1878</v>
      </c>
      <c r="B548" s="6" t="s">
        <v>1879</v>
      </c>
      <c r="C548" s="6" t="s">
        <v>1880</v>
      </c>
      <c r="D548" s="6" t="s">
        <v>44</v>
      </c>
      <c r="E548" s="7" t="s">
        <v>23</v>
      </c>
      <c r="F548" s="6">
        <v>85021</v>
      </c>
      <c r="G548" s="6" t="s">
        <v>72</v>
      </c>
      <c r="H548" s="6" t="s">
        <v>73</v>
      </c>
      <c r="I548" s="6" t="s">
        <v>26</v>
      </c>
      <c r="J548" s="6" t="b">
        <v>1</v>
      </c>
      <c r="K548" s="6" t="s">
        <v>27</v>
      </c>
      <c r="L548" s="6">
        <v>41.2</v>
      </c>
      <c r="M548" s="6">
        <v>154.5</v>
      </c>
      <c r="N548" s="8">
        <f t="shared" si="56"/>
        <v>76.679999999999993</v>
      </c>
      <c r="O548" s="8">
        <f t="shared" si="57"/>
        <v>1971.88</v>
      </c>
      <c r="P548" s="8">
        <f t="shared" si="58"/>
        <v>1971.88</v>
      </c>
      <c r="Q548" s="8">
        <f t="shared" si="59"/>
        <v>0</v>
      </c>
      <c r="R548" s="9">
        <f t="shared" si="60"/>
        <v>1971.88</v>
      </c>
      <c r="S548" s="10">
        <f t="shared" si="61"/>
        <v>164.32333333333335</v>
      </c>
      <c r="T548">
        <v>165</v>
      </c>
      <c r="U548">
        <f t="shared" si="62"/>
        <v>10.5</v>
      </c>
    </row>
    <row r="549" spans="1:21" ht="14.25" customHeight="1" x14ac:dyDescent="0.35">
      <c r="A549" s="6" t="s">
        <v>1881</v>
      </c>
      <c r="B549" s="6" t="s">
        <v>1882</v>
      </c>
      <c r="C549" s="6" t="s">
        <v>1883</v>
      </c>
      <c r="D549" s="6" t="s">
        <v>224</v>
      </c>
      <c r="E549" s="7" t="s">
        <v>23</v>
      </c>
      <c r="F549" s="6">
        <v>85248</v>
      </c>
      <c r="G549" s="6" t="s">
        <v>125</v>
      </c>
      <c r="H549" s="6" t="s">
        <v>126</v>
      </c>
      <c r="I549" s="6" t="s">
        <v>26</v>
      </c>
      <c r="J549" s="6" t="b">
        <v>1</v>
      </c>
      <c r="K549" s="6" t="s">
        <v>27</v>
      </c>
      <c r="L549" s="6">
        <v>41.2</v>
      </c>
      <c r="M549" s="6">
        <v>154.5</v>
      </c>
      <c r="N549" s="8">
        <f t="shared" si="56"/>
        <v>76.679999999999993</v>
      </c>
      <c r="O549" s="8">
        <f t="shared" si="57"/>
        <v>1971.88</v>
      </c>
      <c r="P549" s="8">
        <f t="shared" si="58"/>
        <v>1971.88</v>
      </c>
      <c r="Q549" s="8">
        <f t="shared" si="59"/>
        <v>0</v>
      </c>
      <c r="R549" s="9">
        <f t="shared" si="60"/>
        <v>1971.88</v>
      </c>
      <c r="S549" s="10">
        <f t="shared" si="61"/>
        <v>164.32333333333335</v>
      </c>
      <c r="T549">
        <v>165</v>
      </c>
      <c r="U549">
        <f t="shared" si="62"/>
        <v>10.5</v>
      </c>
    </row>
    <row r="550" spans="1:21" ht="14.25" customHeight="1" x14ac:dyDescent="0.35">
      <c r="A550" s="6" t="s">
        <v>1884</v>
      </c>
      <c r="B550" s="6" t="s">
        <v>1885</v>
      </c>
      <c r="C550" s="6" t="s">
        <v>1886</v>
      </c>
      <c r="D550" s="6" t="s">
        <v>31</v>
      </c>
      <c r="E550" s="7" t="s">
        <v>23</v>
      </c>
      <c r="F550" s="6">
        <v>85266</v>
      </c>
      <c r="G550" s="6" t="s">
        <v>32</v>
      </c>
      <c r="H550" s="6" t="s">
        <v>33</v>
      </c>
      <c r="I550" s="6" t="s">
        <v>26</v>
      </c>
      <c r="J550" s="6" t="b">
        <v>1</v>
      </c>
      <c r="K550" s="6" t="s">
        <v>27</v>
      </c>
      <c r="L550" s="6">
        <v>41.2</v>
      </c>
      <c r="M550" s="6">
        <v>154.5</v>
      </c>
      <c r="N550" s="8">
        <f t="shared" si="56"/>
        <v>76.679999999999993</v>
      </c>
      <c r="O550" s="8">
        <f t="shared" si="57"/>
        <v>1971.88</v>
      </c>
      <c r="P550" s="8">
        <f t="shared" si="58"/>
        <v>1971.88</v>
      </c>
      <c r="Q550" s="8">
        <f t="shared" si="59"/>
        <v>0</v>
      </c>
      <c r="R550" s="9">
        <f t="shared" si="60"/>
        <v>1971.88</v>
      </c>
      <c r="S550" s="10">
        <f t="shared" si="61"/>
        <v>164.32333333333335</v>
      </c>
      <c r="T550">
        <v>165</v>
      </c>
      <c r="U550">
        <f t="shared" si="62"/>
        <v>10.5</v>
      </c>
    </row>
    <row r="551" spans="1:21" ht="14.25" customHeight="1" x14ac:dyDescent="0.35">
      <c r="A551" s="6" t="s">
        <v>1887</v>
      </c>
      <c r="B551" s="6" t="s">
        <v>1888</v>
      </c>
      <c r="C551" s="6" t="s">
        <v>1889</v>
      </c>
      <c r="D551" s="6" t="s">
        <v>44</v>
      </c>
      <c r="E551" s="7" t="s">
        <v>23</v>
      </c>
      <c r="F551" s="6">
        <v>85339</v>
      </c>
      <c r="G551" s="6" t="s">
        <v>213</v>
      </c>
      <c r="H551" s="6" t="s">
        <v>39</v>
      </c>
      <c r="I551" s="6" t="s">
        <v>110</v>
      </c>
      <c r="J551" s="6" t="b">
        <v>1</v>
      </c>
      <c r="K551" s="6" t="s">
        <v>27</v>
      </c>
      <c r="L551" s="6">
        <v>41.2</v>
      </c>
      <c r="M551" s="6">
        <v>154.5</v>
      </c>
      <c r="N551" s="8">
        <f t="shared" si="56"/>
        <v>76.679999999999993</v>
      </c>
      <c r="O551" s="8">
        <f t="shared" si="57"/>
        <v>1971.88</v>
      </c>
      <c r="P551" s="8">
        <f t="shared" si="58"/>
        <v>1971.88</v>
      </c>
      <c r="Q551" s="8">
        <f t="shared" si="59"/>
        <v>0</v>
      </c>
      <c r="R551" s="9">
        <f t="shared" si="60"/>
        <v>1971.88</v>
      </c>
      <c r="S551" s="10">
        <f t="shared" si="61"/>
        <v>164.32333333333335</v>
      </c>
      <c r="T551">
        <v>165</v>
      </c>
      <c r="U551">
        <f t="shared" si="62"/>
        <v>10.5</v>
      </c>
    </row>
    <row r="552" spans="1:21" ht="14.25" customHeight="1" x14ac:dyDescent="0.35">
      <c r="A552" s="6" t="s">
        <v>1890</v>
      </c>
      <c r="B552" s="6" t="s">
        <v>1891</v>
      </c>
      <c r="C552" s="6" t="s">
        <v>1892</v>
      </c>
      <c r="D552" s="6" t="s">
        <v>31</v>
      </c>
      <c r="E552" s="7" t="s">
        <v>23</v>
      </c>
      <c r="F552" s="6">
        <v>85254</v>
      </c>
      <c r="G552" s="6" t="s">
        <v>45</v>
      </c>
      <c r="H552" s="6" t="s">
        <v>291</v>
      </c>
      <c r="I552" s="6" t="s">
        <v>26</v>
      </c>
      <c r="J552" s="6" t="b">
        <v>1</v>
      </c>
      <c r="K552" s="6" t="s">
        <v>27</v>
      </c>
      <c r="L552" s="6">
        <v>41.2</v>
      </c>
      <c r="M552" s="6">
        <v>154.5</v>
      </c>
      <c r="N552" s="8">
        <f t="shared" si="56"/>
        <v>76.679999999999993</v>
      </c>
      <c r="O552" s="8">
        <f t="shared" si="57"/>
        <v>1971.88</v>
      </c>
      <c r="P552" s="8">
        <f t="shared" si="58"/>
        <v>1971.88</v>
      </c>
      <c r="Q552" s="8">
        <f t="shared" si="59"/>
        <v>0</v>
      </c>
      <c r="R552" s="9">
        <f t="shared" si="60"/>
        <v>1971.88</v>
      </c>
      <c r="S552" s="10">
        <f t="shared" si="61"/>
        <v>164.32333333333335</v>
      </c>
      <c r="T552">
        <v>165</v>
      </c>
      <c r="U552">
        <f t="shared" si="62"/>
        <v>10.5</v>
      </c>
    </row>
    <row r="553" spans="1:21" ht="14.25" customHeight="1" x14ac:dyDescent="0.35">
      <c r="A553" s="6" t="s">
        <v>1893</v>
      </c>
      <c r="B553" s="6" t="s">
        <v>1894</v>
      </c>
      <c r="C553" s="6" t="s">
        <v>1895</v>
      </c>
      <c r="D553" s="6" t="s">
        <v>44</v>
      </c>
      <c r="E553" s="7" t="s">
        <v>23</v>
      </c>
      <c r="F553" s="6">
        <v>85050</v>
      </c>
      <c r="G553" s="6" t="s">
        <v>173</v>
      </c>
      <c r="H553" s="6" t="s">
        <v>33</v>
      </c>
      <c r="I553" s="6" t="s">
        <v>26</v>
      </c>
      <c r="J553" s="6" t="b">
        <v>1</v>
      </c>
      <c r="K553" s="6" t="s">
        <v>27</v>
      </c>
      <c r="L553" s="6">
        <v>41.2</v>
      </c>
      <c r="M553" s="6">
        <v>154.5</v>
      </c>
      <c r="N553" s="8">
        <f t="shared" si="56"/>
        <v>76.679999999999993</v>
      </c>
      <c r="O553" s="8">
        <f t="shared" si="57"/>
        <v>1971.88</v>
      </c>
      <c r="P553" s="8">
        <f t="shared" si="58"/>
        <v>1971.88</v>
      </c>
      <c r="Q553" s="8">
        <f t="shared" si="59"/>
        <v>0</v>
      </c>
      <c r="R553" s="9">
        <f t="shared" si="60"/>
        <v>1971.88</v>
      </c>
      <c r="S553" s="10">
        <f t="shared" si="61"/>
        <v>164.32333333333335</v>
      </c>
      <c r="T553">
        <v>165</v>
      </c>
      <c r="U553">
        <f t="shared" si="62"/>
        <v>10.5</v>
      </c>
    </row>
    <row r="554" spans="1:21" ht="14.25" customHeight="1" x14ac:dyDescent="0.35">
      <c r="A554" s="6" t="s">
        <v>1896</v>
      </c>
      <c r="B554" s="6" t="s">
        <v>1897</v>
      </c>
      <c r="C554" s="6" t="s">
        <v>1898</v>
      </c>
      <c r="D554" s="6" t="s">
        <v>65</v>
      </c>
      <c r="E554" s="7" t="s">
        <v>23</v>
      </c>
      <c r="F554" s="6">
        <v>85209</v>
      </c>
      <c r="G554" s="6" t="s">
        <v>125</v>
      </c>
      <c r="H554" s="6" t="s">
        <v>180</v>
      </c>
      <c r="I554" s="6" t="s">
        <v>26</v>
      </c>
      <c r="J554" s="6" t="b">
        <v>1</v>
      </c>
      <c r="K554" s="6" t="s">
        <v>27</v>
      </c>
      <c r="L554" s="6">
        <v>41.2</v>
      </c>
      <c r="M554" s="6">
        <v>154.5</v>
      </c>
      <c r="N554" s="8">
        <f t="shared" si="56"/>
        <v>76.679999999999993</v>
      </c>
      <c r="O554" s="8">
        <f t="shared" si="57"/>
        <v>1971.88</v>
      </c>
      <c r="P554" s="8">
        <f t="shared" si="58"/>
        <v>1971.88</v>
      </c>
      <c r="Q554" s="8">
        <f t="shared" si="59"/>
        <v>0</v>
      </c>
      <c r="R554" s="9">
        <f t="shared" si="60"/>
        <v>1971.88</v>
      </c>
      <c r="S554" s="10">
        <f t="shared" si="61"/>
        <v>164.32333333333335</v>
      </c>
      <c r="T554">
        <v>165</v>
      </c>
      <c r="U554">
        <f t="shared" si="62"/>
        <v>10.5</v>
      </c>
    </row>
    <row r="555" spans="1:21" ht="14.25" customHeight="1" x14ac:dyDescent="0.35">
      <c r="A555" s="6" t="s">
        <v>1899</v>
      </c>
      <c r="B555" s="6" t="s">
        <v>1900</v>
      </c>
      <c r="C555" s="6" t="s">
        <v>1901</v>
      </c>
      <c r="D555" s="6" t="s">
        <v>37</v>
      </c>
      <c r="E555" s="7" t="s">
        <v>23</v>
      </c>
      <c r="F555" s="6">
        <v>85392</v>
      </c>
      <c r="G555" s="6" t="s">
        <v>38</v>
      </c>
      <c r="H555" s="6" t="s">
        <v>378</v>
      </c>
      <c r="I555" s="6" t="s">
        <v>40</v>
      </c>
      <c r="J555" s="6" t="b">
        <v>1</v>
      </c>
      <c r="K555" s="6" t="s">
        <v>27</v>
      </c>
      <c r="L555" s="6">
        <v>41.2</v>
      </c>
      <c r="M555" s="6">
        <v>154.5</v>
      </c>
      <c r="N555" s="8">
        <f t="shared" si="56"/>
        <v>76.679999999999993</v>
      </c>
      <c r="O555" s="8">
        <f t="shared" si="57"/>
        <v>1971.88</v>
      </c>
      <c r="P555" s="8">
        <f t="shared" si="58"/>
        <v>1971.88</v>
      </c>
      <c r="Q555" s="8">
        <f t="shared" si="59"/>
        <v>0</v>
      </c>
      <c r="R555" s="9">
        <f t="shared" si="60"/>
        <v>1971.88</v>
      </c>
      <c r="S555" s="10">
        <f t="shared" si="61"/>
        <v>164.32333333333335</v>
      </c>
      <c r="T555">
        <v>165</v>
      </c>
      <c r="U555">
        <f t="shared" si="62"/>
        <v>10.5</v>
      </c>
    </row>
    <row r="556" spans="1:21" ht="14.25" customHeight="1" x14ac:dyDescent="0.35">
      <c r="A556" s="6" t="s">
        <v>1902</v>
      </c>
      <c r="B556" s="6" t="s">
        <v>1903</v>
      </c>
      <c r="C556" s="6" t="s">
        <v>1904</v>
      </c>
      <c r="D556" s="6" t="s">
        <v>31</v>
      </c>
      <c r="E556" s="7" t="s">
        <v>23</v>
      </c>
      <c r="F556" s="6">
        <v>85257</v>
      </c>
      <c r="G556" s="6" t="s">
        <v>49</v>
      </c>
      <c r="H556" s="6" t="s">
        <v>202</v>
      </c>
      <c r="I556" s="6" t="s">
        <v>26</v>
      </c>
      <c r="J556" s="6" t="b">
        <v>1</v>
      </c>
      <c r="K556" s="6" t="s">
        <v>27</v>
      </c>
      <c r="L556" s="6">
        <v>41.2</v>
      </c>
      <c r="M556" s="6">
        <v>154.5</v>
      </c>
      <c r="N556" s="8">
        <f t="shared" si="56"/>
        <v>76.679999999999993</v>
      </c>
      <c r="O556" s="8">
        <f t="shared" si="57"/>
        <v>1971.88</v>
      </c>
      <c r="P556" s="8">
        <f t="shared" si="58"/>
        <v>1971.88</v>
      </c>
      <c r="Q556" s="8">
        <f t="shared" si="59"/>
        <v>0</v>
      </c>
      <c r="R556" s="9">
        <f t="shared" si="60"/>
        <v>1971.88</v>
      </c>
      <c r="S556" s="10">
        <f t="shared" si="61"/>
        <v>164.32333333333335</v>
      </c>
      <c r="T556">
        <v>165</v>
      </c>
      <c r="U556">
        <f t="shared" si="62"/>
        <v>10.5</v>
      </c>
    </row>
    <row r="557" spans="1:21" ht="14.25" customHeight="1" x14ac:dyDescent="0.35">
      <c r="A557" s="6" t="s">
        <v>1905</v>
      </c>
      <c r="B557" s="6" t="s">
        <v>1906</v>
      </c>
      <c r="C557" s="6" t="s">
        <v>1907</v>
      </c>
      <c r="D557" s="6" t="s">
        <v>71</v>
      </c>
      <c r="E557" s="7" t="s">
        <v>23</v>
      </c>
      <c r="F557" s="6">
        <v>85383</v>
      </c>
      <c r="G557" s="6" t="s">
        <v>78</v>
      </c>
      <c r="H557" s="6" t="s">
        <v>73</v>
      </c>
      <c r="I557" s="6" t="s">
        <v>26</v>
      </c>
      <c r="J557" s="6" t="b">
        <v>1</v>
      </c>
      <c r="K557" s="6" t="s">
        <v>27</v>
      </c>
      <c r="L557" s="6">
        <v>41.2</v>
      </c>
      <c r="M557" s="6">
        <v>154.5</v>
      </c>
      <c r="N557" s="8">
        <f t="shared" si="56"/>
        <v>76.679999999999993</v>
      </c>
      <c r="O557" s="8">
        <f t="shared" si="57"/>
        <v>1971.88</v>
      </c>
      <c r="P557" s="8">
        <f t="shared" si="58"/>
        <v>1971.88</v>
      </c>
      <c r="Q557" s="8">
        <f t="shared" si="59"/>
        <v>0</v>
      </c>
      <c r="R557" s="9">
        <f t="shared" si="60"/>
        <v>1971.88</v>
      </c>
      <c r="S557" s="10">
        <f t="shared" si="61"/>
        <v>164.32333333333335</v>
      </c>
      <c r="T557">
        <v>165</v>
      </c>
      <c r="U557">
        <f t="shared" si="62"/>
        <v>10.5</v>
      </c>
    </row>
    <row r="558" spans="1:21" ht="14.25" customHeight="1" x14ac:dyDescent="0.35">
      <c r="A558" s="6" t="s">
        <v>1908</v>
      </c>
      <c r="B558" s="6" t="s">
        <v>1909</v>
      </c>
      <c r="C558" s="6" t="s">
        <v>1910</v>
      </c>
      <c r="D558" s="6" t="s">
        <v>165</v>
      </c>
      <c r="E558" s="7" t="s">
        <v>23</v>
      </c>
      <c r="F558" s="6">
        <v>85295</v>
      </c>
      <c r="G558" s="6" t="s">
        <v>125</v>
      </c>
      <c r="H558" s="6" t="s">
        <v>126</v>
      </c>
      <c r="I558" s="6" t="s">
        <v>26</v>
      </c>
      <c r="J558" s="6" t="b">
        <v>1</v>
      </c>
      <c r="K558" s="6" t="s">
        <v>27</v>
      </c>
      <c r="L558" s="6">
        <v>41.2</v>
      </c>
      <c r="M558" s="6">
        <v>154.5</v>
      </c>
      <c r="N558" s="8">
        <f t="shared" si="56"/>
        <v>76.679999999999993</v>
      </c>
      <c r="O558" s="8">
        <f t="shared" si="57"/>
        <v>1971.88</v>
      </c>
      <c r="P558" s="8">
        <f t="shared" si="58"/>
        <v>1971.88</v>
      </c>
      <c r="Q558" s="8">
        <f t="shared" si="59"/>
        <v>0</v>
      </c>
      <c r="R558" s="9">
        <f t="shared" si="60"/>
        <v>1971.88</v>
      </c>
      <c r="S558" s="10">
        <f t="shared" si="61"/>
        <v>164.32333333333335</v>
      </c>
      <c r="T558">
        <v>165</v>
      </c>
      <c r="U558">
        <f t="shared" si="62"/>
        <v>10.5</v>
      </c>
    </row>
    <row r="559" spans="1:21" ht="14.25" customHeight="1" x14ac:dyDescent="0.35">
      <c r="A559" s="6" t="s">
        <v>1911</v>
      </c>
      <c r="B559" s="6" t="s">
        <v>1912</v>
      </c>
      <c r="C559" s="6" t="s">
        <v>1913</v>
      </c>
      <c r="D559" s="6" t="s">
        <v>44</v>
      </c>
      <c r="E559" s="7" t="s">
        <v>23</v>
      </c>
      <c r="F559" s="6">
        <v>85037</v>
      </c>
      <c r="G559" s="6" t="s">
        <v>38</v>
      </c>
      <c r="H559" s="6" t="s">
        <v>268</v>
      </c>
      <c r="I559" s="6" t="s">
        <v>26</v>
      </c>
      <c r="J559" s="6" t="b">
        <v>1</v>
      </c>
      <c r="K559" s="6" t="s">
        <v>27</v>
      </c>
      <c r="L559" s="6">
        <v>41.2</v>
      </c>
      <c r="M559" s="6">
        <v>154.5</v>
      </c>
      <c r="N559" s="8">
        <f t="shared" si="56"/>
        <v>76.679999999999993</v>
      </c>
      <c r="O559" s="8">
        <f t="shared" si="57"/>
        <v>1971.88</v>
      </c>
      <c r="P559" s="8">
        <f t="shared" si="58"/>
        <v>1971.88</v>
      </c>
      <c r="Q559" s="8">
        <f t="shared" si="59"/>
        <v>0</v>
      </c>
      <c r="R559" s="9">
        <f t="shared" si="60"/>
        <v>1971.88</v>
      </c>
      <c r="S559" s="10">
        <f t="shared" si="61"/>
        <v>164.32333333333335</v>
      </c>
      <c r="T559">
        <v>165</v>
      </c>
      <c r="U559">
        <f t="shared" si="62"/>
        <v>10.5</v>
      </c>
    </row>
    <row r="560" spans="1:21" ht="14.25" customHeight="1" x14ac:dyDescent="0.35">
      <c r="A560" s="6" t="s">
        <v>1914</v>
      </c>
      <c r="B560" s="6" t="s">
        <v>1915</v>
      </c>
      <c r="C560" s="6" t="s">
        <v>1916</v>
      </c>
      <c r="D560" s="6" t="s">
        <v>1917</v>
      </c>
      <c r="E560" s="7" t="s">
        <v>23</v>
      </c>
      <c r="F560" s="6">
        <v>85331</v>
      </c>
      <c r="G560" s="6" t="s">
        <v>32</v>
      </c>
      <c r="H560" s="6" t="s">
        <v>169</v>
      </c>
      <c r="I560" s="6" t="s">
        <v>26</v>
      </c>
      <c r="J560" s="6" t="b">
        <v>1</v>
      </c>
      <c r="K560" s="6" t="s">
        <v>27</v>
      </c>
      <c r="L560" s="6">
        <v>41.2</v>
      </c>
      <c r="M560" s="6">
        <v>154.5</v>
      </c>
      <c r="N560" s="8">
        <f t="shared" si="56"/>
        <v>76.679999999999993</v>
      </c>
      <c r="O560" s="8">
        <f t="shared" si="57"/>
        <v>1971.88</v>
      </c>
      <c r="P560" s="8">
        <f t="shared" si="58"/>
        <v>1971.88</v>
      </c>
      <c r="Q560" s="8">
        <f t="shared" si="59"/>
        <v>0</v>
      </c>
      <c r="R560" s="9">
        <f t="shared" si="60"/>
        <v>1971.88</v>
      </c>
      <c r="S560" s="10">
        <f t="shared" si="61"/>
        <v>164.32333333333335</v>
      </c>
      <c r="T560">
        <v>165</v>
      </c>
      <c r="U560">
        <f t="shared" si="62"/>
        <v>10.5</v>
      </c>
    </row>
    <row r="561" spans="1:21" ht="14.25" customHeight="1" x14ac:dyDescent="0.35">
      <c r="A561" s="6" t="s">
        <v>1918</v>
      </c>
      <c r="B561" s="6" t="s">
        <v>1919</v>
      </c>
      <c r="C561" s="6" t="s">
        <v>1920</v>
      </c>
      <c r="D561" s="6" t="s">
        <v>44</v>
      </c>
      <c r="E561" s="7" t="s">
        <v>23</v>
      </c>
      <c r="F561" s="6">
        <v>85027</v>
      </c>
      <c r="G561" s="6" t="s">
        <v>78</v>
      </c>
      <c r="H561" s="6" t="s">
        <v>268</v>
      </c>
      <c r="I561" s="6" t="s">
        <v>110</v>
      </c>
      <c r="J561" s="6" t="b">
        <v>1</v>
      </c>
      <c r="K561" s="6" t="s">
        <v>27</v>
      </c>
      <c r="L561" s="6">
        <v>41.2</v>
      </c>
      <c r="M561" s="6">
        <v>154.5</v>
      </c>
      <c r="N561" s="8">
        <f t="shared" si="56"/>
        <v>76.679999999999993</v>
      </c>
      <c r="O561" s="8">
        <f t="shared" si="57"/>
        <v>1971.88</v>
      </c>
      <c r="P561" s="8">
        <f t="shared" si="58"/>
        <v>1971.88</v>
      </c>
      <c r="Q561" s="8">
        <f t="shared" si="59"/>
        <v>0</v>
      </c>
      <c r="R561" s="9">
        <f t="shared" si="60"/>
        <v>1971.88</v>
      </c>
      <c r="S561" s="10">
        <f t="shared" si="61"/>
        <v>164.32333333333335</v>
      </c>
      <c r="T561">
        <v>165</v>
      </c>
      <c r="U561">
        <f t="shared" si="62"/>
        <v>10.5</v>
      </c>
    </row>
    <row r="562" spans="1:21" ht="14.25" customHeight="1" x14ac:dyDescent="0.35">
      <c r="A562" s="6" t="s">
        <v>1921</v>
      </c>
      <c r="B562" s="6" t="s">
        <v>1922</v>
      </c>
      <c r="C562" s="6" t="s">
        <v>1923</v>
      </c>
      <c r="D562" s="6" t="s">
        <v>77</v>
      </c>
      <c r="E562" s="7" t="s">
        <v>23</v>
      </c>
      <c r="F562" s="6">
        <v>85301</v>
      </c>
      <c r="G562" s="6" t="s">
        <v>72</v>
      </c>
      <c r="H562" s="6" t="s">
        <v>93</v>
      </c>
      <c r="I562" s="6" t="s">
        <v>26</v>
      </c>
      <c r="J562" s="6" t="b">
        <v>1</v>
      </c>
      <c r="K562" s="6" t="s">
        <v>27</v>
      </c>
      <c r="L562" s="6">
        <v>41.2</v>
      </c>
      <c r="M562" s="6">
        <v>154.5</v>
      </c>
      <c r="N562" s="8">
        <f t="shared" si="56"/>
        <v>76.679999999999993</v>
      </c>
      <c r="O562" s="8">
        <f t="shared" si="57"/>
        <v>1971.88</v>
      </c>
      <c r="P562" s="8">
        <f t="shared" si="58"/>
        <v>1971.88</v>
      </c>
      <c r="Q562" s="8">
        <f t="shared" si="59"/>
        <v>0</v>
      </c>
      <c r="R562" s="9">
        <f t="shared" si="60"/>
        <v>1971.88</v>
      </c>
      <c r="S562" s="10">
        <f t="shared" si="61"/>
        <v>164.32333333333335</v>
      </c>
      <c r="T562">
        <v>165</v>
      </c>
      <c r="U562">
        <f t="shared" si="62"/>
        <v>10.5</v>
      </c>
    </row>
    <row r="563" spans="1:21" ht="14.25" customHeight="1" x14ac:dyDescent="0.35">
      <c r="A563" s="6" t="s">
        <v>1924</v>
      </c>
      <c r="B563" s="6" t="s">
        <v>1925</v>
      </c>
      <c r="C563" s="6" t="s">
        <v>1926</v>
      </c>
      <c r="D563" s="6" t="s">
        <v>71</v>
      </c>
      <c r="E563" s="7" t="s">
        <v>23</v>
      </c>
      <c r="F563" s="6">
        <v>85383</v>
      </c>
      <c r="G563" s="6" t="s">
        <v>78</v>
      </c>
      <c r="H563" s="6" t="s">
        <v>73</v>
      </c>
      <c r="I563" s="6" t="s">
        <v>26</v>
      </c>
      <c r="J563" s="6" t="b">
        <v>1</v>
      </c>
      <c r="K563" s="6" t="s">
        <v>27</v>
      </c>
      <c r="L563" s="6">
        <v>41.2</v>
      </c>
      <c r="M563" s="6">
        <v>154.5</v>
      </c>
      <c r="N563" s="8">
        <f t="shared" si="56"/>
        <v>76.679999999999993</v>
      </c>
      <c r="O563" s="8">
        <f t="shared" si="57"/>
        <v>1971.88</v>
      </c>
      <c r="P563" s="8">
        <f t="shared" si="58"/>
        <v>1971.88</v>
      </c>
      <c r="Q563" s="8">
        <f t="shared" si="59"/>
        <v>0</v>
      </c>
      <c r="R563" s="9">
        <f t="shared" si="60"/>
        <v>1971.88</v>
      </c>
      <c r="S563" s="10">
        <f t="shared" si="61"/>
        <v>164.32333333333335</v>
      </c>
      <c r="T563">
        <v>165</v>
      </c>
      <c r="U563">
        <f t="shared" si="62"/>
        <v>10.5</v>
      </c>
    </row>
    <row r="564" spans="1:21" ht="14.25" customHeight="1" x14ac:dyDescent="0.35">
      <c r="A564" s="6" t="s">
        <v>1927</v>
      </c>
      <c r="B564" s="6" t="s">
        <v>1928</v>
      </c>
      <c r="C564" s="6" t="s">
        <v>1929</v>
      </c>
      <c r="D564" s="6" t="s">
        <v>77</v>
      </c>
      <c r="E564" s="7" t="s">
        <v>23</v>
      </c>
      <c r="F564" s="6">
        <v>85310</v>
      </c>
      <c r="G564" s="6" t="s">
        <v>78</v>
      </c>
      <c r="H564" s="6" t="s">
        <v>281</v>
      </c>
      <c r="I564" s="6" t="s">
        <v>40</v>
      </c>
      <c r="J564" s="6" t="b">
        <v>1</v>
      </c>
      <c r="K564" s="6" t="s">
        <v>27</v>
      </c>
      <c r="L564" s="6">
        <v>41.2</v>
      </c>
      <c r="M564" s="6">
        <v>154.5</v>
      </c>
      <c r="N564" s="8">
        <f t="shared" si="56"/>
        <v>76.679999999999993</v>
      </c>
      <c r="O564" s="8">
        <f t="shared" si="57"/>
        <v>1971.88</v>
      </c>
      <c r="P564" s="8">
        <f t="shared" si="58"/>
        <v>1971.88</v>
      </c>
      <c r="Q564" s="8">
        <f t="shared" si="59"/>
        <v>0</v>
      </c>
      <c r="R564" s="9">
        <f t="shared" si="60"/>
        <v>1971.88</v>
      </c>
      <c r="S564" s="10">
        <f t="shared" si="61"/>
        <v>164.32333333333335</v>
      </c>
      <c r="T564">
        <v>165</v>
      </c>
      <c r="U564">
        <f t="shared" si="62"/>
        <v>10.5</v>
      </c>
    </row>
    <row r="565" spans="1:21" ht="14.25" customHeight="1" x14ac:dyDescent="0.35">
      <c r="A565" s="6" t="s">
        <v>1930</v>
      </c>
      <c r="B565" s="6" t="s">
        <v>1931</v>
      </c>
      <c r="C565" s="6" t="s">
        <v>1932</v>
      </c>
      <c r="D565" s="6" t="s">
        <v>22</v>
      </c>
      <c r="E565" s="7" t="s">
        <v>23</v>
      </c>
      <c r="F565" s="6">
        <v>85286</v>
      </c>
      <c r="G565" s="6" t="s">
        <v>125</v>
      </c>
      <c r="H565" s="6" t="s">
        <v>126</v>
      </c>
      <c r="I565" s="6" t="s">
        <v>26</v>
      </c>
      <c r="J565" s="6" t="b">
        <v>1</v>
      </c>
      <c r="K565" s="6" t="s">
        <v>27</v>
      </c>
      <c r="L565" s="6">
        <v>41.2</v>
      </c>
      <c r="M565" s="6">
        <v>154.5</v>
      </c>
      <c r="N565" s="8">
        <f t="shared" si="56"/>
        <v>76.679999999999993</v>
      </c>
      <c r="O565" s="8">
        <f t="shared" si="57"/>
        <v>1971.88</v>
      </c>
      <c r="P565" s="8">
        <f t="shared" si="58"/>
        <v>1971.88</v>
      </c>
      <c r="Q565" s="8">
        <f t="shared" si="59"/>
        <v>0</v>
      </c>
      <c r="R565" s="9">
        <f t="shared" si="60"/>
        <v>1971.88</v>
      </c>
      <c r="S565" s="10">
        <f t="shared" si="61"/>
        <v>164.32333333333335</v>
      </c>
      <c r="T565">
        <v>165</v>
      </c>
      <c r="U565">
        <f t="shared" si="62"/>
        <v>10.5</v>
      </c>
    </row>
    <row r="566" spans="1:21" ht="14.25" customHeight="1" x14ac:dyDescent="0.35">
      <c r="A566" s="6" t="s">
        <v>1933</v>
      </c>
      <c r="B566" s="6" t="s">
        <v>1934</v>
      </c>
      <c r="C566" s="6" t="s">
        <v>1935</v>
      </c>
      <c r="D566" s="6" t="s">
        <v>267</v>
      </c>
      <c r="E566" s="7" t="s">
        <v>23</v>
      </c>
      <c r="F566" s="6">
        <v>85379</v>
      </c>
      <c r="G566" s="6" t="s">
        <v>78</v>
      </c>
      <c r="H566" s="6" t="s">
        <v>281</v>
      </c>
      <c r="I566" s="6" t="s">
        <v>26</v>
      </c>
      <c r="J566" s="6" t="b">
        <v>1</v>
      </c>
      <c r="K566" s="6" t="s">
        <v>27</v>
      </c>
      <c r="L566" s="6">
        <v>41.2</v>
      </c>
      <c r="M566" s="6">
        <v>154.5</v>
      </c>
      <c r="N566" s="8">
        <f t="shared" si="56"/>
        <v>76.679999999999993</v>
      </c>
      <c r="O566" s="8">
        <f t="shared" si="57"/>
        <v>1971.88</v>
      </c>
      <c r="P566" s="8">
        <f t="shared" si="58"/>
        <v>1971.88</v>
      </c>
      <c r="Q566" s="8">
        <f t="shared" si="59"/>
        <v>0</v>
      </c>
      <c r="R566" s="9">
        <f t="shared" si="60"/>
        <v>1971.88</v>
      </c>
      <c r="S566" s="10">
        <f t="shared" si="61"/>
        <v>164.32333333333335</v>
      </c>
      <c r="T566">
        <v>165</v>
      </c>
      <c r="U566">
        <f t="shared" si="62"/>
        <v>10.5</v>
      </c>
    </row>
    <row r="567" spans="1:21" ht="14.25" customHeight="1" x14ac:dyDescent="0.35">
      <c r="A567" s="6" t="s">
        <v>1936</v>
      </c>
      <c r="B567" s="6" t="s">
        <v>1937</v>
      </c>
      <c r="C567" s="6" t="s">
        <v>1938</v>
      </c>
      <c r="D567" s="6" t="s">
        <v>44</v>
      </c>
      <c r="E567" s="7" t="s">
        <v>23</v>
      </c>
      <c r="F567" s="6">
        <v>85021</v>
      </c>
      <c r="G567" s="6" t="s">
        <v>72</v>
      </c>
      <c r="H567" s="6" t="s">
        <v>93</v>
      </c>
      <c r="I567" s="6" t="s">
        <v>26</v>
      </c>
      <c r="J567" s="6" t="b">
        <v>1</v>
      </c>
      <c r="K567" s="6" t="s">
        <v>27</v>
      </c>
      <c r="L567" s="6">
        <v>41.2</v>
      </c>
      <c r="M567" s="6">
        <v>154.5</v>
      </c>
      <c r="N567" s="8">
        <f t="shared" si="56"/>
        <v>76.679999999999993</v>
      </c>
      <c r="O567" s="8">
        <f t="shared" si="57"/>
        <v>1971.88</v>
      </c>
      <c r="P567" s="8">
        <f t="shared" si="58"/>
        <v>1971.88</v>
      </c>
      <c r="Q567" s="8">
        <f t="shared" si="59"/>
        <v>0</v>
      </c>
      <c r="R567" s="9">
        <f t="shared" si="60"/>
        <v>1971.88</v>
      </c>
      <c r="S567" s="10">
        <f t="shared" si="61"/>
        <v>164.32333333333335</v>
      </c>
      <c r="T567">
        <v>165</v>
      </c>
      <c r="U567">
        <f t="shared" si="62"/>
        <v>10.5</v>
      </c>
    </row>
    <row r="568" spans="1:21" ht="14.25" customHeight="1" x14ac:dyDescent="0.35">
      <c r="A568" s="6" t="s">
        <v>1939</v>
      </c>
      <c r="B568" s="6" t="s">
        <v>1940</v>
      </c>
      <c r="C568" s="6" t="s">
        <v>1941</v>
      </c>
      <c r="D568" s="6" t="s">
        <v>992</v>
      </c>
      <c r="E568" s="7" t="s">
        <v>23</v>
      </c>
      <c r="F568" s="6">
        <v>85335</v>
      </c>
      <c r="G568" s="6" t="s">
        <v>78</v>
      </c>
      <c r="H568" s="6" t="s">
        <v>268</v>
      </c>
      <c r="I568" s="6" t="s">
        <v>57</v>
      </c>
      <c r="J568" s="6" t="b">
        <v>1</v>
      </c>
      <c r="K568" s="6" t="s">
        <v>27</v>
      </c>
      <c r="L568" s="6">
        <v>41.2</v>
      </c>
      <c r="M568" s="6">
        <v>154.5</v>
      </c>
      <c r="N568" s="8">
        <f t="shared" si="56"/>
        <v>76.679999999999993</v>
      </c>
      <c r="O568" s="8">
        <f t="shared" si="57"/>
        <v>1971.88</v>
      </c>
      <c r="P568" s="8">
        <f t="shared" si="58"/>
        <v>1971.88</v>
      </c>
      <c r="Q568" s="8">
        <f t="shared" si="59"/>
        <v>0</v>
      </c>
      <c r="R568" s="9">
        <f t="shared" si="60"/>
        <v>1971.88</v>
      </c>
      <c r="S568" s="10">
        <f t="shared" si="61"/>
        <v>164.32333333333335</v>
      </c>
      <c r="T568">
        <v>165</v>
      </c>
      <c r="U568">
        <f t="shared" si="62"/>
        <v>10.5</v>
      </c>
    </row>
    <row r="569" spans="1:21" ht="14.25" customHeight="1" x14ac:dyDescent="0.35">
      <c r="A569" s="6" t="s">
        <v>1942</v>
      </c>
      <c r="B569" s="6" t="s">
        <v>1943</v>
      </c>
      <c r="C569" s="6" t="s">
        <v>1944</v>
      </c>
      <c r="D569" s="6" t="s">
        <v>482</v>
      </c>
      <c r="E569" s="7" t="s">
        <v>23</v>
      </c>
      <c r="F569" s="6">
        <v>85396</v>
      </c>
      <c r="G569" s="6" t="s">
        <v>38</v>
      </c>
      <c r="H569" s="6" t="s">
        <v>378</v>
      </c>
      <c r="I569" s="6" t="s">
        <v>26</v>
      </c>
      <c r="J569" s="6" t="b">
        <v>1</v>
      </c>
      <c r="K569" s="6" t="s">
        <v>27</v>
      </c>
      <c r="L569" s="6">
        <v>41.2</v>
      </c>
      <c r="M569" s="6">
        <v>154.5</v>
      </c>
      <c r="N569" s="8">
        <f t="shared" si="56"/>
        <v>76.679999999999993</v>
      </c>
      <c r="O569" s="8">
        <f t="shared" si="57"/>
        <v>1971.88</v>
      </c>
      <c r="P569" s="8">
        <f t="shared" si="58"/>
        <v>1971.88</v>
      </c>
      <c r="Q569" s="8">
        <f t="shared" si="59"/>
        <v>0</v>
      </c>
      <c r="R569" s="9">
        <f t="shared" si="60"/>
        <v>1971.88</v>
      </c>
      <c r="S569" s="10">
        <f t="shared" si="61"/>
        <v>164.32333333333335</v>
      </c>
      <c r="T569">
        <v>165</v>
      </c>
      <c r="U569">
        <f t="shared" si="62"/>
        <v>10.5</v>
      </c>
    </row>
    <row r="570" spans="1:21" ht="14.25" customHeight="1" x14ac:dyDescent="0.35">
      <c r="A570" s="6" t="s">
        <v>1945</v>
      </c>
      <c r="B570" s="6" t="s">
        <v>1946</v>
      </c>
      <c r="C570" s="6" t="s">
        <v>1947</v>
      </c>
      <c r="D570" s="6" t="s">
        <v>65</v>
      </c>
      <c r="E570" s="7" t="s">
        <v>23</v>
      </c>
      <c r="F570" s="6">
        <v>85202</v>
      </c>
      <c r="G570" s="6" t="s">
        <v>24</v>
      </c>
      <c r="H570" s="6" t="s">
        <v>365</v>
      </c>
      <c r="I570" s="6" t="s">
        <v>26</v>
      </c>
      <c r="J570" s="6" t="b">
        <v>1</v>
      </c>
      <c r="K570" s="6" t="s">
        <v>27</v>
      </c>
      <c r="L570" s="6">
        <v>41.2</v>
      </c>
      <c r="M570" s="6">
        <v>154.5</v>
      </c>
      <c r="N570" s="8">
        <f t="shared" si="56"/>
        <v>76.679999999999993</v>
      </c>
      <c r="O570" s="8">
        <f t="shared" si="57"/>
        <v>1971.88</v>
      </c>
      <c r="P570" s="8">
        <f t="shared" si="58"/>
        <v>1971.88</v>
      </c>
      <c r="Q570" s="8">
        <f t="shared" si="59"/>
        <v>0</v>
      </c>
      <c r="R570" s="9">
        <f t="shared" si="60"/>
        <v>1971.88</v>
      </c>
      <c r="S570" s="10">
        <f t="shared" si="61"/>
        <v>164.32333333333335</v>
      </c>
      <c r="T570">
        <v>165</v>
      </c>
      <c r="U570">
        <f t="shared" si="62"/>
        <v>10.5</v>
      </c>
    </row>
    <row r="571" spans="1:21" ht="14.25" customHeight="1" x14ac:dyDescent="0.35">
      <c r="A571" s="6" t="s">
        <v>1948</v>
      </c>
      <c r="B571" s="6" t="s">
        <v>1949</v>
      </c>
      <c r="C571" s="6" t="s">
        <v>1950</v>
      </c>
      <c r="D571" s="6" t="s">
        <v>31</v>
      </c>
      <c r="E571" s="7" t="s">
        <v>23</v>
      </c>
      <c r="F571" s="6">
        <v>85254</v>
      </c>
      <c r="G571" s="6" t="s">
        <v>45</v>
      </c>
      <c r="H571" s="6" t="s">
        <v>169</v>
      </c>
      <c r="I571" s="6" t="s">
        <v>26</v>
      </c>
      <c r="J571" s="6" t="b">
        <v>1</v>
      </c>
      <c r="K571" s="6" t="s">
        <v>27</v>
      </c>
      <c r="L571" s="6">
        <v>41.2</v>
      </c>
      <c r="M571" s="6">
        <v>154.5</v>
      </c>
      <c r="N571" s="8">
        <f t="shared" si="56"/>
        <v>76.679999999999993</v>
      </c>
      <c r="O571" s="8">
        <f t="shared" si="57"/>
        <v>1971.88</v>
      </c>
      <c r="P571" s="8">
        <f t="shared" si="58"/>
        <v>1971.88</v>
      </c>
      <c r="Q571" s="8">
        <f t="shared" si="59"/>
        <v>0</v>
      </c>
      <c r="R571" s="9">
        <f t="shared" si="60"/>
        <v>1971.88</v>
      </c>
      <c r="S571" s="10">
        <f t="shared" si="61"/>
        <v>164.32333333333335</v>
      </c>
      <c r="T571">
        <v>165</v>
      </c>
      <c r="U571">
        <f t="shared" si="62"/>
        <v>10.5</v>
      </c>
    </row>
    <row r="572" spans="1:21" ht="14.25" customHeight="1" x14ac:dyDescent="0.35">
      <c r="A572" s="6" t="s">
        <v>1951</v>
      </c>
      <c r="B572" s="6" t="s">
        <v>1952</v>
      </c>
      <c r="C572" s="6" t="s">
        <v>1953</v>
      </c>
      <c r="D572" s="6" t="s">
        <v>98</v>
      </c>
      <c r="E572" s="7" t="s">
        <v>23</v>
      </c>
      <c r="F572" s="6">
        <v>85122</v>
      </c>
      <c r="G572" s="6" t="s">
        <v>87</v>
      </c>
      <c r="H572" s="6" t="s">
        <v>88</v>
      </c>
      <c r="I572" s="6" t="s">
        <v>26</v>
      </c>
      <c r="J572" s="6" t="b">
        <v>1</v>
      </c>
      <c r="K572" s="6" t="s">
        <v>27</v>
      </c>
      <c r="L572" s="6">
        <v>41.2</v>
      </c>
      <c r="M572" s="6">
        <v>154.5</v>
      </c>
      <c r="N572" s="8">
        <f t="shared" si="56"/>
        <v>76.679999999999993</v>
      </c>
      <c r="O572" s="8">
        <f t="shared" si="57"/>
        <v>1971.88</v>
      </c>
      <c r="P572" s="8">
        <f t="shared" si="58"/>
        <v>1971.88</v>
      </c>
      <c r="Q572" s="8">
        <f t="shared" si="59"/>
        <v>0</v>
      </c>
      <c r="R572" s="9">
        <f t="shared" si="60"/>
        <v>1971.88</v>
      </c>
      <c r="S572" s="10">
        <f t="shared" si="61"/>
        <v>164.32333333333335</v>
      </c>
      <c r="T572">
        <v>165</v>
      </c>
      <c r="U572">
        <f t="shared" si="62"/>
        <v>10.5</v>
      </c>
    </row>
    <row r="573" spans="1:21" ht="14.25" customHeight="1" x14ac:dyDescent="0.35">
      <c r="A573" s="6" t="s">
        <v>1954</v>
      </c>
      <c r="B573" s="6" t="s">
        <v>1955</v>
      </c>
      <c r="C573" s="6" t="s">
        <v>1956</v>
      </c>
      <c r="D573" s="6" t="s">
        <v>44</v>
      </c>
      <c r="E573" s="7" t="s">
        <v>23</v>
      </c>
      <c r="F573" s="6">
        <v>85022</v>
      </c>
      <c r="G573" s="6" t="s">
        <v>173</v>
      </c>
      <c r="H573" s="6" t="s">
        <v>79</v>
      </c>
      <c r="I573" s="6" t="s">
        <v>26</v>
      </c>
      <c r="J573" s="6" t="b">
        <v>1</v>
      </c>
      <c r="K573" s="6" t="s">
        <v>27</v>
      </c>
      <c r="L573" s="6">
        <v>41.2</v>
      </c>
      <c r="M573" s="6">
        <v>154.5</v>
      </c>
      <c r="N573" s="8">
        <f t="shared" si="56"/>
        <v>76.679999999999993</v>
      </c>
      <c r="O573" s="8">
        <f t="shared" si="57"/>
        <v>1971.88</v>
      </c>
      <c r="P573" s="8">
        <f t="shared" si="58"/>
        <v>1971.88</v>
      </c>
      <c r="Q573" s="8">
        <f t="shared" si="59"/>
        <v>0</v>
      </c>
      <c r="R573" s="9">
        <f t="shared" si="60"/>
        <v>1971.88</v>
      </c>
      <c r="S573" s="10">
        <f t="shared" si="61"/>
        <v>164.32333333333335</v>
      </c>
      <c r="T573">
        <v>165</v>
      </c>
      <c r="U573">
        <f t="shared" si="62"/>
        <v>10.5</v>
      </c>
    </row>
    <row r="574" spans="1:21" ht="14.25" customHeight="1" x14ac:dyDescent="0.35">
      <c r="A574" s="6" t="s">
        <v>1957</v>
      </c>
      <c r="B574" s="6" t="s">
        <v>1958</v>
      </c>
      <c r="C574" s="6" t="s">
        <v>1959</v>
      </c>
      <c r="D574" s="6" t="s">
        <v>44</v>
      </c>
      <c r="E574" s="7" t="s">
        <v>23</v>
      </c>
      <c r="F574" s="6">
        <v>85028</v>
      </c>
      <c r="G574" s="6" t="s">
        <v>45</v>
      </c>
      <c r="H574" s="6" t="s">
        <v>79</v>
      </c>
      <c r="I574" s="6" t="s">
        <v>26</v>
      </c>
      <c r="J574" s="6" t="b">
        <v>1</v>
      </c>
      <c r="K574" s="6" t="s">
        <v>27</v>
      </c>
      <c r="L574" s="6">
        <v>41.2</v>
      </c>
      <c r="M574" s="6">
        <v>154.5</v>
      </c>
      <c r="N574" s="8">
        <f t="shared" si="56"/>
        <v>76.679999999999993</v>
      </c>
      <c r="O574" s="8">
        <f t="shared" si="57"/>
        <v>1971.88</v>
      </c>
      <c r="P574" s="8">
        <f t="shared" si="58"/>
        <v>1971.88</v>
      </c>
      <c r="Q574" s="8">
        <f t="shared" si="59"/>
        <v>0</v>
      </c>
      <c r="R574" s="9">
        <f t="shared" si="60"/>
        <v>1971.88</v>
      </c>
      <c r="S574" s="10">
        <f t="shared" si="61"/>
        <v>164.32333333333335</v>
      </c>
      <c r="T574">
        <v>165</v>
      </c>
      <c r="U574">
        <f t="shared" si="62"/>
        <v>10.5</v>
      </c>
    </row>
    <row r="575" spans="1:21" ht="14.25" customHeight="1" x14ac:dyDescent="0.35">
      <c r="A575" s="6" t="s">
        <v>1960</v>
      </c>
      <c r="B575" s="6" t="s">
        <v>1961</v>
      </c>
      <c r="C575" s="6" t="s">
        <v>1962</v>
      </c>
      <c r="D575" s="6" t="s">
        <v>71</v>
      </c>
      <c r="E575" s="7" t="s">
        <v>23</v>
      </c>
      <c r="F575" s="6">
        <v>85382</v>
      </c>
      <c r="G575" s="6" t="s">
        <v>78</v>
      </c>
      <c r="H575" s="6" t="s">
        <v>268</v>
      </c>
      <c r="I575" s="6" t="s">
        <v>40</v>
      </c>
      <c r="J575" s="6" t="b">
        <v>1</v>
      </c>
      <c r="K575" s="6" t="s">
        <v>27</v>
      </c>
      <c r="L575" s="6">
        <v>41.2</v>
      </c>
      <c r="M575" s="6">
        <v>154.5</v>
      </c>
      <c r="N575" s="8">
        <f t="shared" si="56"/>
        <v>76.679999999999993</v>
      </c>
      <c r="O575" s="8">
        <f t="shared" si="57"/>
        <v>1971.88</v>
      </c>
      <c r="P575" s="8">
        <f t="shared" si="58"/>
        <v>1971.88</v>
      </c>
      <c r="Q575" s="8">
        <f t="shared" si="59"/>
        <v>0</v>
      </c>
      <c r="R575" s="9">
        <f t="shared" si="60"/>
        <v>1971.88</v>
      </c>
      <c r="S575" s="10">
        <f t="shared" si="61"/>
        <v>164.32333333333335</v>
      </c>
      <c r="T575">
        <v>165</v>
      </c>
      <c r="U575">
        <f t="shared" si="62"/>
        <v>10.5</v>
      </c>
    </row>
    <row r="576" spans="1:21" ht="14.25" customHeight="1" x14ac:dyDescent="0.35">
      <c r="A576" s="6" t="s">
        <v>1963</v>
      </c>
      <c r="B576" s="6" t="s">
        <v>1964</v>
      </c>
      <c r="C576" s="6" t="s">
        <v>1965</v>
      </c>
      <c r="D576" s="6" t="s">
        <v>22</v>
      </c>
      <c r="E576" s="7" t="s">
        <v>23</v>
      </c>
      <c r="F576" s="6">
        <v>85249</v>
      </c>
      <c r="G576" s="6" t="s">
        <v>125</v>
      </c>
      <c r="H576" s="6" t="s">
        <v>126</v>
      </c>
      <c r="I576" s="6" t="s">
        <v>26</v>
      </c>
      <c r="J576" s="6" t="b">
        <v>1</v>
      </c>
      <c r="K576" s="6" t="s">
        <v>27</v>
      </c>
      <c r="L576" s="6">
        <v>41.2</v>
      </c>
      <c r="M576" s="6">
        <v>154.5</v>
      </c>
      <c r="N576" s="8">
        <f t="shared" si="56"/>
        <v>76.679999999999993</v>
      </c>
      <c r="O576" s="8">
        <f t="shared" si="57"/>
        <v>1971.88</v>
      </c>
      <c r="P576" s="8">
        <f t="shared" si="58"/>
        <v>1971.88</v>
      </c>
      <c r="Q576" s="8">
        <f t="shared" si="59"/>
        <v>0</v>
      </c>
      <c r="R576" s="9">
        <f t="shared" si="60"/>
        <v>1971.88</v>
      </c>
      <c r="S576" s="10">
        <f t="shared" si="61"/>
        <v>164.32333333333335</v>
      </c>
      <c r="T576">
        <v>165</v>
      </c>
      <c r="U576">
        <f t="shared" si="62"/>
        <v>10.5</v>
      </c>
    </row>
    <row r="577" spans="1:21" ht="14.25" customHeight="1" x14ac:dyDescent="0.35">
      <c r="A577" s="6" t="s">
        <v>1966</v>
      </c>
      <c r="B577" s="6" t="s">
        <v>1967</v>
      </c>
      <c r="C577" s="6" t="s">
        <v>1968</v>
      </c>
      <c r="D577" s="6" t="s">
        <v>22</v>
      </c>
      <c r="E577" s="7" t="s">
        <v>23</v>
      </c>
      <c r="F577" s="6">
        <v>85225</v>
      </c>
      <c r="G577" s="6" t="s">
        <v>24</v>
      </c>
      <c r="H577" s="6" t="s">
        <v>25</v>
      </c>
      <c r="I577" s="6" t="s">
        <v>26</v>
      </c>
      <c r="J577" s="6" t="b">
        <v>1</v>
      </c>
      <c r="K577" s="6" t="s">
        <v>27</v>
      </c>
      <c r="L577" s="6">
        <v>41.2</v>
      </c>
      <c r="M577" s="6">
        <v>154.5</v>
      </c>
      <c r="N577" s="8">
        <f t="shared" si="56"/>
        <v>76.679999999999993</v>
      </c>
      <c r="O577" s="8">
        <f t="shared" si="57"/>
        <v>1971.88</v>
      </c>
      <c r="P577" s="8">
        <f t="shared" si="58"/>
        <v>1971.88</v>
      </c>
      <c r="Q577" s="8">
        <f t="shared" si="59"/>
        <v>0</v>
      </c>
      <c r="R577" s="9">
        <f t="shared" si="60"/>
        <v>1971.88</v>
      </c>
      <c r="S577" s="10">
        <f t="shared" si="61"/>
        <v>164.32333333333335</v>
      </c>
      <c r="T577">
        <v>165</v>
      </c>
      <c r="U577">
        <f t="shared" si="62"/>
        <v>10.5</v>
      </c>
    </row>
    <row r="578" spans="1:21" ht="14.25" customHeight="1" x14ac:dyDescent="0.35">
      <c r="A578" s="6" t="s">
        <v>1969</v>
      </c>
      <c r="B578" s="6" t="s">
        <v>1970</v>
      </c>
      <c r="C578" s="6" t="s">
        <v>1971</v>
      </c>
      <c r="D578" s="6" t="s">
        <v>44</v>
      </c>
      <c r="E578" s="7" t="s">
        <v>23</v>
      </c>
      <c r="F578" s="6">
        <v>85014</v>
      </c>
      <c r="G578" s="6" t="s">
        <v>213</v>
      </c>
      <c r="H578" s="6" t="s">
        <v>202</v>
      </c>
      <c r="I578" s="6" t="s">
        <v>26</v>
      </c>
      <c r="J578" s="6" t="b">
        <v>1</v>
      </c>
      <c r="K578" s="6" t="s">
        <v>27</v>
      </c>
      <c r="L578" s="6">
        <v>41.2</v>
      </c>
      <c r="M578" s="6">
        <v>154.5</v>
      </c>
      <c r="N578" s="8">
        <f t="shared" ref="N578:N641" si="63">IF(J578=TRUE, 6.39*12, "0")</f>
        <v>76.679999999999993</v>
      </c>
      <c r="O578" s="8">
        <f t="shared" ref="O578:O641" si="64">L578+(M578*12)+N578</f>
        <v>1971.88</v>
      </c>
      <c r="P578" s="8">
        <f t="shared" ref="P578:P641" si="65">IF(OR(K578="Check",K578="ACH"), O578*0.97, O578)</f>
        <v>1971.88</v>
      </c>
      <c r="Q578" s="8">
        <f t="shared" ref="Q578:Q641" si="66">P578-O578</f>
        <v>0</v>
      </c>
      <c r="R578" s="9">
        <f t="shared" ref="R578:R641" si="67">O578-Q578</f>
        <v>1971.88</v>
      </c>
      <c r="S578" s="10">
        <f t="shared" ref="S578:S641" si="68">R578/12</f>
        <v>164.32333333333335</v>
      </c>
      <c r="T578">
        <v>165</v>
      </c>
      <c r="U578">
        <f t="shared" si="62"/>
        <v>10.5</v>
      </c>
    </row>
    <row r="579" spans="1:21" ht="14.25" customHeight="1" x14ac:dyDescent="0.35">
      <c r="A579" s="6" t="s">
        <v>1972</v>
      </c>
      <c r="B579" s="6" t="s">
        <v>1973</v>
      </c>
      <c r="C579" s="6" t="s">
        <v>1974</v>
      </c>
      <c r="D579" s="6" t="s">
        <v>22</v>
      </c>
      <c r="E579" s="7" t="s">
        <v>23</v>
      </c>
      <c r="F579" s="6">
        <v>85225</v>
      </c>
      <c r="G579" s="6" t="s">
        <v>24</v>
      </c>
      <c r="H579" s="6" t="s">
        <v>25</v>
      </c>
      <c r="I579" s="6" t="s">
        <v>26</v>
      </c>
      <c r="J579" s="6" t="b">
        <v>1</v>
      </c>
      <c r="K579" s="6" t="s">
        <v>27</v>
      </c>
      <c r="L579" s="6">
        <v>41.2</v>
      </c>
      <c r="M579" s="6">
        <v>154.5</v>
      </c>
      <c r="N579" s="8">
        <f t="shared" si="63"/>
        <v>76.679999999999993</v>
      </c>
      <c r="O579" s="8">
        <f t="shared" si="64"/>
        <v>1971.88</v>
      </c>
      <c r="P579" s="8">
        <f t="shared" si="65"/>
        <v>1971.88</v>
      </c>
      <c r="Q579" s="8">
        <f t="shared" si="66"/>
        <v>0</v>
      </c>
      <c r="R579" s="9">
        <f t="shared" si="67"/>
        <v>1971.88</v>
      </c>
      <c r="S579" s="10">
        <f t="shared" si="68"/>
        <v>164.32333333333335</v>
      </c>
      <c r="T579">
        <v>165</v>
      </c>
      <c r="U579">
        <f t="shared" si="62"/>
        <v>10.5</v>
      </c>
    </row>
    <row r="580" spans="1:21" ht="14.25" customHeight="1" x14ac:dyDescent="0.35">
      <c r="A580" s="6" t="s">
        <v>1975</v>
      </c>
      <c r="B580" s="6" t="s">
        <v>1976</v>
      </c>
      <c r="C580" s="6" t="s">
        <v>1977</v>
      </c>
      <c r="D580" s="6" t="s">
        <v>363</v>
      </c>
      <c r="E580" s="7" t="s">
        <v>23</v>
      </c>
      <c r="F580" s="6">
        <v>85282</v>
      </c>
      <c r="G580" s="6" t="s">
        <v>364</v>
      </c>
      <c r="H580" s="6" t="s">
        <v>365</v>
      </c>
      <c r="I580" s="6" t="s">
        <v>26</v>
      </c>
      <c r="J580" s="6" t="b">
        <v>1</v>
      </c>
      <c r="K580" s="6" t="s">
        <v>27</v>
      </c>
      <c r="L580" s="6">
        <v>41.2</v>
      </c>
      <c r="M580" s="6">
        <v>154.5</v>
      </c>
      <c r="N580" s="8">
        <f t="shared" si="63"/>
        <v>76.679999999999993</v>
      </c>
      <c r="O580" s="8">
        <f t="shared" si="64"/>
        <v>1971.88</v>
      </c>
      <c r="P580" s="8">
        <f t="shared" si="65"/>
        <v>1971.88</v>
      </c>
      <c r="Q580" s="8">
        <f t="shared" si="66"/>
        <v>0</v>
      </c>
      <c r="R580" s="9">
        <f t="shared" si="67"/>
        <v>1971.88</v>
      </c>
      <c r="S580" s="10">
        <f t="shared" si="68"/>
        <v>164.32333333333335</v>
      </c>
      <c r="T580">
        <v>165</v>
      </c>
      <c r="U580">
        <f t="shared" ref="U580:U643" si="69">SUM(T580-M580)</f>
        <v>10.5</v>
      </c>
    </row>
    <row r="581" spans="1:21" ht="14.25" customHeight="1" x14ac:dyDescent="0.35">
      <c r="A581" s="6" t="s">
        <v>1978</v>
      </c>
      <c r="B581" s="6" t="s">
        <v>1979</v>
      </c>
      <c r="C581" s="6" t="s">
        <v>1980</v>
      </c>
      <c r="D581" s="6" t="s">
        <v>892</v>
      </c>
      <c r="E581" s="7" t="s">
        <v>23</v>
      </c>
      <c r="F581" s="6">
        <v>85142</v>
      </c>
      <c r="G581" s="6" t="s">
        <v>125</v>
      </c>
      <c r="H581" s="6" t="s">
        <v>225</v>
      </c>
      <c r="I581" s="6" t="s">
        <v>26</v>
      </c>
      <c r="J581" s="6" t="b">
        <v>1</v>
      </c>
      <c r="K581" s="6" t="s">
        <v>27</v>
      </c>
      <c r="L581" s="6">
        <v>41.2</v>
      </c>
      <c r="M581" s="6">
        <v>154.5</v>
      </c>
      <c r="N581" s="8">
        <f t="shared" si="63"/>
        <v>76.679999999999993</v>
      </c>
      <c r="O581" s="8">
        <f t="shared" si="64"/>
        <v>1971.88</v>
      </c>
      <c r="P581" s="8">
        <f t="shared" si="65"/>
        <v>1971.88</v>
      </c>
      <c r="Q581" s="8">
        <f t="shared" si="66"/>
        <v>0</v>
      </c>
      <c r="R581" s="9">
        <f t="shared" si="67"/>
        <v>1971.88</v>
      </c>
      <c r="S581" s="10">
        <f t="shared" si="68"/>
        <v>164.32333333333335</v>
      </c>
      <c r="T581">
        <v>165</v>
      </c>
      <c r="U581">
        <f t="shared" si="69"/>
        <v>10.5</v>
      </c>
    </row>
    <row r="582" spans="1:21" ht="14.25" customHeight="1" x14ac:dyDescent="0.35">
      <c r="A582" s="6" t="s">
        <v>1981</v>
      </c>
      <c r="B582" s="6" t="s">
        <v>1982</v>
      </c>
      <c r="C582" s="6" t="s">
        <v>1983</v>
      </c>
      <c r="D582" s="6" t="s">
        <v>489</v>
      </c>
      <c r="E582" s="7" t="s">
        <v>23</v>
      </c>
      <c r="F582" s="6">
        <v>85086</v>
      </c>
      <c r="G582" s="6" t="s">
        <v>32</v>
      </c>
      <c r="H582" s="6" t="s">
        <v>79</v>
      </c>
      <c r="I582" s="6" t="s">
        <v>40</v>
      </c>
      <c r="J582" s="6" t="b">
        <v>1</v>
      </c>
      <c r="K582" s="6" t="s">
        <v>27</v>
      </c>
      <c r="L582" s="6">
        <v>41.2</v>
      </c>
      <c r="M582" s="6">
        <v>154.5</v>
      </c>
      <c r="N582" s="8">
        <f t="shared" si="63"/>
        <v>76.679999999999993</v>
      </c>
      <c r="O582" s="8">
        <f t="shared" si="64"/>
        <v>1971.88</v>
      </c>
      <c r="P582" s="8">
        <f t="shared" si="65"/>
        <v>1971.88</v>
      </c>
      <c r="Q582" s="8">
        <f t="shared" si="66"/>
        <v>0</v>
      </c>
      <c r="R582" s="9">
        <f t="shared" si="67"/>
        <v>1971.88</v>
      </c>
      <c r="S582" s="10">
        <f t="shared" si="68"/>
        <v>164.32333333333335</v>
      </c>
      <c r="T582">
        <v>165</v>
      </c>
      <c r="U582">
        <f t="shared" si="69"/>
        <v>10.5</v>
      </c>
    </row>
    <row r="583" spans="1:21" ht="14.25" customHeight="1" x14ac:dyDescent="0.35">
      <c r="A583" s="6" t="s">
        <v>1984</v>
      </c>
      <c r="B583" s="6" t="s">
        <v>1985</v>
      </c>
      <c r="C583" s="6" t="s">
        <v>1986</v>
      </c>
      <c r="D583" s="6" t="s">
        <v>22</v>
      </c>
      <c r="E583" s="7" t="s">
        <v>23</v>
      </c>
      <c r="F583" s="6">
        <v>85249</v>
      </c>
      <c r="G583" s="6" t="s">
        <v>125</v>
      </c>
      <c r="H583" s="6" t="s">
        <v>126</v>
      </c>
      <c r="I583" s="6" t="s">
        <v>26</v>
      </c>
      <c r="J583" s="6" t="b">
        <v>1</v>
      </c>
      <c r="K583" s="6" t="s">
        <v>27</v>
      </c>
      <c r="L583" s="6">
        <v>41.2</v>
      </c>
      <c r="M583" s="6">
        <v>154.5</v>
      </c>
      <c r="N583" s="8">
        <f t="shared" si="63"/>
        <v>76.679999999999993</v>
      </c>
      <c r="O583" s="8">
        <f t="shared" si="64"/>
        <v>1971.88</v>
      </c>
      <c r="P583" s="8">
        <f t="shared" si="65"/>
        <v>1971.88</v>
      </c>
      <c r="Q583" s="8">
        <f t="shared" si="66"/>
        <v>0</v>
      </c>
      <c r="R583" s="9">
        <f t="shared" si="67"/>
        <v>1971.88</v>
      </c>
      <c r="S583" s="10">
        <f t="shared" si="68"/>
        <v>164.32333333333335</v>
      </c>
      <c r="T583">
        <v>165</v>
      </c>
      <c r="U583">
        <f t="shared" si="69"/>
        <v>10.5</v>
      </c>
    </row>
    <row r="584" spans="1:21" ht="14.25" customHeight="1" x14ac:dyDescent="0.35">
      <c r="A584" s="6" t="s">
        <v>1987</v>
      </c>
      <c r="B584" s="6" t="s">
        <v>1988</v>
      </c>
      <c r="C584" s="6" t="s">
        <v>1989</v>
      </c>
      <c r="D584" s="6" t="s">
        <v>44</v>
      </c>
      <c r="E584" s="7" t="s">
        <v>23</v>
      </c>
      <c r="F584" s="6">
        <v>85042</v>
      </c>
      <c r="G584" s="6" t="s">
        <v>213</v>
      </c>
      <c r="H584" s="6" t="s">
        <v>39</v>
      </c>
      <c r="I584" s="6" t="s">
        <v>26</v>
      </c>
      <c r="J584" s="6" t="b">
        <v>1</v>
      </c>
      <c r="K584" s="6" t="s">
        <v>27</v>
      </c>
      <c r="L584" s="6">
        <v>41.2</v>
      </c>
      <c r="M584" s="6">
        <v>154.5</v>
      </c>
      <c r="N584" s="8">
        <f t="shared" si="63"/>
        <v>76.679999999999993</v>
      </c>
      <c r="O584" s="8">
        <f t="shared" si="64"/>
        <v>1971.88</v>
      </c>
      <c r="P584" s="8">
        <f t="shared" si="65"/>
        <v>1971.88</v>
      </c>
      <c r="Q584" s="8">
        <f t="shared" si="66"/>
        <v>0</v>
      </c>
      <c r="R584" s="9">
        <f t="shared" si="67"/>
        <v>1971.88</v>
      </c>
      <c r="S584" s="10">
        <f t="shared" si="68"/>
        <v>164.32333333333335</v>
      </c>
      <c r="T584">
        <v>165</v>
      </c>
      <c r="U584">
        <f t="shared" si="69"/>
        <v>10.5</v>
      </c>
    </row>
    <row r="585" spans="1:21" ht="14.25" customHeight="1" x14ac:dyDescent="0.35">
      <c r="A585" s="6" t="s">
        <v>1990</v>
      </c>
      <c r="B585" s="6" t="s">
        <v>1991</v>
      </c>
      <c r="C585" s="6" t="s">
        <v>1992</v>
      </c>
      <c r="D585" s="6" t="s">
        <v>363</v>
      </c>
      <c r="E585" s="7" t="s">
        <v>23</v>
      </c>
      <c r="F585" s="6">
        <v>85282</v>
      </c>
      <c r="G585" s="6" t="s">
        <v>364</v>
      </c>
      <c r="H585" s="6" t="s">
        <v>365</v>
      </c>
      <c r="I585" s="6" t="s">
        <v>26</v>
      </c>
      <c r="J585" s="6" t="b">
        <v>1</v>
      </c>
      <c r="K585" s="6" t="s">
        <v>27</v>
      </c>
      <c r="L585" s="6">
        <v>41.2</v>
      </c>
      <c r="M585" s="6">
        <v>154.5</v>
      </c>
      <c r="N585" s="8">
        <f t="shared" si="63"/>
        <v>76.679999999999993</v>
      </c>
      <c r="O585" s="8">
        <f t="shared" si="64"/>
        <v>1971.88</v>
      </c>
      <c r="P585" s="8">
        <f t="shared" si="65"/>
        <v>1971.88</v>
      </c>
      <c r="Q585" s="8">
        <f t="shared" si="66"/>
        <v>0</v>
      </c>
      <c r="R585" s="9">
        <f t="shared" si="67"/>
        <v>1971.88</v>
      </c>
      <c r="S585" s="10">
        <f t="shared" si="68"/>
        <v>164.32333333333335</v>
      </c>
      <c r="T585">
        <v>165</v>
      </c>
      <c r="U585">
        <f t="shared" si="69"/>
        <v>10.5</v>
      </c>
    </row>
    <row r="586" spans="1:21" ht="14.25" customHeight="1" x14ac:dyDescent="0.35">
      <c r="A586" s="6" t="s">
        <v>1993</v>
      </c>
      <c r="B586" s="6" t="s">
        <v>1994</v>
      </c>
      <c r="C586" s="6" t="s">
        <v>1995</v>
      </c>
      <c r="D586" s="6" t="s">
        <v>44</v>
      </c>
      <c r="E586" s="7" t="s">
        <v>23</v>
      </c>
      <c r="F586" s="6">
        <v>85028</v>
      </c>
      <c r="G586" s="6" t="s">
        <v>45</v>
      </c>
      <c r="H586" s="6" t="s">
        <v>79</v>
      </c>
      <c r="I586" s="6" t="s">
        <v>26</v>
      </c>
      <c r="J586" s="6" t="b">
        <v>1</v>
      </c>
      <c r="K586" s="6" t="s">
        <v>27</v>
      </c>
      <c r="L586" s="6">
        <v>41.2</v>
      </c>
      <c r="M586" s="6">
        <v>154.5</v>
      </c>
      <c r="N586" s="8">
        <f t="shared" si="63"/>
        <v>76.679999999999993</v>
      </c>
      <c r="O586" s="8">
        <f t="shared" si="64"/>
        <v>1971.88</v>
      </c>
      <c r="P586" s="8">
        <f t="shared" si="65"/>
        <v>1971.88</v>
      </c>
      <c r="Q586" s="8">
        <f t="shared" si="66"/>
        <v>0</v>
      </c>
      <c r="R586" s="9">
        <f t="shared" si="67"/>
        <v>1971.88</v>
      </c>
      <c r="S586" s="10">
        <f t="shared" si="68"/>
        <v>164.32333333333335</v>
      </c>
      <c r="T586">
        <v>165</v>
      </c>
      <c r="U586">
        <f t="shared" si="69"/>
        <v>10.5</v>
      </c>
    </row>
    <row r="587" spans="1:21" ht="14.25" customHeight="1" x14ac:dyDescent="0.35">
      <c r="A587" s="6" t="s">
        <v>1996</v>
      </c>
      <c r="B587" s="6" t="s">
        <v>1997</v>
      </c>
      <c r="C587" s="6" t="s">
        <v>1998</v>
      </c>
      <c r="D587" s="6" t="s">
        <v>363</v>
      </c>
      <c r="E587" s="7" t="s">
        <v>23</v>
      </c>
      <c r="F587" s="6">
        <v>85282</v>
      </c>
      <c r="G587" s="6" t="s">
        <v>364</v>
      </c>
      <c r="H587" s="6" t="s">
        <v>365</v>
      </c>
      <c r="I587" s="6" t="s">
        <v>26</v>
      </c>
      <c r="J587" s="6" t="b">
        <v>1</v>
      </c>
      <c r="K587" s="6" t="s">
        <v>27</v>
      </c>
      <c r="L587" s="6">
        <v>41.2</v>
      </c>
      <c r="M587" s="6">
        <v>154.5</v>
      </c>
      <c r="N587" s="8">
        <f t="shared" si="63"/>
        <v>76.679999999999993</v>
      </c>
      <c r="O587" s="8">
        <f t="shared" si="64"/>
        <v>1971.88</v>
      </c>
      <c r="P587" s="8">
        <f t="shared" si="65"/>
        <v>1971.88</v>
      </c>
      <c r="Q587" s="8">
        <f t="shared" si="66"/>
        <v>0</v>
      </c>
      <c r="R587" s="9">
        <f t="shared" si="67"/>
        <v>1971.88</v>
      </c>
      <c r="S587" s="10">
        <f t="shared" si="68"/>
        <v>164.32333333333335</v>
      </c>
      <c r="T587">
        <v>165</v>
      </c>
      <c r="U587">
        <f t="shared" si="69"/>
        <v>10.5</v>
      </c>
    </row>
    <row r="588" spans="1:21" ht="14.25" customHeight="1" x14ac:dyDescent="0.35">
      <c r="A588" s="6" t="s">
        <v>1999</v>
      </c>
      <c r="B588" s="6" t="s">
        <v>2000</v>
      </c>
      <c r="C588" s="6" t="s">
        <v>2001</v>
      </c>
      <c r="D588" s="6" t="s">
        <v>2002</v>
      </c>
      <c r="E588" s="7" t="s">
        <v>23</v>
      </c>
      <c r="F588" s="6">
        <v>85355</v>
      </c>
      <c r="G588" s="6" t="s">
        <v>78</v>
      </c>
      <c r="H588" s="6" t="s">
        <v>281</v>
      </c>
      <c r="I588" s="6" t="s">
        <v>26</v>
      </c>
      <c r="J588" s="6" t="b">
        <v>1</v>
      </c>
      <c r="K588" s="6" t="s">
        <v>27</v>
      </c>
      <c r="L588" s="6">
        <v>41.2</v>
      </c>
      <c r="M588" s="6">
        <v>154.5</v>
      </c>
      <c r="N588" s="8">
        <f t="shared" si="63"/>
        <v>76.679999999999993</v>
      </c>
      <c r="O588" s="8">
        <f t="shared" si="64"/>
        <v>1971.88</v>
      </c>
      <c r="P588" s="8">
        <f t="shared" si="65"/>
        <v>1971.88</v>
      </c>
      <c r="Q588" s="8">
        <f t="shared" si="66"/>
        <v>0</v>
      </c>
      <c r="R588" s="9">
        <f t="shared" si="67"/>
        <v>1971.88</v>
      </c>
      <c r="S588" s="10">
        <f t="shared" si="68"/>
        <v>164.32333333333335</v>
      </c>
      <c r="T588">
        <v>165</v>
      </c>
      <c r="U588">
        <f t="shared" si="69"/>
        <v>10.5</v>
      </c>
    </row>
    <row r="589" spans="1:21" ht="14.25" customHeight="1" x14ac:dyDescent="0.35">
      <c r="A589" s="6" t="s">
        <v>2003</v>
      </c>
      <c r="B589" s="6" t="s">
        <v>2004</v>
      </c>
      <c r="C589" s="6" t="s">
        <v>2005</v>
      </c>
      <c r="D589" s="6" t="s">
        <v>44</v>
      </c>
      <c r="E589" s="7" t="s">
        <v>23</v>
      </c>
      <c r="F589" s="6">
        <v>85029</v>
      </c>
      <c r="G589" s="6" t="s">
        <v>72</v>
      </c>
      <c r="H589" s="6" t="s">
        <v>93</v>
      </c>
      <c r="I589" s="6" t="s">
        <v>26</v>
      </c>
      <c r="J589" s="6" t="b">
        <v>1</v>
      </c>
      <c r="K589" s="6" t="s">
        <v>27</v>
      </c>
      <c r="L589" s="6">
        <v>41.2</v>
      </c>
      <c r="M589" s="6">
        <v>154.5</v>
      </c>
      <c r="N589" s="8">
        <f t="shared" si="63"/>
        <v>76.679999999999993</v>
      </c>
      <c r="O589" s="8">
        <f t="shared" si="64"/>
        <v>1971.88</v>
      </c>
      <c r="P589" s="8">
        <f t="shared" si="65"/>
        <v>1971.88</v>
      </c>
      <c r="Q589" s="8">
        <f t="shared" si="66"/>
        <v>0</v>
      </c>
      <c r="R589" s="9">
        <f t="shared" si="67"/>
        <v>1971.88</v>
      </c>
      <c r="S589" s="10">
        <f t="shared" si="68"/>
        <v>164.32333333333335</v>
      </c>
      <c r="T589">
        <v>165</v>
      </c>
      <c r="U589">
        <f t="shared" si="69"/>
        <v>10.5</v>
      </c>
    </row>
    <row r="590" spans="1:21" ht="14.25" customHeight="1" x14ac:dyDescent="0.35">
      <c r="A590" s="6" t="s">
        <v>2006</v>
      </c>
      <c r="B590" s="6" t="s">
        <v>2007</v>
      </c>
      <c r="C590" s="6" t="s">
        <v>2008</v>
      </c>
      <c r="D590" s="6" t="s">
        <v>44</v>
      </c>
      <c r="E590" s="7" t="s">
        <v>23</v>
      </c>
      <c r="F590" s="6">
        <v>85023</v>
      </c>
      <c r="G590" s="6" t="s">
        <v>72</v>
      </c>
      <c r="H590" s="6" t="s">
        <v>93</v>
      </c>
      <c r="I590" s="6" t="s">
        <v>26</v>
      </c>
      <c r="J590" s="6" t="b">
        <v>1</v>
      </c>
      <c r="K590" s="6" t="s">
        <v>27</v>
      </c>
      <c r="L590" s="6">
        <v>41.2</v>
      </c>
      <c r="M590" s="6">
        <v>154.5</v>
      </c>
      <c r="N590" s="8">
        <f t="shared" si="63"/>
        <v>76.679999999999993</v>
      </c>
      <c r="O590" s="8">
        <f t="shared" si="64"/>
        <v>1971.88</v>
      </c>
      <c r="P590" s="8">
        <f t="shared" si="65"/>
        <v>1971.88</v>
      </c>
      <c r="Q590" s="8">
        <f t="shared" si="66"/>
        <v>0</v>
      </c>
      <c r="R590" s="9">
        <f t="shared" si="67"/>
        <v>1971.88</v>
      </c>
      <c r="S590" s="10">
        <f t="shared" si="68"/>
        <v>164.32333333333335</v>
      </c>
      <c r="T590">
        <v>165</v>
      </c>
      <c r="U590">
        <f t="shared" si="69"/>
        <v>10.5</v>
      </c>
    </row>
    <row r="591" spans="1:21" ht="14.25" customHeight="1" x14ac:dyDescent="0.35">
      <c r="A591" s="6" t="s">
        <v>2009</v>
      </c>
      <c r="B591" s="6" t="s">
        <v>2010</v>
      </c>
      <c r="C591" s="6" t="s">
        <v>2011</v>
      </c>
      <c r="D591" s="6" t="s">
        <v>241</v>
      </c>
      <c r="E591" s="7" t="s">
        <v>23</v>
      </c>
      <c r="F591" s="6">
        <v>85331</v>
      </c>
      <c r="G591" s="6" t="s">
        <v>32</v>
      </c>
      <c r="H591" s="6" t="s">
        <v>50</v>
      </c>
      <c r="I591" s="6" t="s">
        <v>61</v>
      </c>
      <c r="J591" s="6" t="b">
        <v>1</v>
      </c>
      <c r="K591" s="6" t="s">
        <v>27</v>
      </c>
      <c r="L591" s="6">
        <v>41.2</v>
      </c>
      <c r="M591" s="6">
        <v>154.5</v>
      </c>
      <c r="N591" s="8">
        <f t="shared" si="63"/>
        <v>76.679999999999993</v>
      </c>
      <c r="O591" s="8">
        <f t="shared" si="64"/>
        <v>1971.88</v>
      </c>
      <c r="P591" s="8">
        <f t="shared" si="65"/>
        <v>1971.88</v>
      </c>
      <c r="Q591" s="8">
        <f t="shared" si="66"/>
        <v>0</v>
      </c>
      <c r="R591" s="9">
        <f t="shared" si="67"/>
        <v>1971.88</v>
      </c>
      <c r="S591" s="10">
        <f t="shared" si="68"/>
        <v>164.32333333333335</v>
      </c>
      <c r="T591">
        <v>165</v>
      </c>
      <c r="U591">
        <f t="shared" si="69"/>
        <v>10.5</v>
      </c>
    </row>
    <row r="592" spans="1:21" ht="14.25" customHeight="1" x14ac:dyDescent="0.35">
      <c r="A592" s="6" t="s">
        <v>2012</v>
      </c>
      <c r="B592" s="6" t="s">
        <v>2013</v>
      </c>
      <c r="C592" s="6" t="s">
        <v>2014</v>
      </c>
      <c r="D592" s="6" t="s">
        <v>31</v>
      </c>
      <c r="E592" s="7" t="s">
        <v>23</v>
      </c>
      <c r="F592" s="6">
        <v>85254</v>
      </c>
      <c r="G592" s="6" t="s">
        <v>45</v>
      </c>
      <c r="H592" s="6" t="s">
        <v>291</v>
      </c>
      <c r="I592" s="6" t="s">
        <v>26</v>
      </c>
      <c r="J592" s="6" t="b">
        <v>1</v>
      </c>
      <c r="K592" s="6" t="s">
        <v>27</v>
      </c>
      <c r="L592" s="6">
        <v>41.2</v>
      </c>
      <c r="M592" s="6">
        <v>154.5</v>
      </c>
      <c r="N592" s="8">
        <f t="shared" si="63"/>
        <v>76.679999999999993</v>
      </c>
      <c r="O592" s="8">
        <f t="shared" si="64"/>
        <v>1971.88</v>
      </c>
      <c r="P592" s="8">
        <f t="shared" si="65"/>
        <v>1971.88</v>
      </c>
      <c r="Q592" s="8">
        <f t="shared" si="66"/>
        <v>0</v>
      </c>
      <c r="R592" s="9">
        <f t="shared" si="67"/>
        <v>1971.88</v>
      </c>
      <c r="S592" s="10">
        <f t="shared" si="68"/>
        <v>164.32333333333335</v>
      </c>
      <c r="T592">
        <v>165</v>
      </c>
      <c r="U592">
        <f t="shared" si="69"/>
        <v>10.5</v>
      </c>
    </row>
    <row r="593" spans="1:21" ht="14.25" customHeight="1" x14ac:dyDescent="0.35">
      <c r="A593" s="6" t="s">
        <v>2015</v>
      </c>
      <c r="B593" s="6" t="s">
        <v>2016</v>
      </c>
      <c r="C593" s="6" t="s">
        <v>2017</v>
      </c>
      <c r="D593" s="6" t="s">
        <v>44</v>
      </c>
      <c r="E593" s="7" t="s">
        <v>23</v>
      </c>
      <c r="F593" s="6">
        <v>85006</v>
      </c>
      <c r="G593" s="6" t="s">
        <v>213</v>
      </c>
      <c r="H593" s="6" t="s">
        <v>365</v>
      </c>
      <c r="I593" s="6" t="s">
        <v>26</v>
      </c>
      <c r="J593" s="6" t="b">
        <v>1</v>
      </c>
      <c r="K593" s="6" t="s">
        <v>27</v>
      </c>
      <c r="L593" s="6">
        <v>41.2</v>
      </c>
      <c r="M593" s="6">
        <v>154.5</v>
      </c>
      <c r="N593" s="8">
        <f t="shared" si="63"/>
        <v>76.679999999999993</v>
      </c>
      <c r="O593" s="8">
        <f t="shared" si="64"/>
        <v>1971.88</v>
      </c>
      <c r="P593" s="8">
        <f t="shared" si="65"/>
        <v>1971.88</v>
      </c>
      <c r="Q593" s="8">
        <f t="shared" si="66"/>
        <v>0</v>
      </c>
      <c r="R593" s="9">
        <f t="shared" si="67"/>
        <v>1971.88</v>
      </c>
      <c r="S593" s="10">
        <f t="shared" si="68"/>
        <v>164.32333333333335</v>
      </c>
      <c r="T593">
        <v>165</v>
      </c>
      <c r="U593">
        <f t="shared" si="69"/>
        <v>10.5</v>
      </c>
    </row>
    <row r="594" spans="1:21" ht="14.25" customHeight="1" x14ac:dyDescent="0.35">
      <c r="A594" s="6" t="s">
        <v>2018</v>
      </c>
      <c r="B594" s="6" t="s">
        <v>2019</v>
      </c>
      <c r="C594" s="6" t="s">
        <v>2020</v>
      </c>
      <c r="D594" s="6" t="s">
        <v>44</v>
      </c>
      <c r="E594" s="7" t="s">
        <v>23</v>
      </c>
      <c r="F594" s="6">
        <v>85021</v>
      </c>
      <c r="G594" s="6" t="s">
        <v>72</v>
      </c>
      <c r="H594" s="6" t="s">
        <v>93</v>
      </c>
      <c r="I594" s="6" t="s">
        <v>26</v>
      </c>
      <c r="J594" s="6" t="b">
        <v>1</v>
      </c>
      <c r="K594" s="6" t="s">
        <v>27</v>
      </c>
      <c r="L594" s="6">
        <v>41.2</v>
      </c>
      <c r="M594" s="6">
        <v>154.5</v>
      </c>
      <c r="N594" s="8">
        <f t="shared" si="63"/>
        <v>76.679999999999993</v>
      </c>
      <c r="O594" s="8">
        <f t="shared" si="64"/>
        <v>1971.88</v>
      </c>
      <c r="P594" s="8">
        <f t="shared" si="65"/>
        <v>1971.88</v>
      </c>
      <c r="Q594" s="8">
        <f t="shared" si="66"/>
        <v>0</v>
      </c>
      <c r="R594" s="9">
        <f t="shared" si="67"/>
        <v>1971.88</v>
      </c>
      <c r="S594" s="10">
        <f t="shared" si="68"/>
        <v>164.32333333333335</v>
      </c>
      <c r="T594">
        <v>165</v>
      </c>
      <c r="U594">
        <f t="shared" si="69"/>
        <v>10.5</v>
      </c>
    </row>
    <row r="595" spans="1:21" ht="14.25" customHeight="1" x14ac:dyDescent="0.35">
      <c r="A595" s="6" t="s">
        <v>2021</v>
      </c>
      <c r="B595" s="6" t="s">
        <v>2022</v>
      </c>
      <c r="C595" s="6" t="s">
        <v>2023</v>
      </c>
      <c r="D595" s="6" t="s">
        <v>65</v>
      </c>
      <c r="E595" s="7" t="s">
        <v>23</v>
      </c>
      <c r="F595" s="6">
        <v>85202</v>
      </c>
      <c r="G595" s="6" t="s">
        <v>364</v>
      </c>
      <c r="H595" s="6" t="s">
        <v>365</v>
      </c>
      <c r="I595" s="6" t="s">
        <v>26</v>
      </c>
      <c r="J595" s="6" t="b">
        <v>1</v>
      </c>
      <c r="K595" s="6" t="s">
        <v>27</v>
      </c>
      <c r="L595" s="6">
        <v>41.2</v>
      </c>
      <c r="M595" s="6">
        <v>154.5</v>
      </c>
      <c r="N595" s="8">
        <f t="shared" si="63"/>
        <v>76.679999999999993</v>
      </c>
      <c r="O595" s="8">
        <f t="shared" si="64"/>
        <v>1971.88</v>
      </c>
      <c r="P595" s="8">
        <f t="shared" si="65"/>
        <v>1971.88</v>
      </c>
      <c r="Q595" s="8">
        <f t="shared" si="66"/>
        <v>0</v>
      </c>
      <c r="R595" s="9">
        <f t="shared" si="67"/>
        <v>1971.88</v>
      </c>
      <c r="S595" s="10">
        <f t="shared" si="68"/>
        <v>164.32333333333335</v>
      </c>
      <c r="T595">
        <v>165</v>
      </c>
      <c r="U595">
        <f t="shared" si="69"/>
        <v>10.5</v>
      </c>
    </row>
    <row r="596" spans="1:21" ht="14.25" customHeight="1" x14ac:dyDescent="0.35">
      <c r="A596" s="6" t="s">
        <v>2024</v>
      </c>
      <c r="B596" s="6" t="s">
        <v>2025</v>
      </c>
      <c r="C596" s="6" t="s">
        <v>2026</v>
      </c>
      <c r="D596" s="6" t="s">
        <v>44</v>
      </c>
      <c r="E596" s="7" t="s">
        <v>23</v>
      </c>
      <c r="F596" s="6">
        <v>85027</v>
      </c>
      <c r="G596" s="6" t="s">
        <v>78</v>
      </c>
      <c r="H596" s="6" t="s">
        <v>268</v>
      </c>
      <c r="I596" s="6" t="s">
        <v>110</v>
      </c>
      <c r="J596" s="6" t="b">
        <v>1</v>
      </c>
      <c r="K596" s="6" t="s">
        <v>27</v>
      </c>
      <c r="L596" s="6">
        <v>41.2</v>
      </c>
      <c r="M596" s="6">
        <v>154.5</v>
      </c>
      <c r="N596" s="8">
        <f t="shared" si="63"/>
        <v>76.679999999999993</v>
      </c>
      <c r="O596" s="8">
        <f t="shared" si="64"/>
        <v>1971.88</v>
      </c>
      <c r="P596" s="8">
        <f t="shared" si="65"/>
        <v>1971.88</v>
      </c>
      <c r="Q596" s="8">
        <f t="shared" si="66"/>
        <v>0</v>
      </c>
      <c r="R596" s="9">
        <f t="shared" si="67"/>
        <v>1971.88</v>
      </c>
      <c r="S596" s="10">
        <f t="shared" si="68"/>
        <v>164.32333333333335</v>
      </c>
      <c r="T596">
        <v>165</v>
      </c>
      <c r="U596">
        <f t="shared" si="69"/>
        <v>10.5</v>
      </c>
    </row>
    <row r="597" spans="1:21" ht="14.25" customHeight="1" x14ac:dyDescent="0.35">
      <c r="A597" s="6" t="s">
        <v>2027</v>
      </c>
      <c r="B597" s="6" t="s">
        <v>2028</v>
      </c>
      <c r="C597" s="6" t="s">
        <v>2029</v>
      </c>
      <c r="D597" s="6" t="s">
        <v>44</v>
      </c>
      <c r="E597" s="7" t="s">
        <v>23</v>
      </c>
      <c r="F597" s="6">
        <v>85042</v>
      </c>
      <c r="G597" s="6" t="s">
        <v>213</v>
      </c>
      <c r="H597" s="6" t="s">
        <v>39</v>
      </c>
      <c r="I597" s="6" t="s">
        <v>26</v>
      </c>
      <c r="J597" s="6" t="b">
        <v>1</v>
      </c>
      <c r="K597" s="6" t="s">
        <v>27</v>
      </c>
      <c r="L597" s="6">
        <v>41.2</v>
      </c>
      <c r="M597" s="6">
        <v>154.5</v>
      </c>
      <c r="N597" s="8">
        <f t="shared" si="63"/>
        <v>76.679999999999993</v>
      </c>
      <c r="O597" s="8">
        <f t="shared" si="64"/>
        <v>1971.88</v>
      </c>
      <c r="P597" s="8">
        <f t="shared" si="65"/>
        <v>1971.88</v>
      </c>
      <c r="Q597" s="8">
        <f t="shared" si="66"/>
        <v>0</v>
      </c>
      <c r="R597" s="9">
        <f t="shared" si="67"/>
        <v>1971.88</v>
      </c>
      <c r="S597" s="10">
        <f t="shared" si="68"/>
        <v>164.32333333333335</v>
      </c>
      <c r="T597">
        <v>165</v>
      </c>
      <c r="U597">
        <f t="shared" si="69"/>
        <v>10.5</v>
      </c>
    </row>
    <row r="598" spans="1:21" ht="14.25" customHeight="1" x14ac:dyDescent="0.35">
      <c r="A598" s="6" t="s">
        <v>2030</v>
      </c>
      <c r="B598" s="6" t="s">
        <v>2031</v>
      </c>
      <c r="C598" s="6" t="s">
        <v>2032</v>
      </c>
      <c r="D598" s="6" t="s">
        <v>267</v>
      </c>
      <c r="E598" s="7" t="s">
        <v>23</v>
      </c>
      <c r="F598" s="6">
        <v>85388</v>
      </c>
      <c r="G598" s="6" t="s">
        <v>78</v>
      </c>
      <c r="H598" s="6" t="s">
        <v>281</v>
      </c>
      <c r="I598" s="6" t="s">
        <v>26</v>
      </c>
      <c r="J598" s="6" t="b">
        <v>1</v>
      </c>
      <c r="K598" s="6" t="s">
        <v>27</v>
      </c>
      <c r="L598" s="6">
        <v>41.2</v>
      </c>
      <c r="M598" s="6">
        <v>154.5</v>
      </c>
      <c r="N598" s="8">
        <f t="shared" si="63"/>
        <v>76.679999999999993</v>
      </c>
      <c r="O598" s="8">
        <f t="shared" si="64"/>
        <v>1971.88</v>
      </c>
      <c r="P598" s="8">
        <f t="shared" si="65"/>
        <v>1971.88</v>
      </c>
      <c r="Q598" s="8">
        <f t="shared" si="66"/>
        <v>0</v>
      </c>
      <c r="R598" s="9">
        <f t="shared" si="67"/>
        <v>1971.88</v>
      </c>
      <c r="S598" s="10">
        <f t="shared" si="68"/>
        <v>164.32333333333335</v>
      </c>
      <c r="T598">
        <v>165</v>
      </c>
      <c r="U598">
        <f t="shared" si="69"/>
        <v>10.5</v>
      </c>
    </row>
    <row r="599" spans="1:21" ht="14.25" customHeight="1" x14ac:dyDescent="0.35">
      <c r="A599" s="6" t="s">
        <v>2033</v>
      </c>
      <c r="B599" s="6" t="s">
        <v>2034</v>
      </c>
      <c r="C599" s="6" t="s">
        <v>2035</v>
      </c>
      <c r="D599" s="6" t="s">
        <v>65</v>
      </c>
      <c r="E599" s="7" t="s">
        <v>23</v>
      </c>
      <c r="F599" s="6">
        <v>85210</v>
      </c>
      <c r="G599" s="6" t="s">
        <v>24</v>
      </c>
      <c r="H599" s="6" t="s">
        <v>25</v>
      </c>
      <c r="I599" s="6" t="s">
        <v>26</v>
      </c>
      <c r="J599" s="6" t="b">
        <v>1</v>
      </c>
      <c r="K599" s="6" t="s">
        <v>27</v>
      </c>
      <c r="L599" s="6">
        <v>41.2</v>
      </c>
      <c r="M599" s="6">
        <v>154.5</v>
      </c>
      <c r="N599" s="8">
        <f t="shared" si="63"/>
        <v>76.679999999999993</v>
      </c>
      <c r="O599" s="8">
        <f t="shared" si="64"/>
        <v>1971.88</v>
      </c>
      <c r="P599" s="8">
        <f t="shared" si="65"/>
        <v>1971.88</v>
      </c>
      <c r="Q599" s="8">
        <f t="shared" si="66"/>
        <v>0</v>
      </c>
      <c r="R599" s="9">
        <f t="shared" si="67"/>
        <v>1971.88</v>
      </c>
      <c r="S599" s="10">
        <f t="shared" si="68"/>
        <v>164.32333333333335</v>
      </c>
      <c r="T599">
        <v>165</v>
      </c>
      <c r="U599">
        <f t="shared" si="69"/>
        <v>10.5</v>
      </c>
    </row>
    <row r="600" spans="1:21" ht="14.25" customHeight="1" x14ac:dyDescent="0.35">
      <c r="A600" s="6" t="s">
        <v>2036</v>
      </c>
      <c r="B600" s="6" t="s">
        <v>2037</v>
      </c>
      <c r="C600" s="6" t="s">
        <v>2038</v>
      </c>
      <c r="D600" s="6" t="s">
        <v>22</v>
      </c>
      <c r="E600" s="7" t="s">
        <v>23</v>
      </c>
      <c r="F600" s="6">
        <v>85249</v>
      </c>
      <c r="G600" s="6" t="s">
        <v>125</v>
      </c>
      <c r="H600" s="6" t="s">
        <v>126</v>
      </c>
      <c r="I600" s="6" t="s">
        <v>26</v>
      </c>
      <c r="J600" s="6" t="b">
        <v>1</v>
      </c>
      <c r="K600" s="6" t="s">
        <v>27</v>
      </c>
      <c r="L600" s="6">
        <v>41.2</v>
      </c>
      <c r="M600" s="6">
        <v>154.5</v>
      </c>
      <c r="N600" s="8">
        <f t="shared" si="63"/>
        <v>76.679999999999993</v>
      </c>
      <c r="O600" s="8">
        <f t="shared" si="64"/>
        <v>1971.88</v>
      </c>
      <c r="P600" s="8">
        <f t="shared" si="65"/>
        <v>1971.88</v>
      </c>
      <c r="Q600" s="8">
        <f t="shared" si="66"/>
        <v>0</v>
      </c>
      <c r="R600" s="9">
        <f t="shared" si="67"/>
        <v>1971.88</v>
      </c>
      <c r="S600" s="10">
        <f t="shared" si="68"/>
        <v>164.32333333333335</v>
      </c>
      <c r="T600">
        <v>165</v>
      </c>
      <c r="U600">
        <f t="shared" si="69"/>
        <v>10.5</v>
      </c>
    </row>
    <row r="601" spans="1:21" ht="14.25" customHeight="1" x14ac:dyDescent="0.35">
      <c r="A601" s="6" t="s">
        <v>2039</v>
      </c>
      <c r="B601" s="6" t="s">
        <v>2040</v>
      </c>
      <c r="C601" s="6" t="s">
        <v>2041</v>
      </c>
      <c r="D601" s="6" t="s">
        <v>430</v>
      </c>
      <c r="E601" s="7" t="s">
        <v>23</v>
      </c>
      <c r="F601" s="6">
        <v>85253</v>
      </c>
      <c r="G601" s="6" t="s">
        <v>49</v>
      </c>
      <c r="H601" s="6" t="s">
        <v>202</v>
      </c>
      <c r="I601" s="6" t="s">
        <v>26</v>
      </c>
      <c r="J601" s="6" t="b">
        <v>1</v>
      </c>
      <c r="K601" s="6" t="s">
        <v>27</v>
      </c>
      <c r="L601" s="6">
        <v>41.2</v>
      </c>
      <c r="M601" s="6">
        <v>154.5</v>
      </c>
      <c r="N601" s="8">
        <f t="shared" si="63"/>
        <v>76.679999999999993</v>
      </c>
      <c r="O601" s="8">
        <f t="shared" si="64"/>
        <v>1971.88</v>
      </c>
      <c r="P601" s="8">
        <f t="shared" si="65"/>
        <v>1971.88</v>
      </c>
      <c r="Q601" s="8">
        <f t="shared" si="66"/>
        <v>0</v>
      </c>
      <c r="R601" s="9">
        <f t="shared" si="67"/>
        <v>1971.88</v>
      </c>
      <c r="S601" s="10">
        <f t="shared" si="68"/>
        <v>164.32333333333335</v>
      </c>
      <c r="T601">
        <v>165</v>
      </c>
      <c r="U601">
        <f t="shared" si="69"/>
        <v>10.5</v>
      </c>
    </row>
    <row r="602" spans="1:21" ht="14.25" customHeight="1" x14ac:dyDescent="0.35">
      <c r="A602" s="6" t="s">
        <v>2042</v>
      </c>
      <c r="B602" s="6" t="s">
        <v>2043</v>
      </c>
      <c r="C602" s="6" t="s">
        <v>2044</v>
      </c>
      <c r="D602" s="6" t="s">
        <v>44</v>
      </c>
      <c r="E602" s="7" t="s">
        <v>23</v>
      </c>
      <c r="F602" s="6">
        <v>85032</v>
      </c>
      <c r="G602" s="6" t="s">
        <v>45</v>
      </c>
      <c r="H602" s="6" t="s">
        <v>169</v>
      </c>
      <c r="I602" s="6" t="s">
        <v>26</v>
      </c>
      <c r="J602" s="6" t="b">
        <v>1</v>
      </c>
      <c r="K602" s="6" t="s">
        <v>27</v>
      </c>
      <c r="L602" s="6">
        <v>41.2</v>
      </c>
      <c r="M602" s="6">
        <v>154.5</v>
      </c>
      <c r="N602" s="8">
        <f t="shared" si="63"/>
        <v>76.679999999999993</v>
      </c>
      <c r="O602" s="8">
        <f t="shared" si="64"/>
        <v>1971.88</v>
      </c>
      <c r="P602" s="8">
        <f t="shared" si="65"/>
        <v>1971.88</v>
      </c>
      <c r="Q602" s="8">
        <f t="shared" si="66"/>
        <v>0</v>
      </c>
      <c r="R602" s="9">
        <f t="shared" si="67"/>
        <v>1971.88</v>
      </c>
      <c r="S602" s="10">
        <f t="shared" si="68"/>
        <v>164.32333333333335</v>
      </c>
      <c r="T602">
        <v>165</v>
      </c>
      <c r="U602">
        <f t="shared" si="69"/>
        <v>10.5</v>
      </c>
    </row>
    <row r="603" spans="1:21" ht="14.25" customHeight="1" x14ac:dyDescent="0.35">
      <c r="A603" s="6" t="s">
        <v>2045</v>
      </c>
      <c r="B603" s="6" t="s">
        <v>2046</v>
      </c>
      <c r="C603" s="6" t="s">
        <v>2047</v>
      </c>
      <c r="D603" s="6" t="s">
        <v>31</v>
      </c>
      <c r="E603" s="7" t="s">
        <v>23</v>
      </c>
      <c r="F603" s="6">
        <v>85255</v>
      </c>
      <c r="G603" s="6" t="s">
        <v>32</v>
      </c>
      <c r="H603" s="6" t="s">
        <v>169</v>
      </c>
      <c r="I603" s="6" t="s">
        <v>61</v>
      </c>
      <c r="J603" s="6" t="b">
        <v>1</v>
      </c>
      <c r="K603" s="6" t="s">
        <v>27</v>
      </c>
      <c r="L603" s="6">
        <v>41.2</v>
      </c>
      <c r="M603" s="6">
        <v>154.5</v>
      </c>
      <c r="N603" s="8">
        <f t="shared" si="63"/>
        <v>76.679999999999993</v>
      </c>
      <c r="O603" s="8">
        <f t="shared" si="64"/>
        <v>1971.88</v>
      </c>
      <c r="P603" s="8">
        <f t="shared" si="65"/>
        <v>1971.88</v>
      </c>
      <c r="Q603" s="8">
        <f t="shared" si="66"/>
        <v>0</v>
      </c>
      <c r="R603" s="9">
        <f t="shared" si="67"/>
        <v>1971.88</v>
      </c>
      <c r="S603" s="10">
        <f t="shared" si="68"/>
        <v>164.32333333333335</v>
      </c>
      <c r="T603">
        <v>165</v>
      </c>
      <c r="U603">
        <f t="shared" si="69"/>
        <v>10.5</v>
      </c>
    </row>
    <row r="604" spans="1:21" ht="14.25" customHeight="1" x14ac:dyDescent="0.35">
      <c r="A604" s="6" t="s">
        <v>2048</v>
      </c>
      <c r="B604" s="6" t="s">
        <v>2049</v>
      </c>
      <c r="C604" s="6" t="s">
        <v>2050</v>
      </c>
      <c r="D604" s="6" t="s">
        <v>44</v>
      </c>
      <c r="E604" s="7" t="s">
        <v>23</v>
      </c>
      <c r="F604" s="6">
        <v>85032</v>
      </c>
      <c r="G604" s="6" t="s">
        <v>45</v>
      </c>
      <c r="H604" s="6" t="s">
        <v>33</v>
      </c>
      <c r="I604" s="6" t="s">
        <v>26</v>
      </c>
      <c r="J604" s="6" t="b">
        <v>1</v>
      </c>
      <c r="K604" s="6" t="s">
        <v>27</v>
      </c>
      <c r="L604" s="6">
        <v>41.2</v>
      </c>
      <c r="M604" s="6">
        <v>154.5</v>
      </c>
      <c r="N604" s="8">
        <f t="shared" si="63"/>
        <v>76.679999999999993</v>
      </c>
      <c r="O604" s="8">
        <f t="shared" si="64"/>
        <v>1971.88</v>
      </c>
      <c r="P604" s="8">
        <f t="shared" si="65"/>
        <v>1971.88</v>
      </c>
      <c r="Q604" s="8">
        <f t="shared" si="66"/>
        <v>0</v>
      </c>
      <c r="R604" s="9">
        <f t="shared" si="67"/>
        <v>1971.88</v>
      </c>
      <c r="S604" s="10">
        <f t="shared" si="68"/>
        <v>164.32333333333335</v>
      </c>
      <c r="T604">
        <v>165</v>
      </c>
      <c r="U604">
        <f t="shared" si="69"/>
        <v>10.5</v>
      </c>
    </row>
    <row r="605" spans="1:21" ht="14.25" customHeight="1" x14ac:dyDescent="0.35">
      <c r="A605" s="6" t="s">
        <v>2051</v>
      </c>
      <c r="B605" s="6" t="s">
        <v>2052</v>
      </c>
      <c r="C605" s="6" t="s">
        <v>2053</v>
      </c>
      <c r="D605" s="6" t="s">
        <v>44</v>
      </c>
      <c r="E605" s="7" t="s">
        <v>23</v>
      </c>
      <c r="F605" s="6">
        <v>85085</v>
      </c>
      <c r="G605" s="6" t="s">
        <v>32</v>
      </c>
      <c r="H605" s="6" t="s">
        <v>50</v>
      </c>
      <c r="I605" s="6" t="s">
        <v>61</v>
      </c>
      <c r="J605" s="6" t="b">
        <v>1</v>
      </c>
      <c r="K605" s="6" t="s">
        <v>27</v>
      </c>
      <c r="L605" s="6">
        <v>41.2</v>
      </c>
      <c r="M605" s="6">
        <v>154.5</v>
      </c>
      <c r="N605" s="8">
        <f t="shared" si="63"/>
        <v>76.679999999999993</v>
      </c>
      <c r="O605" s="8">
        <f t="shared" si="64"/>
        <v>1971.88</v>
      </c>
      <c r="P605" s="8">
        <f t="shared" si="65"/>
        <v>1971.88</v>
      </c>
      <c r="Q605" s="8">
        <f t="shared" si="66"/>
        <v>0</v>
      </c>
      <c r="R605" s="9">
        <f t="shared" si="67"/>
        <v>1971.88</v>
      </c>
      <c r="S605" s="10">
        <f t="shared" si="68"/>
        <v>164.32333333333335</v>
      </c>
      <c r="T605">
        <v>165</v>
      </c>
      <c r="U605">
        <f t="shared" si="69"/>
        <v>10.5</v>
      </c>
    </row>
    <row r="606" spans="1:21" ht="14.25" customHeight="1" x14ac:dyDescent="0.35">
      <c r="A606" s="6" t="s">
        <v>2054</v>
      </c>
      <c r="B606" s="6" t="s">
        <v>2055</v>
      </c>
      <c r="C606" s="6" t="s">
        <v>2056</v>
      </c>
      <c r="D606" s="6" t="s">
        <v>65</v>
      </c>
      <c r="E606" s="7" t="s">
        <v>23</v>
      </c>
      <c r="F606" s="6">
        <v>85213</v>
      </c>
      <c r="G606" s="6" t="s">
        <v>66</v>
      </c>
      <c r="H606" s="6" t="s">
        <v>67</v>
      </c>
      <c r="I606" s="6" t="s">
        <v>26</v>
      </c>
      <c r="J606" s="6" t="b">
        <v>1</v>
      </c>
      <c r="K606" s="6" t="s">
        <v>27</v>
      </c>
      <c r="L606" s="6">
        <v>41.2</v>
      </c>
      <c r="M606" s="6">
        <v>154.5</v>
      </c>
      <c r="N606" s="8">
        <f t="shared" si="63"/>
        <v>76.679999999999993</v>
      </c>
      <c r="O606" s="8">
        <f t="shared" si="64"/>
        <v>1971.88</v>
      </c>
      <c r="P606" s="8">
        <f t="shared" si="65"/>
        <v>1971.88</v>
      </c>
      <c r="Q606" s="8">
        <f t="shared" si="66"/>
        <v>0</v>
      </c>
      <c r="R606" s="9">
        <f t="shared" si="67"/>
        <v>1971.88</v>
      </c>
      <c r="S606" s="10">
        <f t="shared" si="68"/>
        <v>164.32333333333335</v>
      </c>
      <c r="T606">
        <v>165</v>
      </c>
      <c r="U606">
        <f t="shared" si="69"/>
        <v>10.5</v>
      </c>
    </row>
    <row r="607" spans="1:21" ht="14.25" customHeight="1" x14ac:dyDescent="0.35">
      <c r="A607" s="6" t="s">
        <v>2057</v>
      </c>
      <c r="B607" s="6" t="s">
        <v>2058</v>
      </c>
      <c r="C607" s="6" t="s">
        <v>2059</v>
      </c>
      <c r="D607" s="6" t="s">
        <v>31</v>
      </c>
      <c r="E607" s="7" t="s">
        <v>23</v>
      </c>
      <c r="F607" s="6">
        <v>85254</v>
      </c>
      <c r="G607" s="6" t="s">
        <v>45</v>
      </c>
      <c r="H607" s="6" t="s">
        <v>291</v>
      </c>
      <c r="I607" s="6" t="s">
        <v>26</v>
      </c>
      <c r="J607" s="6" t="b">
        <v>1</v>
      </c>
      <c r="K607" s="6" t="s">
        <v>27</v>
      </c>
      <c r="L607" s="6">
        <v>41.2</v>
      </c>
      <c r="M607" s="6">
        <v>154.5</v>
      </c>
      <c r="N607" s="8">
        <f t="shared" si="63"/>
        <v>76.679999999999993</v>
      </c>
      <c r="O607" s="8">
        <f t="shared" si="64"/>
        <v>1971.88</v>
      </c>
      <c r="P607" s="8">
        <f t="shared" si="65"/>
        <v>1971.88</v>
      </c>
      <c r="Q607" s="8">
        <f t="shared" si="66"/>
        <v>0</v>
      </c>
      <c r="R607" s="9">
        <f t="shared" si="67"/>
        <v>1971.88</v>
      </c>
      <c r="S607" s="10">
        <f t="shared" si="68"/>
        <v>164.32333333333335</v>
      </c>
      <c r="T607">
        <v>165</v>
      </c>
      <c r="U607">
        <f t="shared" si="69"/>
        <v>10.5</v>
      </c>
    </row>
    <row r="608" spans="1:21" ht="14.25" customHeight="1" x14ac:dyDescent="0.35">
      <c r="A608" s="6" t="s">
        <v>2060</v>
      </c>
      <c r="B608" s="6" t="s">
        <v>2061</v>
      </c>
      <c r="C608" s="6" t="s">
        <v>2062</v>
      </c>
      <c r="D608" s="6" t="s">
        <v>71</v>
      </c>
      <c r="E608" s="7" t="s">
        <v>23</v>
      </c>
      <c r="F608" s="6">
        <v>85383</v>
      </c>
      <c r="G608" s="6" t="s">
        <v>78</v>
      </c>
      <c r="H608" s="6" t="s">
        <v>268</v>
      </c>
      <c r="I608" s="6" t="s">
        <v>61</v>
      </c>
      <c r="J608" s="6" t="b">
        <v>1</v>
      </c>
      <c r="K608" s="6" t="s">
        <v>27</v>
      </c>
      <c r="L608" s="6">
        <v>41.2</v>
      </c>
      <c r="M608" s="6">
        <v>154.5</v>
      </c>
      <c r="N608" s="8">
        <f t="shared" si="63"/>
        <v>76.679999999999993</v>
      </c>
      <c r="O608" s="8">
        <f t="shared" si="64"/>
        <v>1971.88</v>
      </c>
      <c r="P608" s="8">
        <f t="shared" si="65"/>
        <v>1971.88</v>
      </c>
      <c r="Q608" s="8">
        <f t="shared" si="66"/>
        <v>0</v>
      </c>
      <c r="R608" s="9">
        <f t="shared" si="67"/>
        <v>1971.88</v>
      </c>
      <c r="S608" s="10">
        <f t="shared" si="68"/>
        <v>164.32333333333335</v>
      </c>
      <c r="T608">
        <v>165</v>
      </c>
      <c r="U608">
        <f t="shared" si="69"/>
        <v>10.5</v>
      </c>
    </row>
    <row r="609" spans="1:21" ht="14.25" customHeight="1" x14ac:dyDescent="0.35">
      <c r="A609" s="6" t="s">
        <v>2063</v>
      </c>
      <c r="B609" s="6" t="s">
        <v>2064</v>
      </c>
      <c r="C609" s="6" t="s">
        <v>2065</v>
      </c>
      <c r="D609" s="6" t="s">
        <v>31</v>
      </c>
      <c r="E609" s="7" t="s">
        <v>23</v>
      </c>
      <c r="F609" s="6">
        <v>85254</v>
      </c>
      <c r="G609" s="6" t="s">
        <v>45</v>
      </c>
      <c r="H609" s="6" t="s">
        <v>169</v>
      </c>
      <c r="I609" s="6" t="s">
        <v>26</v>
      </c>
      <c r="J609" s="6" t="b">
        <v>1</v>
      </c>
      <c r="K609" s="6" t="s">
        <v>27</v>
      </c>
      <c r="L609" s="6">
        <v>41.2</v>
      </c>
      <c r="M609" s="6">
        <v>154.5</v>
      </c>
      <c r="N609" s="8">
        <f t="shared" si="63"/>
        <v>76.679999999999993</v>
      </c>
      <c r="O609" s="8">
        <f t="shared" si="64"/>
        <v>1971.88</v>
      </c>
      <c r="P609" s="8">
        <f t="shared" si="65"/>
        <v>1971.88</v>
      </c>
      <c r="Q609" s="8">
        <f t="shared" si="66"/>
        <v>0</v>
      </c>
      <c r="R609" s="9">
        <f t="shared" si="67"/>
        <v>1971.88</v>
      </c>
      <c r="S609" s="10">
        <f t="shared" si="68"/>
        <v>164.32333333333335</v>
      </c>
      <c r="T609">
        <v>165</v>
      </c>
      <c r="U609">
        <f t="shared" si="69"/>
        <v>10.5</v>
      </c>
    </row>
    <row r="610" spans="1:21" ht="14.25" customHeight="1" x14ac:dyDescent="0.35">
      <c r="A610" s="6" t="s">
        <v>2066</v>
      </c>
      <c r="B610" s="6" t="s">
        <v>2067</v>
      </c>
      <c r="C610" s="6" t="s">
        <v>2068</v>
      </c>
      <c r="D610" s="6" t="s">
        <v>31</v>
      </c>
      <c r="E610" s="7" t="s">
        <v>23</v>
      </c>
      <c r="F610" s="6">
        <v>85254</v>
      </c>
      <c r="G610" s="6" t="s">
        <v>45</v>
      </c>
      <c r="H610" s="6" t="s">
        <v>169</v>
      </c>
      <c r="I610" s="6" t="s">
        <v>26</v>
      </c>
      <c r="J610" s="6" t="b">
        <v>1</v>
      </c>
      <c r="K610" s="6" t="s">
        <v>27</v>
      </c>
      <c r="L610" s="6">
        <v>41.2</v>
      </c>
      <c r="M610" s="6">
        <v>154.5</v>
      </c>
      <c r="N610" s="8">
        <f t="shared" si="63"/>
        <v>76.679999999999993</v>
      </c>
      <c r="O610" s="8">
        <f t="shared" si="64"/>
        <v>1971.88</v>
      </c>
      <c r="P610" s="8">
        <f t="shared" si="65"/>
        <v>1971.88</v>
      </c>
      <c r="Q610" s="8">
        <f t="shared" si="66"/>
        <v>0</v>
      </c>
      <c r="R610" s="9">
        <f t="shared" si="67"/>
        <v>1971.88</v>
      </c>
      <c r="S610" s="10">
        <f t="shared" si="68"/>
        <v>164.32333333333335</v>
      </c>
      <c r="T610">
        <v>165</v>
      </c>
      <c r="U610">
        <f t="shared" si="69"/>
        <v>10.5</v>
      </c>
    </row>
    <row r="611" spans="1:21" ht="14.25" customHeight="1" x14ac:dyDescent="0.35">
      <c r="A611" s="6" t="s">
        <v>2069</v>
      </c>
      <c r="B611" s="6" t="s">
        <v>2070</v>
      </c>
      <c r="C611" s="6" t="s">
        <v>2071</v>
      </c>
      <c r="D611" s="6" t="s">
        <v>77</v>
      </c>
      <c r="E611" s="7" t="s">
        <v>23</v>
      </c>
      <c r="F611" s="6">
        <v>85308</v>
      </c>
      <c r="G611" s="6" t="s">
        <v>78</v>
      </c>
      <c r="H611" s="6" t="s">
        <v>79</v>
      </c>
      <c r="I611" s="6" t="s">
        <v>110</v>
      </c>
      <c r="J611" s="6" t="b">
        <v>1</v>
      </c>
      <c r="K611" s="6" t="s">
        <v>27</v>
      </c>
      <c r="L611" s="6">
        <v>41.2</v>
      </c>
      <c r="M611" s="6">
        <v>154.5</v>
      </c>
      <c r="N611" s="8">
        <f t="shared" si="63"/>
        <v>76.679999999999993</v>
      </c>
      <c r="O611" s="8">
        <f t="shared" si="64"/>
        <v>1971.88</v>
      </c>
      <c r="P611" s="8">
        <f t="shared" si="65"/>
        <v>1971.88</v>
      </c>
      <c r="Q611" s="8">
        <f t="shared" si="66"/>
        <v>0</v>
      </c>
      <c r="R611" s="9">
        <f t="shared" si="67"/>
        <v>1971.88</v>
      </c>
      <c r="S611" s="10">
        <f t="shared" si="68"/>
        <v>164.32333333333335</v>
      </c>
      <c r="T611">
        <v>165</v>
      </c>
      <c r="U611">
        <f t="shared" si="69"/>
        <v>10.5</v>
      </c>
    </row>
    <row r="612" spans="1:21" ht="14.25" customHeight="1" x14ac:dyDescent="0.35">
      <c r="A612" s="6" t="s">
        <v>2072</v>
      </c>
      <c r="B612" s="6" t="s">
        <v>2073</v>
      </c>
      <c r="C612" s="6" t="s">
        <v>2074</v>
      </c>
      <c r="D612" s="6" t="s">
        <v>22</v>
      </c>
      <c r="E612" s="7" t="s">
        <v>23</v>
      </c>
      <c r="F612" s="6">
        <v>85226</v>
      </c>
      <c r="G612" s="6" t="s">
        <v>24</v>
      </c>
      <c r="H612" s="6" t="s">
        <v>25</v>
      </c>
      <c r="I612" s="6" t="s">
        <v>26</v>
      </c>
      <c r="J612" s="6" t="b">
        <v>1</v>
      </c>
      <c r="K612" s="6" t="s">
        <v>27</v>
      </c>
      <c r="L612" s="6">
        <v>41.2</v>
      </c>
      <c r="M612" s="6">
        <v>154.5</v>
      </c>
      <c r="N612" s="8">
        <f t="shared" si="63"/>
        <v>76.679999999999993</v>
      </c>
      <c r="O612" s="8">
        <f t="shared" si="64"/>
        <v>1971.88</v>
      </c>
      <c r="P612" s="8">
        <f t="shared" si="65"/>
        <v>1971.88</v>
      </c>
      <c r="Q612" s="8">
        <f t="shared" si="66"/>
        <v>0</v>
      </c>
      <c r="R612" s="9">
        <f t="shared" si="67"/>
        <v>1971.88</v>
      </c>
      <c r="S612" s="10">
        <f t="shared" si="68"/>
        <v>164.32333333333335</v>
      </c>
      <c r="T612">
        <v>165</v>
      </c>
      <c r="U612">
        <f t="shared" si="69"/>
        <v>10.5</v>
      </c>
    </row>
    <row r="613" spans="1:21" ht="14.25" customHeight="1" x14ac:dyDescent="0.35">
      <c r="A613" s="6" t="s">
        <v>2075</v>
      </c>
      <c r="B613" s="6" t="s">
        <v>2076</v>
      </c>
      <c r="C613" s="6" t="s">
        <v>2077</v>
      </c>
      <c r="D613" s="6" t="s">
        <v>22</v>
      </c>
      <c r="E613" s="7" t="s">
        <v>23</v>
      </c>
      <c r="F613" s="6">
        <v>85286</v>
      </c>
      <c r="G613" s="6" t="s">
        <v>125</v>
      </c>
      <c r="H613" s="6" t="s">
        <v>126</v>
      </c>
      <c r="I613" s="6" t="s">
        <v>26</v>
      </c>
      <c r="J613" s="6" t="b">
        <v>1</v>
      </c>
      <c r="K613" s="6" t="s">
        <v>27</v>
      </c>
      <c r="L613" s="6">
        <v>41.2</v>
      </c>
      <c r="M613" s="6">
        <v>154.5</v>
      </c>
      <c r="N613" s="8">
        <f t="shared" si="63"/>
        <v>76.679999999999993</v>
      </c>
      <c r="O613" s="8">
        <f t="shared" si="64"/>
        <v>1971.88</v>
      </c>
      <c r="P613" s="8">
        <f t="shared" si="65"/>
        <v>1971.88</v>
      </c>
      <c r="Q613" s="8">
        <f t="shared" si="66"/>
        <v>0</v>
      </c>
      <c r="R613" s="9">
        <f t="shared" si="67"/>
        <v>1971.88</v>
      </c>
      <c r="S613" s="10">
        <f t="shared" si="68"/>
        <v>164.32333333333335</v>
      </c>
      <c r="T613">
        <v>165</v>
      </c>
      <c r="U613">
        <f t="shared" si="69"/>
        <v>10.5</v>
      </c>
    </row>
    <row r="614" spans="1:21" ht="14.25" customHeight="1" x14ac:dyDescent="0.35">
      <c r="A614" s="6" t="s">
        <v>2078</v>
      </c>
      <c r="B614" s="6" t="s">
        <v>2079</v>
      </c>
      <c r="C614" s="6" t="s">
        <v>2080</v>
      </c>
      <c r="D614" s="6" t="s">
        <v>31</v>
      </c>
      <c r="E614" s="7" t="s">
        <v>23</v>
      </c>
      <c r="F614" s="6">
        <v>85262</v>
      </c>
      <c r="G614" s="6" t="s">
        <v>32</v>
      </c>
      <c r="H614" s="6" t="s">
        <v>33</v>
      </c>
      <c r="I614" s="6" t="s">
        <v>26</v>
      </c>
      <c r="J614" s="6" t="b">
        <v>1</v>
      </c>
      <c r="K614" s="6" t="s">
        <v>27</v>
      </c>
      <c r="L614" s="6">
        <v>41.2</v>
      </c>
      <c r="M614" s="6">
        <v>154.5</v>
      </c>
      <c r="N614" s="8">
        <f t="shared" si="63"/>
        <v>76.679999999999993</v>
      </c>
      <c r="O614" s="8">
        <f t="shared" si="64"/>
        <v>1971.88</v>
      </c>
      <c r="P614" s="8">
        <f t="shared" si="65"/>
        <v>1971.88</v>
      </c>
      <c r="Q614" s="8">
        <f t="shared" si="66"/>
        <v>0</v>
      </c>
      <c r="R614" s="9">
        <f t="shared" si="67"/>
        <v>1971.88</v>
      </c>
      <c r="S614" s="10">
        <f t="shared" si="68"/>
        <v>164.32333333333335</v>
      </c>
      <c r="T614">
        <v>165</v>
      </c>
      <c r="U614">
        <f t="shared" si="69"/>
        <v>10.5</v>
      </c>
    </row>
    <row r="615" spans="1:21" ht="14.25" customHeight="1" x14ac:dyDescent="0.35">
      <c r="A615" s="6" t="s">
        <v>2081</v>
      </c>
      <c r="B615" s="6" t="s">
        <v>2082</v>
      </c>
      <c r="C615" s="6" t="s">
        <v>2083</v>
      </c>
      <c r="D615" s="6" t="s">
        <v>818</v>
      </c>
      <c r="E615" s="7" t="s">
        <v>23</v>
      </c>
      <c r="F615" s="6">
        <v>85340</v>
      </c>
      <c r="G615" s="6" t="s">
        <v>38</v>
      </c>
      <c r="H615" s="6" t="s">
        <v>378</v>
      </c>
      <c r="I615" s="6" t="s">
        <v>110</v>
      </c>
      <c r="J615" s="6" t="b">
        <v>1</v>
      </c>
      <c r="K615" s="6" t="s">
        <v>27</v>
      </c>
      <c r="L615" s="6">
        <v>41.2</v>
      </c>
      <c r="M615" s="6">
        <v>154.5</v>
      </c>
      <c r="N615" s="8">
        <f t="shared" si="63"/>
        <v>76.679999999999993</v>
      </c>
      <c r="O615" s="8">
        <f t="shared" si="64"/>
        <v>1971.88</v>
      </c>
      <c r="P615" s="8">
        <f t="shared" si="65"/>
        <v>1971.88</v>
      </c>
      <c r="Q615" s="8">
        <f t="shared" si="66"/>
        <v>0</v>
      </c>
      <c r="R615" s="9">
        <f t="shared" si="67"/>
        <v>1971.88</v>
      </c>
      <c r="S615" s="10">
        <f t="shared" si="68"/>
        <v>164.32333333333335</v>
      </c>
      <c r="T615">
        <v>165</v>
      </c>
      <c r="U615">
        <f t="shared" si="69"/>
        <v>10.5</v>
      </c>
    </row>
    <row r="616" spans="1:21" ht="14.25" customHeight="1" x14ac:dyDescent="0.35">
      <c r="A616" s="6" t="s">
        <v>2084</v>
      </c>
      <c r="B616" s="6" t="s">
        <v>2085</v>
      </c>
      <c r="C616" s="6" t="s">
        <v>2086</v>
      </c>
      <c r="D616" s="6" t="s">
        <v>165</v>
      </c>
      <c r="E616" s="7" t="s">
        <v>23</v>
      </c>
      <c r="F616" s="6">
        <v>85295</v>
      </c>
      <c r="G616" s="6" t="s">
        <v>125</v>
      </c>
      <c r="H616" s="6" t="s">
        <v>180</v>
      </c>
      <c r="I616" s="6" t="s">
        <v>26</v>
      </c>
      <c r="J616" s="6" t="b">
        <v>1</v>
      </c>
      <c r="K616" s="6" t="s">
        <v>27</v>
      </c>
      <c r="L616" s="6">
        <v>41.2</v>
      </c>
      <c r="M616" s="6">
        <v>154.5</v>
      </c>
      <c r="N616" s="8">
        <f t="shared" si="63"/>
        <v>76.679999999999993</v>
      </c>
      <c r="O616" s="8">
        <f t="shared" si="64"/>
        <v>1971.88</v>
      </c>
      <c r="P616" s="8">
        <f t="shared" si="65"/>
        <v>1971.88</v>
      </c>
      <c r="Q616" s="8">
        <f t="shared" si="66"/>
        <v>0</v>
      </c>
      <c r="R616" s="9">
        <f t="shared" si="67"/>
        <v>1971.88</v>
      </c>
      <c r="S616" s="10">
        <f t="shared" si="68"/>
        <v>164.32333333333335</v>
      </c>
      <c r="T616">
        <v>165</v>
      </c>
      <c r="U616">
        <f t="shared" si="69"/>
        <v>10.5</v>
      </c>
    </row>
    <row r="617" spans="1:21" ht="14.25" customHeight="1" x14ac:dyDescent="0.35">
      <c r="A617" s="6" t="s">
        <v>2087</v>
      </c>
      <c r="B617" s="6" t="s">
        <v>2088</v>
      </c>
      <c r="C617" s="6" t="s">
        <v>2089</v>
      </c>
      <c r="D617" s="6" t="s">
        <v>363</v>
      </c>
      <c r="E617" s="7" t="s">
        <v>23</v>
      </c>
      <c r="F617" s="6">
        <v>85284</v>
      </c>
      <c r="G617" s="6" t="s">
        <v>24</v>
      </c>
      <c r="H617" s="6" t="s">
        <v>25</v>
      </c>
      <c r="I617" s="6" t="s">
        <v>26</v>
      </c>
      <c r="J617" s="6" t="b">
        <v>1</v>
      </c>
      <c r="K617" s="6" t="s">
        <v>27</v>
      </c>
      <c r="L617" s="6">
        <v>41.2</v>
      </c>
      <c r="M617" s="6">
        <v>154.5</v>
      </c>
      <c r="N617" s="8">
        <f t="shared" si="63"/>
        <v>76.679999999999993</v>
      </c>
      <c r="O617" s="8">
        <f t="shared" si="64"/>
        <v>1971.88</v>
      </c>
      <c r="P617" s="8">
        <f t="shared" si="65"/>
        <v>1971.88</v>
      </c>
      <c r="Q617" s="8">
        <f t="shared" si="66"/>
        <v>0</v>
      </c>
      <c r="R617" s="9">
        <f t="shared" si="67"/>
        <v>1971.88</v>
      </c>
      <c r="S617" s="10">
        <f t="shared" si="68"/>
        <v>164.32333333333335</v>
      </c>
      <c r="T617">
        <v>165</v>
      </c>
      <c r="U617">
        <f t="shared" si="69"/>
        <v>10.5</v>
      </c>
    </row>
    <row r="618" spans="1:21" ht="14.25" customHeight="1" x14ac:dyDescent="0.35">
      <c r="A618" s="6" t="s">
        <v>2090</v>
      </c>
      <c r="B618" s="6" t="s">
        <v>2091</v>
      </c>
      <c r="C618" s="6" t="s">
        <v>2092</v>
      </c>
      <c r="D618" s="6" t="s">
        <v>892</v>
      </c>
      <c r="E618" s="7" t="s">
        <v>23</v>
      </c>
      <c r="F618" s="6">
        <v>85143</v>
      </c>
      <c r="G618" s="6" t="s">
        <v>87</v>
      </c>
      <c r="H618" s="6" t="s">
        <v>109</v>
      </c>
      <c r="I618" s="6" t="s">
        <v>26</v>
      </c>
      <c r="J618" s="6" t="b">
        <v>1</v>
      </c>
      <c r="K618" s="6" t="s">
        <v>27</v>
      </c>
      <c r="L618" s="6">
        <v>41.2</v>
      </c>
      <c r="M618" s="6">
        <v>154.5</v>
      </c>
      <c r="N618" s="8">
        <f t="shared" si="63"/>
        <v>76.679999999999993</v>
      </c>
      <c r="O618" s="8">
        <f t="shared" si="64"/>
        <v>1971.88</v>
      </c>
      <c r="P618" s="8">
        <f t="shared" si="65"/>
        <v>1971.88</v>
      </c>
      <c r="Q618" s="8">
        <f t="shared" si="66"/>
        <v>0</v>
      </c>
      <c r="R618" s="9">
        <f t="shared" si="67"/>
        <v>1971.88</v>
      </c>
      <c r="S618" s="10">
        <f t="shared" si="68"/>
        <v>164.32333333333335</v>
      </c>
      <c r="T618">
        <v>165</v>
      </c>
      <c r="U618">
        <f t="shared" si="69"/>
        <v>10.5</v>
      </c>
    </row>
    <row r="619" spans="1:21" ht="14.25" customHeight="1" x14ac:dyDescent="0.35">
      <c r="A619" s="6" t="s">
        <v>2093</v>
      </c>
      <c r="B619" s="6" t="s">
        <v>2094</v>
      </c>
      <c r="C619" s="6" t="s">
        <v>2095</v>
      </c>
      <c r="D619" s="6" t="s">
        <v>77</v>
      </c>
      <c r="E619" s="7" t="s">
        <v>23</v>
      </c>
      <c r="F619" s="6">
        <v>85306</v>
      </c>
      <c r="G619" s="6" t="s">
        <v>72</v>
      </c>
      <c r="H619" s="6" t="s">
        <v>93</v>
      </c>
      <c r="I619" s="6" t="s">
        <v>26</v>
      </c>
      <c r="J619" s="6" t="b">
        <v>1</v>
      </c>
      <c r="K619" s="6" t="s">
        <v>27</v>
      </c>
      <c r="L619" s="6">
        <v>41.2</v>
      </c>
      <c r="M619" s="6">
        <v>154.5</v>
      </c>
      <c r="N619" s="8">
        <f t="shared" si="63"/>
        <v>76.679999999999993</v>
      </c>
      <c r="O619" s="8">
        <f t="shared" si="64"/>
        <v>1971.88</v>
      </c>
      <c r="P619" s="8">
        <f t="shared" si="65"/>
        <v>1971.88</v>
      </c>
      <c r="Q619" s="8">
        <f t="shared" si="66"/>
        <v>0</v>
      </c>
      <c r="R619" s="9">
        <f t="shared" si="67"/>
        <v>1971.88</v>
      </c>
      <c r="S619" s="10">
        <f t="shared" si="68"/>
        <v>164.32333333333335</v>
      </c>
      <c r="T619">
        <v>165</v>
      </c>
      <c r="U619">
        <f t="shared" si="69"/>
        <v>10.5</v>
      </c>
    </row>
    <row r="620" spans="1:21" ht="14.25" customHeight="1" x14ac:dyDescent="0.35">
      <c r="A620" s="6" t="s">
        <v>2096</v>
      </c>
      <c r="B620" s="6" t="s">
        <v>2097</v>
      </c>
      <c r="C620" s="6" t="s">
        <v>2098</v>
      </c>
      <c r="D620" s="6" t="s">
        <v>165</v>
      </c>
      <c r="E620" s="7" t="s">
        <v>23</v>
      </c>
      <c r="F620" s="6">
        <v>85234</v>
      </c>
      <c r="G620" s="6" t="s">
        <v>125</v>
      </c>
      <c r="H620" s="6" t="s">
        <v>225</v>
      </c>
      <c r="I620" s="6" t="s">
        <v>110</v>
      </c>
      <c r="J620" s="6" t="b">
        <v>1</v>
      </c>
      <c r="K620" s="6" t="s">
        <v>27</v>
      </c>
      <c r="L620" s="6">
        <v>41.2</v>
      </c>
      <c r="M620" s="6">
        <v>154.5</v>
      </c>
      <c r="N620" s="8">
        <f t="shared" si="63"/>
        <v>76.679999999999993</v>
      </c>
      <c r="O620" s="8">
        <f t="shared" si="64"/>
        <v>1971.88</v>
      </c>
      <c r="P620" s="8">
        <f t="shared" si="65"/>
        <v>1971.88</v>
      </c>
      <c r="Q620" s="8">
        <f t="shared" si="66"/>
        <v>0</v>
      </c>
      <c r="R620" s="9">
        <f t="shared" si="67"/>
        <v>1971.88</v>
      </c>
      <c r="S620" s="10">
        <f t="shared" si="68"/>
        <v>164.32333333333335</v>
      </c>
      <c r="T620">
        <v>165</v>
      </c>
      <c r="U620">
        <f t="shared" si="69"/>
        <v>10.5</v>
      </c>
    </row>
    <row r="621" spans="1:21" ht="14.25" customHeight="1" x14ac:dyDescent="0.35">
      <c r="A621" s="6" t="s">
        <v>2099</v>
      </c>
      <c r="B621" s="6" t="s">
        <v>2100</v>
      </c>
      <c r="C621" s="6" t="s">
        <v>2101</v>
      </c>
      <c r="D621" s="6" t="s">
        <v>44</v>
      </c>
      <c r="E621" s="7" t="s">
        <v>23</v>
      </c>
      <c r="F621" s="6">
        <v>85027</v>
      </c>
      <c r="G621" s="6" t="s">
        <v>78</v>
      </c>
      <c r="H621" s="6" t="s">
        <v>79</v>
      </c>
      <c r="I621" s="6" t="s">
        <v>26</v>
      </c>
      <c r="J621" s="6" t="b">
        <v>1</v>
      </c>
      <c r="K621" s="6" t="s">
        <v>27</v>
      </c>
      <c r="L621" s="6">
        <v>41.2</v>
      </c>
      <c r="M621" s="6">
        <v>154.5</v>
      </c>
      <c r="N621" s="8">
        <f t="shared" si="63"/>
        <v>76.679999999999993</v>
      </c>
      <c r="O621" s="8">
        <f t="shared" si="64"/>
        <v>1971.88</v>
      </c>
      <c r="P621" s="8">
        <f t="shared" si="65"/>
        <v>1971.88</v>
      </c>
      <c r="Q621" s="8">
        <f t="shared" si="66"/>
        <v>0</v>
      </c>
      <c r="R621" s="9">
        <f t="shared" si="67"/>
        <v>1971.88</v>
      </c>
      <c r="S621" s="10">
        <f t="shared" si="68"/>
        <v>164.32333333333335</v>
      </c>
      <c r="T621">
        <v>165</v>
      </c>
      <c r="U621">
        <f t="shared" si="69"/>
        <v>10.5</v>
      </c>
    </row>
    <row r="622" spans="1:21" ht="14.25" customHeight="1" x14ac:dyDescent="0.35">
      <c r="A622" s="6" t="s">
        <v>2102</v>
      </c>
      <c r="B622" s="6" t="s">
        <v>2103</v>
      </c>
      <c r="C622" s="6" t="s">
        <v>2104</v>
      </c>
      <c r="D622" s="6" t="s">
        <v>77</v>
      </c>
      <c r="E622" s="7" t="s">
        <v>23</v>
      </c>
      <c r="F622" s="6">
        <v>85306</v>
      </c>
      <c r="G622" s="6" t="s">
        <v>72</v>
      </c>
      <c r="H622" s="6" t="s">
        <v>93</v>
      </c>
      <c r="I622" s="6" t="s">
        <v>26</v>
      </c>
      <c r="J622" s="6" t="b">
        <v>1</v>
      </c>
      <c r="K622" s="6" t="s">
        <v>27</v>
      </c>
      <c r="L622" s="6">
        <v>41.2</v>
      </c>
      <c r="M622" s="6">
        <v>154.5</v>
      </c>
      <c r="N622" s="8">
        <f t="shared" si="63"/>
        <v>76.679999999999993</v>
      </c>
      <c r="O622" s="8">
        <f t="shared" si="64"/>
        <v>1971.88</v>
      </c>
      <c r="P622" s="8">
        <f t="shared" si="65"/>
        <v>1971.88</v>
      </c>
      <c r="Q622" s="8">
        <f t="shared" si="66"/>
        <v>0</v>
      </c>
      <c r="R622" s="9">
        <f t="shared" si="67"/>
        <v>1971.88</v>
      </c>
      <c r="S622" s="10">
        <f t="shared" si="68"/>
        <v>164.32333333333335</v>
      </c>
      <c r="T622">
        <v>165</v>
      </c>
      <c r="U622">
        <f t="shared" si="69"/>
        <v>10.5</v>
      </c>
    </row>
    <row r="623" spans="1:21" ht="14.25" customHeight="1" x14ac:dyDescent="0.35">
      <c r="A623" s="6" t="s">
        <v>2105</v>
      </c>
      <c r="B623" s="6" t="s">
        <v>2106</v>
      </c>
      <c r="C623" s="6" t="s">
        <v>2107</v>
      </c>
      <c r="D623" s="6" t="s">
        <v>1226</v>
      </c>
      <c r="E623" s="7" t="s">
        <v>23</v>
      </c>
      <c r="F623" s="6">
        <v>85128</v>
      </c>
      <c r="G623" s="6" t="s">
        <v>87</v>
      </c>
      <c r="H623" s="6" t="s">
        <v>109</v>
      </c>
      <c r="I623" s="6" t="s">
        <v>61</v>
      </c>
      <c r="J623" s="6" t="b">
        <v>1</v>
      </c>
      <c r="K623" s="6" t="s">
        <v>27</v>
      </c>
      <c r="L623" s="6">
        <v>41.2</v>
      </c>
      <c r="M623" s="6">
        <v>154.5</v>
      </c>
      <c r="N623" s="8">
        <f t="shared" si="63"/>
        <v>76.679999999999993</v>
      </c>
      <c r="O623" s="8">
        <f t="shared" si="64"/>
        <v>1971.88</v>
      </c>
      <c r="P623" s="8">
        <f t="shared" si="65"/>
        <v>1971.88</v>
      </c>
      <c r="Q623" s="8">
        <f t="shared" si="66"/>
        <v>0</v>
      </c>
      <c r="R623" s="9">
        <f t="shared" si="67"/>
        <v>1971.88</v>
      </c>
      <c r="S623" s="10">
        <f t="shared" si="68"/>
        <v>164.32333333333335</v>
      </c>
      <c r="T623">
        <v>165</v>
      </c>
      <c r="U623">
        <f t="shared" si="69"/>
        <v>10.5</v>
      </c>
    </row>
    <row r="624" spans="1:21" ht="14.25" customHeight="1" x14ac:dyDescent="0.35">
      <c r="A624" s="6" t="s">
        <v>2108</v>
      </c>
      <c r="B624" s="6" t="s">
        <v>2109</v>
      </c>
      <c r="C624" s="6" t="s">
        <v>2110</v>
      </c>
      <c r="D624" s="6" t="s">
        <v>241</v>
      </c>
      <c r="E624" s="7" t="s">
        <v>23</v>
      </c>
      <c r="F624" s="6">
        <v>85331</v>
      </c>
      <c r="G624" s="6" t="s">
        <v>32</v>
      </c>
      <c r="H624" s="6" t="s">
        <v>169</v>
      </c>
      <c r="I624" s="6" t="s">
        <v>26</v>
      </c>
      <c r="J624" s="6" t="b">
        <v>1</v>
      </c>
      <c r="K624" s="6" t="s">
        <v>27</v>
      </c>
      <c r="L624" s="6">
        <v>41.2</v>
      </c>
      <c r="M624" s="6">
        <v>154.5</v>
      </c>
      <c r="N624" s="8">
        <f t="shared" si="63"/>
        <v>76.679999999999993</v>
      </c>
      <c r="O624" s="8">
        <f t="shared" si="64"/>
        <v>1971.88</v>
      </c>
      <c r="P624" s="8">
        <f t="shared" si="65"/>
        <v>1971.88</v>
      </c>
      <c r="Q624" s="8">
        <f t="shared" si="66"/>
        <v>0</v>
      </c>
      <c r="R624" s="9">
        <f t="shared" si="67"/>
        <v>1971.88</v>
      </c>
      <c r="S624" s="10">
        <f t="shared" si="68"/>
        <v>164.32333333333335</v>
      </c>
      <c r="T624">
        <v>165</v>
      </c>
      <c r="U624">
        <f t="shared" si="69"/>
        <v>10.5</v>
      </c>
    </row>
    <row r="625" spans="1:21" ht="14.25" customHeight="1" x14ac:dyDescent="0.35">
      <c r="A625" s="11" t="s">
        <v>3807</v>
      </c>
      <c r="B625" s="6" t="s">
        <v>3808</v>
      </c>
      <c r="C625" s="6" t="s">
        <v>3809</v>
      </c>
      <c r="D625" s="6" t="s">
        <v>44</v>
      </c>
      <c r="E625" s="7" t="s">
        <v>23</v>
      </c>
      <c r="F625" s="6">
        <v>85042</v>
      </c>
      <c r="G625" s="6" t="s">
        <v>213</v>
      </c>
      <c r="H625" s="6" t="s">
        <v>39</v>
      </c>
      <c r="I625" s="6" t="s">
        <v>26</v>
      </c>
      <c r="J625" s="6" t="b">
        <v>1</v>
      </c>
      <c r="K625" s="6" t="s">
        <v>94</v>
      </c>
      <c r="L625" s="6">
        <v>30.9</v>
      </c>
      <c r="M625" s="6">
        <v>154.5</v>
      </c>
      <c r="N625" s="8">
        <f t="shared" si="63"/>
        <v>76.679999999999993</v>
      </c>
      <c r="O625" s="8">
        <f t="shared" si="64"/>
        <v>1961.5800000000002</v>
      </c>
      <c r="P625" s="8">
        <f t="shared" si="65"/>
        <v>1902.7326</v>
      </c>
      <c r="Q625" s="8">
        <f t="shared" si="66"/>
        <v>-58.847400000000107</v>
      </c>
      <c r="R625" s="9">
        <f t="shared" si="67"/>
        <v>2020.4274000000003</v>
      </c>
      <c r="S625" s="10">
        <f t="shared" si="68"/>
        <v>168.36895000000001</v>
      </c>
      <c r="T625">
        <v>165</v>
      </c>
      <c r="U625">
        <f t="shared" si="69"/>
        <v>10.5</v>
      </c>
    </row>
    <row r="626" spans="1:21" ht="14.25" customHeight="1" x14ac:dyDescent="0.35">
      <c r="A626" s="6" t="s">
        <v>3827</v>
      </c>
      <c r="B626" s="6" t="s">
        <v>3828</v>
      </c>
      <c r="C626" s="6" t="s">
        <v>3829</v>
      </c>
      <c r="D626" s="6" t="s">
        <v>65</v>
      </c>
      <c r="E626" s="7" t="s">
        <v>23</v>
      </c>
      <c r="F626" s="6">
        <v>85209</v>
      </c>
      <c r="G626" s="6" t="s">
        <v>125</v>
      </c>
      <c r="H626" s="6" t="s">
        <v>180</v>
      </c>
      <c r="I626" s="6" t="s">
        <v>26</v>
      </c>
      <c r="J626" s="6" t="b">
        <v>1</v>
      </c>
      <c r="K626" s="6" t="s">
        <v>89</v>
      </c>
      <c r="L626" s="6">
        <v>40</v>
      </c>
      <c r="M626" s="6">
        <v>154.5</v>
      </c>
      <c r="N626" s="8">
        <f t="shared" si="63"/>
        <v>76.679999999999993</v>
      </c>
      <c r="O626" s="8">
        <f t="shared" si="64"/>
        <v>1970.68</v>
      </c>
      <c r="P626" s="8">
        <f t="shared" si="65"/>
        <v>1911.5596</v>
      </c>
      <c r="Q626" s="8">
        <f t="shared" si="66"/>
        <v>-59.120400000000018</v>
      </c>
      <c r="R626" s="9">
        <f t="shared" si="67"/>
        <v>2029.8004000000001</v>
      </c>
      <c r="S626" s="10">
        <f t="shared" si="68"/>
        <v>169.15003333333334</v>
      </c>
      <c r="T626">
        <v>165</v>
      </c>
      <c r="U626">
        <f t="shared" si="69"/>
        <v>10.5</v>
      </c>
    </row>
    <row r="627" spans="1:21" ht="14.25" customHeight="1" x14ac:dyDescent="0.35">
      <c r="A627" s="6" t="s">
        <v>3830</v>
      </c>
      <c r="B627" s="6" t="s">
        <v>3831</v>
      </c>
      <c r="C627" s="6" t="s">
        <v>3832</v>
      </c>
      <c r="D627" s="6" t="s">
        <v>44</v>
      </c>
      <c r="E627" s="7" t="s">
        <v>23</v>
      </c>
      <c r="F627" s="6">
        <v>85016</v>
      </c>
      <c r="G627" s="6" t="s">
        <v>49</v>
      </c>
      <c r="H627" s="6" t="s">
        <v>202</v>
      </c>
      <c r="J627" s="6" t="b">
        <v>1</v>
      </c>
      <c r="K627" s="6" t="s">
        <v>89</v>
      </c>
      <c r="L627" s="6">
        <v>40</v>
      </c>
      <c r="M627" s="6">
        <v>154.5</v>
      </c>
      <c r="N627" s="8">
        <f t="shared" si="63"/>
        <v>76.679999999999993</v>
      </c>
      <c r="O627" s="8">
        <f t="shared" si="64"/>
        <v>1970.68</v>
      </c>
      <c r="P627" s="8">
        <f t="shared" si="65"/>
        <v>1911.5596</v>
      </c>
      <c r="Q627" s="8">
        <f t="shared" si="66"/>
        <v>-59.120400000000018</v>
      </c>
      <c r="R627" s="9">
        <f t="shared" si="67"/>
        <v>2029.8004000000001</v>
      </c>
      <c r="S627" s="10">
        <f t="shared" si="68"/>
        <v>169.15003333333334</v>
      </c>
      <c r="T627">
        <v>165</v>
      </c>
      <c r="U627">
        <f t="shared" si="69"/>
        <v>10.5</v>
      </c>
    </row>
    <row r="628" spans="1:21" ht="14.25" customHeight="1" x14ac:dyDescent="0.35">
      <c r="A628" s="6" t="s">
        <v>3833</v>
      </c>
      <c r="B628" s="6" t="s">
        <v>3834</v>
      </c>
      <c r="C628" s="6" t="s">
        <v>3835</v>
      </c>
      <c r="D628" s="6" t="s">
        <v>44</v>
      </c>
      <c r="E628" s="7" t="s">
        <v>23</v>
      </c>
      <c r="F628" s="6">
        <v>85021</v>
      </c>
      <c r="G628" s="6" t="s">
        <v>72</v>
      </c>
      <c r="H628" s="6" t="s">
        <v>73</v>
      </c>
      <c r="I628" s="6" t="s">
        <v>26</v>
      </c>
      <c r="J628" s="6" t="b">
        <v>1</v>
      </c>
      <c r="K628" s="6" t="s">
        <v>89</v>
      </c>
      <c r="L628" s="6">
        <v>40</v>
      </c>
      <c r="M628" s="6">
        <v>154.5</v>
      </c>
      <c r="N628" s="8">
        <f t="shared" si="63"/>
        <v>76.679999999999993</v>
      </c>
      <c r="O628" s="8">
        <f t="shared" si="64"/>
        <v>1970.68</v>
      </c>
      <c r="P628" s="8">
        <f t="shared" si="65"/>
        <v>1911.5596</v>
      </c>
      <c r="Q628" s="8">
        <f t="shared" si="66"/>
        <v>-59.120400000000018</v>
      </c>
      <c r="R628" s="9">
        <f t="shared" si="67"/>
        <v>2029.8004000000001</v>
      </c>
      <c r="S628" s="10">
        <f t="shared" si="68"/>
        <v>169.15003333333334</v>
      </c>
      <c r="T628">
        <v>165</v>
      </c>
      <c r="U628">
        <f t="shared" si="69"/>
        <v>10.5</v>
      </c>
    </row>
    <row r="629" spans="1:21" ht="14.25" customHeight="1" x14ac:dyDescent="0.35">
      <c r="A629" s="6" t="s">
        <v>3836</v>
      </c>
      <c r="B629" s="6" t="s">
        <v>3837</v>
      </c>
      <c r="C629" s="6" t="s">
        <v>3838</v>
      </c>
      <c r="D629" s="6" t="s">
        <v>44</v>
      </c>
      <c r="E629" s="7" t="s">
        <v>23</v>
      </c>
      <c r="F629" s="6">
        <v>85021</v>
      </c>
      <c r="G629" s="6" t="s">
        <v>72</v>
      </c>
      <c r="H629" s="6" t="s">
        <v>93</v>
      </c>
      <c r="I629" s="6" t="s">
        <v>26</v>
      </c>
      <c r="J629" s="6" t="b">
        <v>1</v>
      </c>
      <c r="K629" s="6" t="s">
        <v>94</v>
      </c>
      <c r="L629" s="6">
        <v>40</v>
      </c>
      <c r="M629" s="6">
        <v>154.5</v>
      </c>
      <c r="N629" s="8">
        <f t="shared" si="63"/>
        <v>76.679999999999993</v>
      </c>
      <c r="O629" s="8">
        <f t="shared" si="64"/>
        <v>1970.68</v>
      </c>
      <c r="P629" s="8">
        <f t="shared" si="65"/>
        <v>1911.5596</v>
      </c>
      <c r="Q629" s="8">
        <f t="shared" si="66"/>
        <v>-59.120400000000018</v>
      </c>
      <c r="R629" s="9">
        <f t="shared" si="67"/>
        <v>2029.8004000000001</v>
      </c>
      <c r="S629" s="10">
        <f t="shared" si="68"/>
        <v>169.15003333333334</v>
      </c>
      <c r="T629">
        <v>165</v>
      </c>
      <c r="U629">
        <f t="shared" si="69"/>
        <v>10.5</v>
      </c>
    </row>
    <row r="630" spans="1:21" ht="14.25" customHeight="1" x14ac:dyDescent="0.35">
      <c r="A630" s="6" t="s">
        <v>3839</v>
      </c>
      <c r="B630" s="6" t="s">
        <v>3840</v>
      </c>
      <c r="C630" s="6" t="s">
        <v>3841</v>
      </c>
      <c r="D630" s="6" t="s">
        <v>44</v>
      </c>
      <c r="E630" s="7" t="s">
        <v>23</v>
      </c>
      <c r="F630" s="6">
        <v>85053</v>
      </c>
      <c r="G630" s="6" t="s">
        <v>72</v>
      </c>
      <c r="H630" s="6" t="s">
        <v>93</v>
      </c>
      <c r="I630" s="6" t="s">
        <v>26</v>
      </c>
      <c r="J630" s="6" t="b">
        <v>1</v>
      </c>
      <c r="K630" s="6" t="s">
        <v>89</v>
      </c>
      <c r="L630" s="6">
        <v>41.2</v>
      </c>
      <c r="M630" s="6">
        <v>154.5</v>
      </c>
      <c r="N630" s="8">
        <f t="shared" si="63"/>
        <v>76.679999999999993</v>
      </c>
      <c r="O630" s="8">
        <f t="shared" si="64"/>
        <v>1971.88</v>
      </c>
      <c r="P630" s="8">
        <f t="shared" si="65"/>
        <v>1912.7236</v>
      </c>
      <c r="Q630" s="8">
        <f t="shared" si="66"/>
        <v>-59.156400000000076</v>
      </c>
      <c r="R630" s="9">
        <f t="shared" si="67"/>
        <v>2031.0364000000002</v>
      </c>
      <c r="S630" s="10">
        <f t="shared" si="68"/>
        <v>169.25303333333335</v>
      </c>
      <c r="T630">
        <v>165</v>
      </c>
      <c r="U630">
        <f t="shared" si="69"/>
        <v>10.5</v>
      </c>
    </row>
    <row r="631" spans="1:21" ht="14.25" customHeight="1" x14ac:dyDescent="0.35">
      <c r="A631" s="6" t="s">
        <v>3842</v>
      </c>
      <c r="B631" s="6" t="s">
        <v>3843</v>
      </c>
      <c r="C631" s="6" t="s">
        <v>3844</v>
      </c>
      <c r="D631" s="6" t="s">
        <v>65</v>
      </c>
      <c r="E631" s="7" t="s">
        <v>23</v>
      </c>
      <c r="F631" s="6">
        <v>85207</v>
      </c>
      <c r="G631" s="6" t="s">
        <v>66</v>
      </c>
      <c r="H631" s="6" t="s">
        <v>67</v>
      </c>
      <c r="I631" s="6" t="s">
        <v>26</v>
      </c>
      <c r="J631" s="6" t="b">
        <v>1</v>
      </c>
      <c r="K631" s="6" t="s">
        <v>94</v>
      </c>
      <c r="L631" s="6">
        <v>41.2</v>
      </c>
      <c r="M631" s="6">
        <v>154.5</v>
      </c>
      <c r="N631" s="8">
        <f t="shared" si="63"/>
        <v>76.679999999999993</v>
      </c>
      <c r="O631" s="8">
        <f t="shared" si="64"/>
        <v>1971.88</v>
      </c>
      <c r="P631" s="8">
        <f t="shared" si="65"/>
        <v>1912.7236</v>
      </c>
      <c r="Q631" s="8">
        <f t="shared" si="66"/>
        <v>-59.156400000000076</v>
      </c>
      <c r="R631" s="9">
        <f t="shared" si="67"/>
        <v>2031.0364000000002</v>
      </c>
      <c r="S631" s="10">
        <f t="shared" si="68"/>
        <v>169.25303333333335</v>
      </c>
      <c r="T631">
        <v>165</v>
      </c>
      <c r="U631">
        <f t="shared" si="69"/>
        <v>10.5</v>
      </c>
    </row>
    <row r="632" spans="1:21" ht="14.25" customHeight="1" x14ac:dyDescent="0.35">
      <c r="A632" s="6" t="s">
        <v>3845</v>
      </c>
      <c r="B632" s="6" t="s">
        <v>3846</v>
      </c>
      <c r="C632" s="6" t="s">
        <v>3847</v>
      </c>
      <c r="D632" s="6" t="s">
        <v>165</v>
      </c>
      <c r="E632" s="7" t="s">
        <v>23</v>
      </c>
      <c r="F632" s="6">
        <v>85296</v>
      </c>
      <c r="G632" s="6" t="s">
        <v>125</v>
      </c>
      <c r="H632" s="6" t="s">
        <v>25</v>
      </c>
      <c r="I632" s="6" t="s">
        <v>26</v>
      </c>
      <c r="J632" s="6" t="b">
        <v>1</v>
      </c>
      <c r="K632" s="6" t="s">
        <v>94</v>
      </c>
      <c r="L632" s="6">
        <v>41.2</v>
      </c>
      <c r="M632" s="6">
        <v>154.5</v>
      </c>
      <c r="N632" s="8">
        <f t="shared" si="63"/>
        <v>76.679999999999993</v>
      </c>
      <c r="O632" s="8">
        <f t="shared" si="64"/>
        <v>1971.88</v>
      </c>
      <c r="P632" s="8">
        <f t="shared" si="65"/>
        <v>1912.7236</v>
      </c>
      <c r="Q632" s="8">
        <f t="shared" si="66"/>
        <v>-59.156400000000076</v>
      </c>
      <c r="R632" s="9">
        <f t="shared" si="67"/>
        <v>2031.0364000000002</v>
      </c>
      <c r="S632" s="10">
        <f t="shared" si="68"/>
        <v>169.25303333333335</v>
      </c>
      <c r="T632">
        <v>165</v>
      </c>
      <c r="U632">
        <f t="shared" si="69"/>
        <v>10.5</v>
      </c>
    </row>
    <row r="633" spans="1:21" ht="14.25" customHeight="1" x14ac:dyDescent="0.35">
      <c r="A633" s="6" t="s">
        <v>3848</v>
      </c>
      <c r="B633" s="6" t="s">
        <v>3849</v>
      </c>
      <c r="C633" s="6" t="s">
        <v>3850</v>
      </c>
      <c r="D633" s="6" t="s">
        <v>65</v>
      </c>
      <c r="E633" s="7" t="s">
        <v>23</v>
      </c>
      <c r="F633" s="6">
        <v>85204</v>
      </c>
      <c r="G633" s="6" t="s">
        <v>66</v>
      </c>
      <c r="H633" s="6" t="s">
        <v>67</v>
      </c>
      <c r="I633" s="6" t="s">
        <v>26</v>
      </c>
      <c r="J633" s="6" t="b">
        <v>1</v>
      </c>
      <c r="K633" s="6" t="s">
        <v>89</v>
      </c>
      <c r="L633" s="6">
        <v>41.2</v>
      </c>
      <c r="M633" s="6">
        <v>154.5</v>
      </c>
      <c r="N633" s="8">
        <f t="shared" si="63"/>
        <v>76.679999999999993</v>
      </c>
      <c r="O633" s="8">
        <f t="shared" si="64"/>
        <v>1971.88</v>
      </c>
      <c r="P633" s="8">
        <f t="shared" si="65"/>
        <v>1912.7236</v>
      </c>
      <c r="Q633" s="8">
        <f t="shared" si="66"/>
        <v>-59.156400000000076</v>
      </c>
      <c r="R633" s="9">
        <f t="shared" si="67"/>
        <v>2031.0364000000002</v>
      </c>
      <c r="S633" s="10">
        <f t="shared" si="68"/>
        <v>169.25303333333335</v>
      </c>
      <c r="T633">
        <v>165</v>
      </c>
      <c r="U633">
        <f t="shared" si="69"/>
        <v>10.5</v>
      </c>
    </row>
    <row r="634" spans="1:21" ht="14.25" customHeight="1" x14ac:dyDescent="0.35">
      <c r="A634" s="6" t="s">
        <v>3851</v>
      </c>
      <c r="B634" s="6" t="s">
        <v>3852</v>
      </c>
      <c r="C634" s="6" t="s">
        <v>3853</v>
      </c>
      <c r="D634" s="6" t="s">
        <v>31</v>
      </c>
      <c r="E634" s="7" t="s">
        <v>23</v>
      </c>
      <c r="F634" s="6">
        <v>85254</v>
      </c>
      <c r="G634" s="6" t="s">
        <v>45</v>
      </c>
      <c r="H634" s="6" t="s">
        <v>291</v>
      </c>
      <c r="I634" s="6" t="s">
        <v>26</v>
      </c>
      <c r="J634" s="6" t="b">
        <v>1</v>
      </c>
      <c r="K634" s="6" t="s">
        <v>94</v>
      </c>
      <c r="L634" s="6">
        <v>41.2</v>
      </c>
      <c r="M634" s="6">
        <v>154.5</v>
      </c>
      <c r="N634" s="8">
        <f t="shared" si="63"/>
        <v>76.679999999999993</v>
      </c>
      <c r="O634" s="8">
        <f t="shared" si="64"/>
        <v>1971.88</v>
      </c>
      <c r="P634" s="8">
        <f t="shared" si="65"/>
        <v>1912.7236</v>
      </c>
      <c r="Q634" s="8">
        <f t="shared" si="66"/>
        <v>-59.156400000000076</v>
      </c>
      <c r="R634" s="9">
        <f t="shared" si="67"/>
        <v>2031.0364000000002</v>
      </c>
      <c r="S634" s="10">
        <f t="shared" si="68"/>
        <v>169.25303333333335</v>
      </c>
      <c r="T634">
        <v>165</v>
      </c>
      <c r="U634">
        <f t="shared" si="69"/>
        <v>10.5</v>
      </c>
    </row>
    <row r="635" spans="1:21" ht="14.25" customHeight="1" x14ac:dyDescent="0.35">
      <c r="A635" s="6" t="s">
        <v>3854</v>
      </c>
      <c r="B635" s="6" t="s">
        <v>3855</v>
      </c>
      <c r="C635" s="6" t="s">
        <v>3856</v>
      </c>
      <c r="D635" s="6" t="s">
        <v>22</v>
      </c>
      <c r="E635" s="7" t="s">
        <v>23</v>
      </c>
      <c r="F635" s="6">
        <v>85249</v>
      </c>
      <c r="G635" s="6" t="s">
        <v>125</v>
      </c>
      <c r="H635" s="6" t="s">
        <v>225</v>
      </c>
      <c r="I635" s="6" t="s">
        <v>26</v>
      </c>
      <c r="J635" s="6" t="b">
        <v>1</v>
      </c>
      <c r="K635" s="6" t="s">
        <v>94</v>
      </c>
      <c r="L635" s="6">
        <v>41.2</v>
      </c>
      <c r="M635" s="6">
        <v>154.5</v>
      </c>
      <c r="N635" s="8">
        <f t="shared" si="63"/>
        <v>76.679999999999993</v>
      </c>
      <c r="O635" s="8">
        <f t="shared" si="64"/>
        <v>1971.88</v>
      </c>
      <c r="P635" s="8">
        <f t="shared" si="65"/>
        <v>1912.7236</v>
      </c>
      <c r="Q635" s="8">
        <f t="shared" si="66"/>
        <v>-59.156400000000076</v>
      </c>
      <c r="R635" s="9">
        <f t="shared" si="67"/>
        <v>2031.0364000000002</v>
      </c>
      <c r="S635" s="10">
        <f t="shared" si="68"/>
        <v>169.25303333333335</v>
      </c>
      <c r="T635">
        <v>165</v>
      </c>
      <c r="U635">
        <f t="shared" si="69"/>
        <v>10.5</v>
      </c>
    </row>
    <row r="636" spans="1:21" ht="14.25" customHeight="1" x14ac:dyDescent="0.35">
      <c r="A636" s="6" t="s">
        <v>3857</v>
      </c>
      <c r="B636" s="6" t="s">
        <v>3858</v>
      </c>
      <c r="C636" s="6" t="s">
        <v>3859</v>
      </c>
      <c r="D636" s="6" t="s">
        <v>248</v>
      </c>
      <c r="E636" s="7" t="s">
        <v>23</v>
      </c>
      <c r="F636" s="6">
        <v>85339</v>
      </c>
      <c r="G636" s="6" t="s">
        <v>213</v>
      </c>
      <c r="H636" s="6" t="s">
        <v>39</v>
      </c>
      <c r="I636" s="6" t="s">
        <v>26</v>
      </c>
      <c r="J636" s="6" t="b">
        <v>1</v>
      </c>
      <c r="K636" s="6" t="s">
        <v>94</v>
      </c>
      <c r="L636" s="6">
        <v>41.2</v>
      </c>
      <c r="M636" s="6">
        <v>154.5</v>
      </c>
      <c r="N636" s="8">
        <f t="shared" si="63"/>
        <v>76.679999999999993</v>
      </c>
      <c r="O636" s="8">
        <f t="shared" si="64"/>
        <v>1971.88</v>
      </c>
      <c r="P636" s="8">
        <f t="shared" si="65"/>
        <v>1912.7236</v>
      </c>
      <c r="Q636" s="8">
        <f t="shared" si="66"/>
        <v>-59.156400000000076</v>
      </c>
      <c r="R636" s="9">
        <f t="shared" si="67"/>
        <v>2031.0364000000002</v>
      </c>
      <c r="S636" s="10">
        <f t="shared" si="68"/>
        <v>169.25303333333335</v>
      </c>
      <c r="T636">
        <v>165</v>
      </c>
      <c r="U636">
        <f t="shared" si="69"/>
        <v>10.5</v>
      </c>
    </row>
    <row r="637" spans="1:21" ht="14.25" customHeight="1" x14ac:dyDescent="0.35">
      <c r="A637" s="6" t="s">
        <v>3860</v>
      </c>
      <c r="B637" s="6" t="s">
        <v>3861</v>
      </c>
      <c r="C637" s="6" t="s">
        <v>3862</v>
      </c>
      <c r="D637" s="6" t="s">
        <v>65</v>
      </c>
      <c r="E637" s="7" t="s">
        <v>23</v>
      </c>
      <c r="F637" s="6">
        <v>85209</v>
      </c>
      <c r="G637" s="6" t="s">
        <v>125</v>
      </c>
      <c r="H637" s="6" t="s">
        <v>180</v>
      </c>
      <c r="I637" s="6" t="s">
        <v>26</v>
      </c>
      <c r="J637" s="6" t="b">
        <v>1</v>
      </c>
      <c r="K637" s="6" t="s">
        <v>94</v>
      </c>
      <c r="L637" s="6">
        <v>41.2</v>
      </c>
      <c r="M637" s="6">
        <v>154.5</v>
      </c>
      <c r="N637" s="8">
        <f t="shared" si="63"/>
        <v>76.679999999999993</v>
      </c>
      <c r="O637" s="8">
        <f t="shared" si="64"/>
        <v>1971.88</v>
      </c>
      <c r="P637" s="8">
        <f t="shared" si="65"/>
        <v>1912.7236</v>
      </c>
      <c r="Q637" s="8">
        <f t="shared" si="66"/>
        <v>-59.156400000000076</v>
      </c>
      <c r="R637" s="9">
        <f t="shared" si="67"/>
        <v>2031.0364000000002</v>
      </c>
      <c r="S637" s="10">
        <f t="shared" si="68"/>
        <v>169.25303333333335</v>
      </c>
      <c r="T637">
        <v>165</v>
      </c>
      <c r="U637">
        <f t="shared" si="69"/>
        <v>10.5</v>
      </c>
    </row>
    <row r="638" spans="1:21" ht="14.25" customHeight="1" x14ac:dyDescent="0.35">
      <c r="A638" s="6" t="s">
        <v>3863</v>
      </c>
      <c r="B638" s="6" t="s">
        <v>3864</v>
      </c>
      <c r="C638" s="6" t="s">
        <v>3865</v>
      </c>
      <c r="D638" s="6" t="s">
        <v>44</v>
      </c>
      <c r="E638" s="7" t="s">
        <v>23</v>
      </c>
      <c r="F638" s="6">
        <v>85050</v>
      </c>
      <c r="G638" s="6" t="s">
        <v>32</v>
      </c>
      <c r="H638" s="6" t="s">
        <v>169</v>
      </c>
      <c r="I638" s="6" t="s">
        <v>26</v>
      </c>
      <c r="J638" s="6" t="b">
        <v>1</v>
      </c>
      <c r="K638" s="6" t="s">
        <v>94</v>
      </c>
      <c r="L638" s="6">
        <v>41.2</v>
      </c>
      <c r="M638" s="6">
        <v>154.5</v>
      </c>
      <c r="N638" s="8">
        <f t="shared" si="63"/>
        <v>76.679999999999993</v>
      </c>
      <c r="O638" s="8">
        <f t="shared" si="64"/>
        <v>1971.88</v>
      </c>
      <c r="P638" s="8">
        <f t="shared" si="65"/>
        <v>1912.7236</v>
      </c>
      <c r="Q638" s="8">
        <f t="shared" si="66"/>
        <v>-59.156400000000076</v>
      </c>
      <c r="R638" s="9">
        <f t="shared" si="67"/>
        <v>2031.0364000000002</v>
      </c>
      <c r="S638" s="10">
        <f t="shared" si="68"/>
        <v>169.25303333333335</v>
      </c>
      <c r="T638">
        <v>165</v>
      </c>
      <c r="U638">
        <f t="shared" si="69"/>
        <v>10.5</v>
      </c>
    </row>
    <row r="639" spans="1:21" ht="14.25" customHeight="1" x14ac:dyDescent="0.35">
      <c r="A639" s="6" t="s">
        <v>3866</v>
      </c>
      <c r="B639" s="6" t="s">
        <v>3867</v>
      </c>
      <c r="C639" s="6" t="s">
        <v>3868</v>
      </c>
      <c r="D639" s="6" t="s">
        <v>363</v>
      </c>
      <c r="E639" s="7" t="s">
        <v>23</v>
      </c>
      <c r="F639" s="6">
        <v>85282</v>
      </c>
      <c r="G639" s="6" t="s">
        <v>364</v>
      </c>
      <c r="H639" s="6" t="s">
        <v>365</v>
      </c>
      <c r="I639" s="6" t="s">
        <v>26</v>
      </c>
      <c r="J639" s="6" t="b">
        <v>1</v>
      </c>
      <c r="K639" s="6" t="s">
        <v>94</v>
      </c>
      <c r="L639" s="6">
        <v>41.2</v>
      </c>
      <c r="M639" s="6">
        <v>154.5</v>
      </c>
      <c r="N639" s="8">
        <f t="shared" si="63"/>
        <v>76.679999999999993</v>
      </c>
      <c r="O639" s="8">
        <f t="shared" si="64"/>
        <v>1971.88</v>
      </c>
      <c r="P639" s="8">
        <f t="shared" si="65"/>
        <v>1912.7236</v>
      </c>
      <c r="Q639" s="8">
        <f t="shared" si="66"/>
        <v>-59.156400000000076</v>
      </c>
      <c r="R639" s="9">
        <f t="shared" si="67"/>
        <v>2031.0364000000002</v>
      </c>
      <c r="S639" s="10">
        <f t="shared" si="68"/>
        <v>169.25303333333335</v>
      </c>
      <c r="T639">
        <v>165</v>
      </c>
      <c r="U639">
        <f t="shared" si="69"/>
        <v>10.5</v>
      </c>
    </row>
    <row r="640" spans="1:21" ht="14.25" customHeight="1" x14ac:dyDescent="0.35">
      <c r="A640" s="6" t="s">
        <v>1017</v>
      </c>
      <c r="B640" s="6" t="s">
        <v>1018</v>
      </c>
      <c r="C640" s="6" t="s">
        <v>1019</v>
      </c>
      <c r="D640" s="6" t="s">
        <v>71</v>
      </c>
      <c r="E640" s="7" t="s">
        <v>23</v>
      </c>
      <c r="F640" s="6">
        <v>85382</v>
      </c>
      <c r="G640" s="6" t="s">
        <v>78</v>
      </c>
      <c r="H640" s="6" t="s">
        <v>79</v>
      </c>
      <c r="I640" s="6" t="s">
        <v>110</v>
      </c>
      <c r="J640" s="6" t="b">
        <v>0</v>
      </c>
      <c r="K640" s="6" t="s">
        <v>27</v>
      </c>
      <c r="L640" s="6">
        <v>0</v>
      </c>
      <c r="M640" s="6">
        <v>155</v>
      </c>
      <c r="N640" s="8" t="str">
        <f t="shared" si="63"/>
        <v>0</v>
      </c>
      <c r="O640" s="8">
        <f t="shared" si="64"/>
        <v>1860</v>
      </c>
      <c r="P640" s="8">
        <f t="shared" si="65"/>
        <v>1860</v>
      </c>
      <c r="Q640" s="8">
        <f t="shared" si="66"/>
        <v>0</v>
      </c>
      <c r="R640" s="9">
        <f t="shared" si="67"/>
        <v>1860</v>
      </c>
      <c r="S640" s="10">
        <f t="shared" si="68"/>
        <v>155</v>
      </c>
      <c r="T640">
        <v>165</v>
      </c>
      <c r="U640">
        <f t="shared" si="69"/>
        <v>10</v>
      </c>
    </row>
    <row r="641" spans="1:21" ht="14.25" customHeight="1" x14ac:dyDescent="0.35">
      <c r="A641" s="6" t="s">
        <v>1020</v>
      </c>
      <c r="B641" s="6" t="s">
        <v>1021</v>
      </c>
      <c r="C641" s="6" t="s">
        <v>1022</v>
      </c>
      <c r="D641" s="6" t="s">
        <v>31</v>
      </c>
      <c r="E641" s="7" t="s">
        <v>23</v>
      </c>
      <c r="F641" s="6">
        <v>85260</v>
      </c>
      <c r="G641" s="6" t="s">
        <v>45</v>
      </c>
      <c r="H641" s="6" t="s">
        <v>291</v>
      </c>
      <c r="I641" s="6" t="s">
        <v>26</v>
      </c>
      <c r="J641" s="6" t="b">
        <v>0</v>
      </c>
      <c r="K641" s="6" t="s">
        <v>27</v>
      </c>
      <c r="L641" s="6">
        <v>0</v>
      </c>
      <c r="M641" s="6">
        <v>155</v>
      </c>
      <c r="N641" s="8" t="str">
        <f t="shared" si="63"/>
        <v>0</v>
      </c>
      <c r="O641" s="8">
        <f t="shared" si="64"/>
        <v>1860</v>
      </c>
      <c r="P641" s="8">
        <f t="shared" si="65"/>
        <v>1860</v>
      </c>
      <c r="Q641" s="8">
        <f t="shared" si="66"/>
        <v>0</v>
      </c>
      <c r="R641" s="9">
        <f t="shared" si="67"/>
        <v>1860</v>
      </c>
      <c r="S641" s="10">
        <f t="shared" si="68"/>
        <v>155</v>
      </c>
      <c r="T641">
        <v>165</v>
      </c>
      <c r="U641">
        <f t="shared" si="69"/>
        <v>10</v>
      </c>
    </row>
    <row r="642" spans="1:21" ht="14.25" customHeight="1" x14ac:dyDescent="0.35">
      <c r="A642" s="6" t="s">
        <v>1023</v>
      </c>
      <c r="B642" s="6" t="s">
        <v>1024</v>
      </c>
      <c r="C642" s="6" t="s">
        <v>1025</v>
      </c>
      <c r="D642" s="6" t="s">
        <v>65</v>
      </c>
      <c r="E642" s="7" t="s">
        <v>23</v>
      </c>
      <c r="F642" s="6">
        <v>85207</v>
      </c>
      <c r="G642" s="6" t="s">
        <v>66</v>
      </c>
      <c r="H642" s="6" t="s">
        <v>67</v>
      </c>
      <c r="I642" s="6" t="s">
        <v>110</v>
      </c>
      <c r="J642" s="6" t="b">
        <v>0</v>
      </c>
      <c r="K642" s="6" t="s">
        <v>27</v>
      </c>
      <c r="L642" s="6">
        <v>0</v>
      </c>
      <c r="M642" s="6">
        <v>155</v>
      </c>
      <c r="N642" s="8" t="str">
        <f t="shared" ref="N642:N705" si="70">IF(J642=TRUE, 6.39*12, "0")</f>
        <v>0</v>
      </c>
      <c r="O642" s="8">
        <f t="shared" ref="O642:O705" si="71">L642+(M642*12)+N642</f>
        <v>1860</v>
      </c>
      <c r="P642" s="8">
        <f t="shared" ref="P642:P705" si="72">IF(OR(K642="Check",K642="ACH"), O642*0.97, O642)</f>
        <v>1860</v>
      </c>
      <c r="Q642" s="8">
        <f t="shared" ref="Q642:Q705" si="73">P642-O642</f>
        <v>0</v>
      </c>
      <c r="R642" s="9">
        <f t="shared" ref="R642:R705" si="74">O642-Q642</f>
        <v>1860</v>
      </c>
      <c r="S642" s="10">
        <f t="shared" ref="S642:S705" si="75">R642/12</f>
        <v>155</v>
      </c>
      <c r="T642">
        <v>165</v>
      </c>
      <c r="U642">
        <f t="shared" si="69"/>
        <v>10</v>
      </c>
    </row>
    <row r="643" spans="1:21" ht="14.25" customHeight="1" x14ac:dyDescent="0.35">
      <c r="A643" s="6" t="s">
        <v>1026</v>
      </c>
      <c r="B643" s="6" t="s">
        <v>1027</v>
      </c>
      <c r="C643" s="6" t="s">
        <v>1028</v>
      </c>
      <c r="D643" s="6" t="s">
        <v>44</v>
      </c>
      <c r="E643" s="7" t="s">
        <v>23</v>
      </c>
      <c r="F643" s="6">
        <v>85041</v>
      </c>
      <c r="G643" s="6" t="s">
        <v>213</v>
      </c>
      <c r="H643" s="6" t="s">
        <v>39</v>
      </c>
      <c r="I643" s="6" t="s">
        <v>26</v>
      </c>
      <c r="J643" s="6" t="b">
        <v>0</v>
      </c>
      <c r="K643" s="6" t="s">
        <v>27</v>
      </c>
      <c r="L643" s="6">
        <v>0</v>
      </c>
      <c r="M643" s="6">
        <v>155</v>
      </c>
      <c r="N643" s="8" t="str">
        <f t="shared" si="70"/>
        <v>0</v>
      </c>
      <c r="O643" s="8">
        <f t="shared" si="71"/>
        <v>1860</v>
      </c>
      <c r="P643" s="8">
        <f t="shared" si="72"/>
        <v>1860</v>
      </c>
      <c r="Q643" s="8">
        <f t="shared" si="73"/>
        <v>0</v>
      </c>
      <c r="R643" s="9">
        <f t="shared" si="74"/>
        <v>1860</v>
      </c>
      <c r="S643" s="10">
        <f t="shared" si="75"/>
        <v>155</v>
      </c>
      <c r="T643">
        <v>165</v>
      </c>
      <c r="U643">
        <f t="shared" si="69"/>
        <v>10</v>
      </c>
    </row>
    <row r="644" spans="1:21" ht="14.25" customHeight="1" x14ac:dyDescent="0.35">
      <c r="A644" s="6" t="s">
        <v>1029</v>
      </c>
      <c r="B644" s="6" t="s">
        <v>1030</v>
      </c>
      <c r="C644" s="6" t="s">
        <v>1031</v>
      </c>
      <c r="D644" s="6" t="s">
        <v>22</v>
      </c>
      <c r="E644" s="7" t="s">
        <v>23</v>
      </c>
      <c r="F644" s="6">
        <v>85249</v>
      </c>
      <c r="G644" s="6" t="s">
        <v>125</v>
      </c>
      <c r="H644" s="6" t="s">
        <v>126</v>
      </c>
      <c r="I644" s="6" t="s">
        <v>26</v>
      </c>
      <c r="J644" s="6" t="b">
        <v>0</v>
      </c>
      <c r="K644" s="6" t="s">
        <v>27</v>
      </c>
      <c r="L644" s="6">
        <v>0</v>
      </c>
      <c r="M644" s="6">
        <v>155</v>
      </c>
      <c r="N644" s="8" t="str">
        <f t="shared" si="70"/>
        <v>0</v>
      </c>
      <c r="O644" s="8">
        <f t="shared" si="71"/>
        <v>1860</v>
      </c>
      <c r="P644" s="8">
        <f t="shared" si="72"/>
        <v>1860</v>
      </c>
      <c r="Q644" s="8">
        <f t="shared" si="73"/>
        <v>0</v>
      </c>
      <c r="R644" s="9">
        <f t="shared" si="74"/>
        <v>1860</v>
      </c>
      <c r="S644" s="10">
        <f t="shared" si="75"/>
        <v>155</v>
      </c>
      <c r="T644">
        <v>165</v>
      </c>
      <c r="U644">
        <f t="shared" ref="U644:U707" si="76">SUM(T644-M644)</f>
        <v>10</v>
      </c>
    </row>
    <row r="645" spans="1:21" ht="14.25" customHeight="1" x14ac:dyDescent="0.35">
      <c r="A645" s="6" t="s">
        <v>1032</v>
      </c>
      <c r="B645" s="6" t="s">
        <v>1033</v>
      </c>
      <c r="C645" s="6" t="s">
        <v>1034</v>
      </c>
      <c r="D645" s="6" t="s">
        <v>44</v>
      </c>
      <c r="E645" s="7" t="s">
        <v>23</v>
      </c>
      <c r="F645" s="6">
        <v>85054</v>
      </c>
      <c r="G645" s="6" t="s">
        <v>32</v>
      </c>
      <c r="H645" s="6" t="s">
        <v>169</v>
      </c>
      <c r="I645" s="6" t="s">
        <v>26</v>
      </c>
      <c r="J645" s="6" t="b">
        <v>0</v>
      </c>
      <c r="K645" s="6" t="s">
        <v>27</v>
      </c>
      <c r="L645" s="6">
        <v>0</v>
      </c>
      <c r="M645" s="6">
        <v>155</v>
      </c>
      <c r="N645" s="8" t="str">
        <f t="shared" si="70"/>
        <v>0</v>
      </c>
      <c r="O645" s="8">
        <f t="shared" si="71"/>
        <v>1860</v>
      </c>
      <c r="P645" s="8">
        <f t="shared" si="72"/>
        <v>1860</v>
      </c>
      <c r="Q645" s="8">
        <f t="shared" si="73"/>
        <v>0</v>
      </c>
      <c r="R645" s="9">
        <f t="shared" si="74"/>
        <v>1860</v>
      </c>
      <c r="S645" s="10">
        <f t="shared" si="75"/>
        <v>155</v>
      </c>
      <c r="T645">
        <v>165</v>
      </c>
      <c r="U645">
        <f t="shared" si="76"/>
        <v>10</v>
      </c>
    </row>
    <row r="646" spans="1:21" ht="14.25" customHeight="1" x14ac:dyDescent="0.35">
      <c r="A646" s="6" t="s">
        <v>1035</v>
      </c>
      <c r="B646" s="6" t="s">
        <v>1036</v>
      </c>
      <c r="C646" s="6" t="s">
        <v>1037</v>
      </c>
      <c r="D646" s="6" t="s">
        <v>44</v>
      </c>
      <c r="E646" s="7" t="s">
        <v>23</v>
      </c>
      <c r="F646" s="6">
        <v>85015</v>
      </c>
      <c r="G646" s="6" t="s">
        <v>213</v>
      </c>
      <c r="H646" s="6" t="s">
        <v>202</v>
      </c>
      <c r="I646" s="6" t="s">
        <v>26</v>
      </c>
      <c r="J646" s="6" t="b">
        <v>0</v>
      </c>
      <c r="K646" s="6" t="s">
        <v>27</v>
      </c>
      <c r="L646" s="6">
        <v>0</v>
      </c>
      <c r="M646" s="6">
        <v>155</v>
      </c>
      <c r="N646" s="8" t="str">
        <f t="shared" si="70"/>
        <v>0</v>
      </c>
      <c r="O646" s="8">
        <f t="shared" si="71"/>
        <v>1860</v>
      </c>
      <c r="P646" s="8">
        <f t="shared" si="72"/>
        <v>1860</v>
      </c>
      <c r="Q646" s="8">
        <f t="shared" si="73"/>
        <v>0</v>
      </c>
      <c r="R646" s="9">
        <f t="shared" si="74"/>
        <v>1860</v>
      </c>
      <c r="S646" s="10">
        <f t="shared" si="75"/>
        <v>155</v>
      </c>
      <c r="T646">
        <v>165</v>
      </c>
      <c r="U646">
        <f t="shared" si="76"/>
        <v>10</v>
      </c>
    </row>
    <row r="647" spans="1:21" ht="14.25" customHeight="1" x14ac:dyDescent="0.35">
      <c r="A647" s="6" t="s">
        <v>1038</v>
      </c>
      <c r="B647" s="6" t="s">
        <v>1039</v>
      </c>
      <c r="C647" s="6" t="s">
        <v>1040</v>
      </c>
      <c r="D647" s="6" t="s">
        <v>22</v>
      </c>
      <c r="E647" s="7" t="s">
        <v>23</v>
      </c>
      <c r="F647" s="6">
        <v>85226</v>
      </c>
      <c r="G647" s="6" t="s">
        <v>24</v>
      </c>
      <c r="H647" s="6" t="s">
        <v>161</v>
      </c>
      <c r="I647" s="6" t="s">
        <v>26</v>
      </c>
      <c r="J647" s="6" t="b">
        <v>0</v>
      </c>
      <c r="K647" s="6" t="s">
        <v>27</v>
      </c>
      <c r="L647" s="6">
        <v>0</v>
      </c>
      <c r="M647" s="6">
        <v>155</v>
      </c>
      <c r="N647" s="8" t="str">
        <f t="shared" si="70"/>
        <v>0</v>
      </c>
      <c r="O647" s="8">
        <f t="shared" si="71"/>
        <v>1860</v>
      </c>
      <c r="P647" s="8">
        <f t="shared" si="72"/>
        <v>1860</v>
      </c>
      <c r="Q647" s="8">
        <f t="shared" si="73"/>
        <v>0</v>
      </c>
      <c r="R647" s="9">
        <f t="shared" si="74"/>
        <v>1860</v>
      </c>
      <c r="S647" s="10">
        <f t="shared" si="75"/>
        <v>155</v>
      </c>
      <c r="T647">
        <v>165</v>
      </c>
      <c r="U647">
        <f t="shared" si="76"/>
        <v>10</v>
      </c>
    </row>
    <row r="648" spans="1:21" ht="14.25" customHeight="1" x14ac:dyDescent="0.35">
      <c r="A648" s="6" t="s">
        <v>1135</v>
      </c>
      <c r="B648" s="6" t="s">
        <v>1136</v>
      </c>
      <c r="C648" s="6" t="s">
        <v>1137</v>
      </c>
      <c r="D648" s="6" t="s">
        <v>65</v>
      </c>
      <c r="E648" s="7" t="s">
        <v>23</v>
      </c>
      <c r="F648" s="6">
        <v>85205</v>
      </c>
      <c r="G648" s="6" t="s">
        <v>66</v>
      </c>
      <c r="H648" s="6" t="s">
        <v>1047</v>
      </c>
      <c r="I648" s="6" t="s">
        <v>26</v>
      </c>
      <c r="J648" s="6" t="b">
        <v>0</v>
      </c>
      <c r="K648" s="6" t="s">
        <v>27</v>
      </c>
      <c r="L648" s="6">
        <v>40</v>
      </c>
      <c r="M648" s="6">
        <v>155</v>
      </c>
      <c r="N648" s="8" t="str">
        <f t="shared" si="70"/>
        <v>0</v>
      </c>
      <c r="O648" s="8">
        <f t="shared" si="71"/>
        <v>1900</v>
      </c>
      <c r="P648" s="8">
        <f t="shared" si="72"/>
        <v>1900</v>
      </c>
      <c r="Q648" s="8">
        <f t="shared" si="73"/>
        <v>0</v>
      </c>
      <c r="R648" s="9">
        <f t="shared" si="74"/>
        <v>1900</v>
      </c>
      <c r="S648" s="10">
        <f t="shared" si="75"/>
        <v>158.33333333333334</v>
      </c>
      <c r="T648">
        <v>165</v>
      </c>
      <c r="U648">
        <f t="shared" si="76"/>
        <v>10</v>
      </c>
    </row>
    <row r="649" spans="1:21" ht="14.25" customHeight="1" x14ac:dyDescent="0.35">
      <c r="A649" s="6" t="s">
        <v>1138</v>
      </c>
      <c r="B649" s="6" t="s">
        <v>1139</v>
      </c>
      <c r="C649" s="6" t="s">
        <v>1140</v>
      </c>
      <c r="D649" s="6" t="s">
        <v>363</v>
      </c>
      <c r="E649" s="7" t="s">
        <v>23</v>
      </c>
      <c r="F649" s="6">
        <v>85284</v>
      </c>
      <c r="G649" s="6" t="s">
        <v>24</v>
      </c>
      <c r="H649" s="6" t="s">
        <v>25</v>
      </c>
      <c r="I649" s="6" t="s">
        <v>26</v>
      </c>
      <c r="J649" s="6" t="b">
        <v>0</v>
      </c>
      <c r="K649" s="6" t="s">
        <v>27</v>
      </c>
      <c r="L649" s="6">
        <v>40</v>
      </c>
      <c r="M649" s="6">
        <v>155</v>
      </c>
      <c r="N649" s="8" t="str">
        <f t="shared" si="70"/>
        <v>0</v>
      </c>
      <c r="O649" s="8">
        <f t="shared" si="71"/>
        <v>1900</v>
      </c>
      <c r="P649" s="8">
        <f t="shared" si="72"/>
        <v>1900</v>
      </c>
      <c r="Q649" s="8">
        <f t="shared" si="73"/>
        <v>0</v>
      </c>
      <c r="R649" s="9">
        <f t="shared" si="74"/>
        <v>1900</v>
      </c>
      <c r="S649" s="10">
        <f t="shared" si="75"/>
        <v>158.33333333333334</v>
      </c>
      <c r="T649">
        <v>165</v>
      </c>
      <c r="U649">
        <f t="shared" si="76"/>
        <v>10</v>
      </c>
    </row>
    <row r="650" spans="1:21" ht="14.25" customHeight="1" x14ac:dyDescent="0.35">
      <c r="A650" s="6" t="s">
        <v>1141</v>
      </c>
      <c r="B650" s="6" t="s">
        <v>1142</v>
      </c>
      <c r="C650" s="6" t="s">
        <v>1143</v>
      </c>
      <c r="D650" s="6" t="s">
        <v>44</v>
      </c>
      <c r="E650" s="7" t="s">
        <v>23</v>
      </c>
      <c r="F650" s="6">
        <v>85028</v>
      </c>
      <c r="G650" s="6" t="s">
        <v>45</v>
      </c>
      <c r="H650" s="6" t="s">
        <v>169</v>
      </c>
      <c r="I650" s="6" t="s">
        <v>26</v>
      </c>
      <c r="J650" s="6" t="b">
        <v>0</v>
      </c>
      <c r="K650" s="6" t="s">
        <v>27</v>
      </c>
      <c r="L650" s="6">
        <v>40</v>
      </c>
      <c r="M650" s="6">
        <v>155</v>
      </c>
      <c r="N650" s="8" t="str">
        <f t="shared" si="70"/>
        <v>0</v>
      </c>
      <c r="O650" s="8">
        <f t="shared" si="71"/>
        <v>1900</v>
      </c>
      <c r="P650" s="8">
        <f t="shared" si="72"/>
        <v>1900</v>
      </c>
      <c r="Q650" s="8">
        <f t="shared" si="73"/>
        <v>0</v>
      </c>
      <c r="R650" s="9">
        <f t="shared" si="74"/>
        <v>1900</v>
      </c>
      <c r="S650" s="10">
        <f t="shared" si="75"/>
        <v>158.33333333333334</v>
      </c>
      <c r="T650">
        <v>165</v>
      </c>
      <c r="U650">
        <f t="shared" si="76"/>
        <v>10</v>
      </c>
    </row>
    <row r="651" spans="1:21" ht="14.25" customHeight="1" x14ac:dyDescent="0.35">
      <c r="A651" s="6" t="s">
        <v>1144</v>
      </c>
      <c r="B651" s="6" t="s">
        <v>1145</v>
      </c>
      <c r="C651" s="6" t="s">
        <v>1146</v>
      </c>
      <c r="D651" s="6" t="s">
        <v>77</v>
      </c>
      <c r="E651" s="7" t="s">
        <v>23</v>
      </c>
      <c r="F651" s="6">
        <v>85302</v>
      </c>
      <c r="G651" s="6" t="s">
        <v>72</v>
      </c>
      <c r="H651" s="6" t="s">
        <v>93</v>
      </c>
      <c r="I651" s="6" t="s">
        <v>26</v>
      </c>
      <c r="J651" s="6" t="b">
        <v>0</v>
      </c>
      <c r="K651" s="6" t="s">
        <v>27</v>
      </c>
      <c r="L651" s="6">
        <v>40</v>
      </c>
      <c r="M651" s="6">
        <v>155</v>
      </c>
      <c r="N651" s="8" t="str">
        <f t="shared" si="70"/>
        <v>0</v>
      </c>
      <c r="O651" s="8">
        <f t="shared" si="71"/>
        <v>1900</v>
      </c>
      <c r="P651" s="8">
        <f t="shared" si="72"/>
        <v>1900</v>
      </c>
      <c r="Q651" s="8">
        <f t="shared" si="73"/>
        <v>0</v>
      </c>
      <c r="R651" s="9">
        <f t="shared" si="74"/>
        <v>1900</v>
      </c>
      <c r="S651" s="10">
        <f t="shared" si="75"/>
        <v>158.33333333333334</v>
      </c>
      <c r="T651">
        <v>165</v>
      </c>
      <c r="U651">
        <f t="shared" si="76"/>
        <v>10</v>
      </c>
    </row>
    <row r="652" spans="1:21" ht="14.25" customHeight="1" x14ac:dyDescent="0.35">
      <c r="A652" s="6" t="s">
        <v>1147</v>
      </c>
      <c r="B652" s="6" t="s">
        <v>1148</v>
      </c>
      <c r="C652" s="6" t="s">
        <v>1149</v>
      </c>
      <c r="D652" s="6" t="s">
        <v>44</v>
      </c>
      <c r="E652" s="7" t="s">
        <v>23</v>
      </c>
      <c r="F652" s="6">
        <v>85018</v>
      </c>
      <c r="G652" s="6" t="s">
        <v>49</v>
      </c>
      <c r="H652" s="6" t="s">
        <v>202</v>
      </c>
      <c r="I652" s="6" t="s">
        <v>26</v>
      </c>
      <c r="J652" s="6" t="b">
        <v>0</v>
      </c>
      <c r="K652" s="6" t="s">
        <v>27</v>
      </c>
      <c r="L652" s="6">
        <v>40</v>
      </c>
      <c r="M652" s="6">
        <v>155</v>
      </c>
      <c r="N652" s="8" t="str">
        <f t="shared" si="70"/>
        <v>0</v>
      </c>
      <c r="O652" s="8">
        <f t="shared" si="71"/>
        <v>1900</v>
      </c>
      <c r="P652" s="8">
        <f t="shared" si="72"/>
        <v>1900</v>
      </c>
      <c r="Q652" s="8">
        <f t="shared" si="73"/>
        <v>0</v>
      </c>
      <c r="R652" s="9">
        <f t="shared" si="74"/>
        <v>1900</v>
      </c>
      <c r="S652" s="10">
        <f t="shared" si="75"/>
        <v>158.33333333333334</v>
      </c>
      <c r="T652">
        <v>165</v>
      </c>
      <c r="U652">
        <f t="shared" si="76"/>
        <v>10</v>
      </c>
    </row>
    <row r="653" spans="1:21" ht="14.25" customHeight="1" x14ac:dyDescent="0.35">
      <c r="A653" s="6" t="s">
        <v>1150</v>
      </c>
      <c r="B653" s="6" t="s">
        <v>1151</v>
      </c>
      <c r="C653" s="6" t="s">
        <v>1152</v>
      </c>
      <c r="D653" s="6" t="s">
        <v>482</v>
      </c>
      <c r="E653" s="7" t="s">
        <v>23</v>
      </c>
      <c r="F653" s="6">
        <v>85396</v>
      </c>
      <c r="G653" s="6" t="s">
        <v>38</v>
      </c>
      <c r="H653" s="6" t="s">
        <v>378</v>
      </c>
      <c r="I653" s="6" t="s">
        <v>26</v>
      </c>
      <c r="J653" s="6" t="b">
        <v>0</v>
      </c>
      <c r="K653" s="6" t="s">
        <v>27</v>
      </c>
      <c r="L653" s="6">
        <v>40</v>
      </c>
      <c r="M653" s="6">
        <v>155</v>
      </c>
      <c r="N653" s="8" t="str">
        <f t="shared" si="70"/>
        <v>0</v>
      </c>
      <c r="O653" s="8">
        <f t="shared" si="71"/>
        <v>1900</v>
      </c>
      <c r="P653" s="8">
        <f t="shared" si="72"/>
        <v>1900</v>
      </c>
      <c r="Q653" s="8">
        <f t="shared" si="73"/>
        <v>0</v>
      </c>
      <c r="R653" s="9">
        <f t="shared" si="74"/>
        <v>1900</v>
      </c>
      <c r="S653" s="10">
        <f t="shared" si="75"/>
        <v>158.33333333333334</v>
      </c>
      <c r="T653">
        <v>165</v>
      </c>
      <c r="U653">
        <f t="shared" si="76"/>
        <v>10</v>
      </c>
    </row>
    <row r="654" spans="1:21" ht="14.25" customHeight="1" x14ac:dyDescent="0.35">
      <c r="A654" s="6" t="s">
        <v>1153</v>
      </c>
      <c r="B654" s="6" t="s">
        <v>1154</v>
      </c>
      <c r="C654" s="6" t="s">
        <v>1155</v>
      </c>
      <c r="D654" s="6" t="s">
        <v>31</v>
      </c>
      <c r="E654" s="7" t="s">
        <v>23</v>
      </c>
      <c r="F654" s="6">
        <v>85266</v>
      </c>
      <c r="G654" s="6" t="s">
        <v>32</v>
      </c>
      <c r="H654" s="6" t="s">
        <v>33</v>
      </c>
      <c r="I654" s="6" t="s">
        <v>26</v>
      </c>
      <c r="J654" s="6" t="b">
        <v>0</v>
      </c>
      <c r="K654" s="6" t="s">
        <v>27</v>
      </c>
      <c r="L654" s="6">
        <v>40</v>
      </c>
      <c r="M654" s="6">
        <v>155</v>
      </c>
      <c r="N654" s="8" t="str">
        <f t="shared" si="70"/>
        <v>0</v>
      </c>
      <c r="O654" s="8">
        <f t="shared" si="71"/>
        <v>1900</v>
      </c>
      <c r="P654" s="8">
        <f t="shared" si="72"/>
        <v>1900</v>
      </c>
      <c r="Q654" s="8">
        <f t="shared" si="73"/>
        <v>0</v>
      </c>
      <c r="R654" s="9">
        <f t="shared" si="74"/>
        <v>1900</v>
      </c>
      <c r="S654" s="10">
        <f t="shared" si="75"/>
        <v>158.33333333333334</v>
      </c>
      <c r="T654">
        <v>165</v>
      </c>
      <c r="U654">
        <f t="shared" si="76"/>
        <v>10</v>
      </c>
    </row>
    <row r="655" spans="1:21" ht="14.25" customHeight="1" x14ac:dyDescent="0.35">
      <c r="A655" s="6" t="s">
        <v>1156</v>
      </c>
      <c r="B655" s="6" t="s">
        <v>1157</v>
      </c>
      <c r="C655" s="6" t="s">
        <v>1158</v>
      </c>
      <c r="D655" s="6" t="s">
        <v>44</v>
      </c>
      <c r="E655" s="7" t="s">
        <v>23</v>
      </c>
      <c r="F655" s="6">
        <v>85041</v>
      </c>
      <c r="G655" s="6" t="s">
        <v>213</v>
      </c>
      <c r="H655" s="6" t="s">
        <v>39</v>
      </c>
      <c r="I655" s="6" t="s">
        <v>26</v>
      </c>
      <c r="J655" s="6" t="b">
        <v>1</v>
      </c>
      <c r="K655" s="6" t="s">
        <v>27</v>
      </c>
      <c r="L655" s="6">
        <v>40</v>
      </c>
      <c r="M655" s="6">
        <v>155</v>
      </c>
      <c r="N655" s="8">
        <f t="shared" si="70"/>
        <v>76.679999999999993</v>
      </c>
      <c r="O655" s="8">
        <f t="shared" si="71"/>
        <v>1976.68</v>
      </c>
      <c r="P655" s="8">
        <f t="shared" si="72"/>
        <v>1976.68</v>
      </c>
      <c r="Q655" s="8">
        <f t="shared" si="73"/>
        <v>0</v>
      </c>
      <c r="R655" s="9">
        <f t="shared" si="74"/>
        <v>1976.68</v>
      </c>
      <c r="S655" s="10">
        <f t="shared" si="75"/>
        <v>164.72333333333333</v>
      </c>
      <c r="T655">
        <v>165</v>
      </c>
      <c r="U655">
        <f t="shared" si="76"/>
        <v>10</v>
      </c>
    </row>
    <row r="656" spans="1:21" ht="14.25" customHeight="1" x14ac:dyDescent="0.35">
      <c r="A656" s="6" t="s">
        <v>1159</v>
      </c>
      <c r="B656" s="6" t="s">
        <v>1160</v>
      </c>
      <c r="C656" s="6" t="s">
        <v>1161</v>
      </c>
      <c r="D656" s="6" t="s">
        <v>65</v>
      </c>
      <c r="E656" s="7" t="s">
        <v>23</v>
      </c>
      <c r="F656" s="6">
        <v>85207</v>
      </c>
      <c r="G656" s="6" t="s">
        <v>66</v>
      </c>
      <c r="H656" s="6" t="s">
        <v>67</v>
      </c>
      <c r="I656" s="6" t="s">
        <v>26</v>
      </c>
      <c r="J656" s="6" t="b">
        <v>1</v>
      </c>
      <c r="K656" s="6" t="s">
        <v>27</v>
      </c>
      <c r="L656" s="6">
        <v>40</v>
      </c>
      <c r="M656" s="6">
        <v>155</v>
      </c>
      <c r="N656" s="8">
        <f t="shared" si="70"/>
        <v>76.679999999999993</v>
      </c>
      <c r="O656" s="8">
        <f t="shared" si="71"/>
        <v>1976.68</v>
      </c>
      <c r="P656" s="8">
        <f t="shared" si="72"/>
        <v>1976.68</v>
      </c>
      <c r="Q656" s="8">
        <f t="shared" si="73"/>
        <v>0</v>
      </c>
      <c r="R656" s="9">
        <f t="shared" si="74"/>
        <v>1976.68</v>
      </c>
      <c r="S656" s="10">
        <f t="shared" si="75"/>
        <v>164.72333333333333</v>
      </c>
      <c r="T656">
        <v>165</v>
      </c>
      <c r="U656">
        <f t="shared" si="76"/>
        <v>10</v>
      </c>
    </row>
    <row r="657" spans="1:21" ht="14.25" customHeight="1" x14ac:dyDescent="0.35">
      <c r="A657" s="6" t="s">
        <v>1162</v>
      </c>
      <c r="B657" s="6" t="s">
        <v>1163</v>
      </c>
      <c r="C657" s="6" t="s">
        <v>1164</v>
      </c>
      <c r="D657" s="6" t="s">
        <v>44</v>
      </c>
      <c r="E657" s="7" t="s">
        <v>23</v>
      </c>
      <c r="F657" s="6">
        <v>85041</v>
      </c>
      <c r="G657" s="6" t="s">
        <v>213</v>
      </c>
      <c r="H657" s="6" t="s">
        <v>39</v>
      </c>
      <c r="I657" s="6" t="s">
        <v>26</v>
      </c>
      <c r="J657" s="6" t="b">
        <v>1</v>
      </c>
      <c r="K657" s="6" t="s">
        <v>27</v>
      </c>
      <c r="L657" s="6">
        <v>40</v>
      </c>
      <c r="M657" s="6">
        <v>155</v>
      </c>
      <c r="N657" s="8">
        <f t="shared" si="70"/>
        <v>76.679999999999993</v>
      </c>
      <c r="O657" s="8">
        <f t="shared" si="71"/>
        <v>1976.68</v>
      </c>
      <c r="P657" s="8">
        <f t="shared" si="72"/>
        <v>1976.68</v>
      </c>
      <c r="Q657" s="8">
        <f t="shared" si="73"/>
        <v>0</v>
      </c>
      <c r="R657" s="9">
        <f t="shared" si="74"/>
        <v>1976.68</v>
      </c>
      <c r="S657" s="10">
        <f t="shared" si="75"/>
        <v>164.72333333333333</v>
      </c>
      <c r="T657">
        <v>165</v>
      </c>
      <c r="U657">
        <f t="shared" si="76"/>
        <v>10</v>
      </c>
    </row>
    <row r="658" spans="1:21" ht="14.25" customHeight="1" x14ac:dyDescent="0.35">
      <c r="A658" s="6" t="s">
        <v>1506</v>
      </c>
      <c r="B658" s="6" t="s">
        <v>1507</v>
      </c>
      <c r="C658" s="6" t="s">
        <v>1508</v>
      </c>
      <c r="D658" s="6" t="s">
        <v>44</v>
      </c>
      <c r="E658" s="7" t="s">
        <v>23</v>
      </c>
      <c r="F658" s="6">
        <v>85033</v>
      </c>
      <c r="G658" s="6" t="s">
        <v>72</v>
      </c>
      <c r="H658" s="6" t="s">
        <v>73</v>
      </c>
      <c r="I658" s="6" t="s">
        <v>26</v>
      </c>
      <c r="J658" s="6" t="b">
        <v>1</v>
      </c>
      <c r="K658" s="6" t="s">
        <v>94</v>
      </c>
      <c r="L658" s="6">
        <v>0</v>
      </c>
      <c r="M658" s="6">
        <v>155</v>
      </c>
      <c r="N658" s="8">
        <f t="shared" si="70"/>
        <v>76.679999999999993</v>
      </c>
      <c r="O658" s="8">
        <f t="shared" si="71"/>
        <v>1936.68</v>
      </c>
      <c r="P658" s="8">
        <f t="shared" si="72"/>
        <v>1878.5796</v>
      </c>
      <c r="Q658" s="8">
        <f t="shared" si="73"/>
        <v>-58.100400000000036</v>
      </c>
      <c r="R658" s="9">
        <f t="shared" si="74"/>
        <v>1994.7804000000001</v>
      </c>
      <c r="S658" s="10">
        <f t="shared" si="75"/>
        <v>166.23170000000002</v>
      </c>
      <c r="T658">
        <v>165</v>
      </c>
      <c r="U658">
        <f t="shared" si="76"/>
        <v>10</v>
      </c>
    </row>
    <row r="659" spans="1:21" ht="14.25" customHeight="1" x14ac:dyDescent="0.35">
      <c r="A659" s="6" t="s">
        <v>1552</v>
      </c>
      <c r="B659" s="6" t="s">
        <v>1553</v>
      </c>
      <c r="C659" s="6" t="s">
        <v>1554</v>
      </c>
      <c r="D659" s="6" t="s">
        <v>165</v>
      </c>
      <c r="E659" s="7" t="s">
        <v>23</v>
      </c>
      <c r="F659" s="6">
        <v>85296</v>
      </c>
      <c r="G659" s="6" t="s">
        <v>24</v>
      </c>
      <c r="H659" s="6" t="s">
        <v>25</v>
      </c>
      <c r="I659" s="6" t="s">
        <v>26</v>
      </c>
      <c r="J659" s="6" t="b">
        <v>1</v>
      </c>
      <c r="K659" s="6" t="s">
        <v>27</v>
      </c>
      <c r="L659" s="6">
        <v>0</v>
      </c>
      <c r="M659" s="6">
        <v>155</v>
      </c>
      <c r="N659" s="8">
        <f t="shared" si="70"/>
        <v>76.679999999999993</v>
      </c>
      <c r="O659" s="8">
        <f t="shared" si="71"/>
        <v>1936.68</v>
      </c>
      <c r="P659" s="8">
        <f t="shared" si="72"/>
        <v>1936.68</v>
      </c>
      <c r="Q659" s="8">
        <f t="shared" si="73"/>
        <v>0</v>
      </c>
      <c r="R659" s="9">
        <f t="shared" si="74"/>
        <v>1936.68</v>
      </c>
      <c r="S659" s="10">
        <f t="shared" si="75"/>
        <v>161.39000000000001</v>
      </c>
      <c r="T659">
        <v>165</v>
      </c>
      <c r="U659">
        <f t="shared" si="76"/>
        <v>10</v>
      </c>
    </row>
    <row r="660" spans="1:21" ht="14.25" customHeight="1" x14ac:dyDescent="0.35">
      <c r="A660" s="6" t="s">
        <v>1555</v>
      </c>
      <c r="B660" s="6" t="s">
        <v>1556</v>
      </c>
      <c r="C660" s="6" t="s">
        <v>1557</v>
      </c>
      <c r="D660" s="6" t="s">
        <v>44</v>
      </c>
      <c r="E660" s="7" t="s">
        <v>23</v>
      </c>
      <c r="F660" s="6">
        <v>85050</v>
      </c>
      <c r="G660" s="6" t="s">
        <v>173</v>
      </c>
      <c r="H660" s="6" t="s">
        <v>169</v>
      </c>
      <c r="I660" s="6" t="s">
        <v>26</v>
      </c>
      <c r="J660" s="6" t="b">
        <v>1</v>
      </c>
      <c r="K660" s="6" t="s">
        <v>27</v>
      </c>
      <c r="L660" s="6">
        <v>0</v>
      </c>
      <c r="M660" s="6">
        <v>155</v>
      </c>
      <c r="N660" s="8">
        <f t="shared" si="70"/>
        <v>76.679999999999993</v>
      </c>
      <c r="O660" s="8">
        <f t="shared" si="71"/>
        <v>1936.68</v>
      </c>
      <c r="P660" s="8">
        <f t="shared" si="72"/>
        <v>1936.68</v>
      </c>
      <c r="Q660" s="8">
        <f t="shared" si="73"/>
        <v>0</v>
      </c>
      <c r="R660" s="9">
        <f t="shared" si="74"/>
        <v>1936.68</v>
      </c>
      <c r="S660" s="10">
        <f t="shared" si="75"/>
        <v>161.39000000000001</v>
      </c>
      <c r="T660">
        <v>165</v>
      </c>
      <c r="U660">
        <f t="shared" si="76"/>
        <v>10</v>
      </c>
    </row>
    <row r="661" spans="1:21" ht="14.25" customHeight="1" x14ac:dyDescent="0.35">
      <c r="A661" s="6" t="s">
        <v>1558</v>
      </c>
      <c r="B661" s="6" t="s">
        <v>1559</v>
      </c>
      <c r="C661" s="6" t="s">
        <v>1560</v>
      </c>
      <c r="D661" s="6" t="s">
        <v>44</v>
      </c>
      <c r="E661" s="7" t="s">
        <v>23</v>
      </c>
      <c r="F661" s="6">
        <v>85048</v>
      </c>
      <c r="G661" s="6" t="s">
        <v>24</v>
      </c>
      <c r="H661" s="6" t="s">
        <v>161</v>
      </c>
      <c r="I661" s="6" t="s">
        <v>26</v>
      </c>
      <c r="J661" s="6" t="b">
        <v>1</v>
      </c>
      <c r="K661" s="6" t="s">
        <v>27</v>
      </c>
      <c r="L661" s="6">
        <v>0</v>
      </c>
      <c r="M661" s="6">
        <v>155</v>
      </c>
      <c r="N661" s="8">
        <f t="shared" si="70"/>
        <v>76.679999999999993</v>
      </c>
      <c r="O661" s="8">
        <f t="shared" si="71"/>
        <v>1936.68</v>
      </c>
      <c r="P661" s="8">
        <f t="shared" si="72"/>
        <v>1936.68</v>
      </c>
      <c r="Q661" s="8">
        <f t="shared" si="73"/>
        <v>0</v>
      </c>
      <c r="R661" s="9">
        <f t="shared" si="74"/>
        <v>1936.68</v>
      </c>
      <c r="S661" s="10">
        <f t="shared" si="75"/>
        <v>161.39000000000001</v>
      </c>
      <c r="T661">
        <v>165</v>
      </c>
      <c r="U661">
        <f t="shared" si="76"/>
        <v>10</v>
      </c>
    </row>
    <row r="662" spans="1:21" ht="14.25" customHeight="1" x14ac:dyDescent="0.35">
      <c r="A662" s="6" t="s">
        <v>1561</v>
      </c>
      <c r="B662" s="6" t="s">
        <v>1562</v>
      </c>
      <c r="C662" s="6" t="s">
        <v>1563</v>
      </c>
      <c r="D662" s="6" t="s">
        <v>363</v>
      </c>
      <c r="E662" s="7" t="s">
        <v>23</v>
      </c>
      <c r="F662" s="6">
        <v>85281</v>
      </c>
      <c r="G662" s="6" t="s">
        <v>364</v>
      </c>
      <c r="H662" s="6" t="s">
        <v>365</v>
      </c>
      <c r="I662" s="6" t="s">
        <v>26</v>
      </c>
      <c r="J662" s="6" t="b">
        <v>1</v>
      </c>
      <c r="K662" s="6" t="s">
        <v>27</v>
      </c>
      <c r="L662" s="6">
        <v>0</v>
      </c>
      <c r="M662" s="6">
        <v>155</v>
      </c>
      <c r="N662" s="8">
        <f t="shared" si="70"/>
        <v>76.679999999999993</v>
      </c>
      <c r="O662" s="8">
        <f t="shared" si="71"/>
        <v>1936.68</v>
      </c>
      <c r="P662" s="8">
        <f t="shared" si="72"/>
        <v>1936.68</v>
      </c>
      <c r="Q662" s="8">
        <f t="shared" si="73"/>
        <v>0</v>
      </c>
      <c r="R662" s="9">
        <f t="shared" si="74"/>
        <v>1936.68</v>
      </c>
      <c r="S662" s="10">
        <f t="shared" si="75"/>
        <v>161.39000000000001</v>
      </c>
      <c r="T662">
        <v>165</v>
      </c>
      <c r="U662">
        <f t="shared" si="76"/>
        <v>10</v>
      </c>
    </row>
    <row r="663" spans="1:21" ht="14.25" customHeight="1" x14ac:dyDescent="0.35">
      <c r="A663" s="6" t="s">
        <v>1564</v>
      </c>
      <c r="B663" s="6" t="s">
        <v>1565</v>
      </c>
      <c r="C663" s="6" t="s">
        <v>1566</v>
      </c>
      <c r="D663" s="6" t="s">
        <v>363</v>
      </c>
      <c r="E663" s="7" t="s">
        <v>23</v>
      </c>
      <c r="F663" s="6">
        <v>85282</v>
      </c>
      <c r="G663" s="6" t="s">
        <v>364</v>
      </c>
      <c r="H663" s="6" t="s">
        <v>365</v>
      </c>
      <c r="I663" s="6" t="s">
        <v>26</v>
      </c>
      <c r="J663" s="6" t="b">
        <v>1</v>
      </c>
      <c r="K663" s="6" t="s">
        <v>27</v>
      </c>
      <c r="L663" s="6">
        <v>0</v>
      </c>
      <c r="M663" s="6">
        <v>155</v>
      </c>
      <c r="N663" s="8">
        <f t="shared" si="70"/>
        <v>76.679999999999993</v>
      </c>
      <c r="O663" s="8">
        <f t="shared" si="71"/>
        <v>1936.68</v>
      </c>
      <c r="P663" s="8">
        <f t="shared" si="72"/>
        <v>1936.68</v>
      </c>
      <c r="Q663" s="8">
        <f t="shared" si="73"/>
        <v>0</v>
      </c>
      <c r="R663" s="9">
        <f t="shared" si="74"/>
        <v>1936.68</v>
      </c>
      <c r="S663" s="10">
        <f t="shared" si="75"/>
        <v>161.39000000000001</v>
      </c>
      <c r="T663">
        <v>165</v>
      </c>
      <c r="U663">
        <f t="shared" si="76"/>
        <v>10</v>
      </c>
    </row>
    <row r="664" spans="1:21" ht="14.25" customHeight="1" x14ac:dyDescent="0.35">
      <c r="A664" s="6" t="s">
        <v>1567</v>
      </c>
      <c r="B664" s="6" t="s">
        <v>1568</v>
      </c>
      <c r="C664" s="6" t="s">
        <v>1569</v>
      </c>
      <c r="D664" s="6" t="s">
        <v>77</v>
      </c>
      <c r="E664" s="7" t="s">
        <v>23</v>
      </c>
      <c r="F664" s="6">
        <v>85308</v>
      </c>
      <c r="G664" s="6" t="s">
        <v>78</v>
      </c>
      <c r="H664" s="6" t="s">
        <v>79</v>
      </c>
      <c r="I664" s="6" t="s">
        <v>110</v>
      </c>
      <c r="J664" s="6" t="b">
        <v>1</v>
      </c>
      <c r="K664" s="6" t="s">
        <v>27</v>
      </c>
      <c r="L664" s="6">
        <v>0</v>
      </c>
      <c r="M664" s="6">
        <v>155</v>
      </c>
      <c r="N664" s="8">
        <f t="shared" si="70"/>
        <v>76.679999999999993</v>
      </c>
      <c r="O664" s="8">
        <f t="shared" si="71"/>
        <v>1936.68</v>
      </c>
      <c r="P664" s="8">
        <f t="shared" si="72"/>
        <v>1936.68</v>
      </c>
      <c r="Q664" s="8">
        <f t="shared" si="73"/>
        <v>0</v>
      </c>
      <c r="R664" s="9">
        <f t="shared" si="74"/>
        <v>1936.68</v>
      </c>
      <c r="S664" s="10">
        <f t="shared" si="75"/>
        <v>161.39000000000001</v>
      </c>
      <c r="T664">
        <v>165</v>
      </c>
      <c r="U664">
        <f t="shared" si="76"/>
        <v>10</v>
      </c>
    </row>
    <row r="665" spans="1:21" ht="14.25" customHeight="1" x14ac:dyDescent="0.35">
      <c r="A665" s="6" t="s">
        <v>1570</v>
      </c>
      <c r="B665" s="6" t="s">
        <v>1571</v>
      </c>
      <c r="C665" s="6" t="s">
        <v>1572</v>
      </c>
      <c r="D665" s="6" t="s">
        <v>44</v>
      </c>
      <c r="E665" s="7" t="s">
        <v>23</v>
      </c>
      <c r="F665" s="6">
        <v>85083</v>
      </c>
      <c r="G665" s="6" t="s">
        <v>78</v>
      </c>
      <c r="H665" s="6" t="s">
        <v>268</v>
      </c>
      <c r="I665" s="6" t="s">
        <v>110</v>
      </c>
      <c r="J665" s="6" t="b">
        <v>1</v>
      </c>
      <c r="K665" s="6" t="s">
        <v>27</v>
      </c>
      <c r="L665" s="6">
        <v>0</v>
      </c>
      <c r="M665" s="6">
        <v>155</v>
      </c>
      <c r="N665" s="8">
        <f t="shared" si="70"/>
        <v>76.679999999999993</v>
      </c>
      <c r="O665" s="8">
        <f t="shared" si="71"/>
        <v>1936.68</v>
      </c>
      <c r="P665" s="8">
        <f t="shared" si="72"/>
        <v>1936.68</v>
      </c>
      <c r="Q665" s="8">
        <f t="shared" si="73"/>
        <v>0</v>
      </c>
      <c r="R665" s="9">
        <f t="shared" si="74"/>
        <v>1936.68</v>
      </c>
      <c r="S665" s="10">
        <f t="shared" si="75"/>
        <v>161.39000000000001</v>
      </c>
      <c r="T665">
        <v>165</v>
      </c>
      <c r="U665">
        <f t="shared" si="76"/>
        <v>10</v>
      </c>
    </row>
    <row r="666" spans="1:21" ht="14.25" customHeight="1" x14ac:dyDescent="0.35">
      <c r="A666" s="6" t="s">
        <v>1631</v>
      </c>
      <c r="B666" s="6" t="s">
        <v>1632</v>
      </c>
      <c r="C666" s="6" t="s">
        <v>1633</v>
      </c>
      <c r="D666" s="6" t="s">
        <v>65</v>
      </c>
      <c r="E666" s="7" t="s">
        <v>23</v>
      </c>
      <c r="F666" s="6">
        <v>85201</v>
      </c>
      <c r="G666" s="6" t="s">
        <v>66</v>
      </c>
      <c r="H666" s="6" t="s">
        <v>365</v>
      </c>
      <c r="I666" s="6" t="s">
        <v>26</v>
      </c>
      <c r="J666" s="6" t="b">
        <v>1</v>
      </c>
      <c r="K666" s="6" t="s">
        <v>89</v>
      </c>
      <c r="L666" s="6">
        <v>40</v>
      </c>
      <c r="M666" s="6">
        <v>155</v>
      </c>
      <c r="N666" s="8">
        <f t="shared" si="70"/>
        <v>76.679999999999993</v>
      </c>
      <c r="O666" s="8">
        <f t="shared" si="71"/>
        <v>1976.68</v>
      </c>
      <c r="P666" s="8">
        <f t="shared" si="72"/>
        <v>1917.3796</v>
      </c>
      <c r="Q666" s="8">
        <f t="shared" si="73"/>
        <v>-59.300400000000081</v>
      </c>
      <c r="R666" s="9">
        <f t="shared" si="74"/>
        <v>2035.9804000000001</v>
      </c>
      <c r="S666" s="10">
        <f t="shared" si="75"/>
        <v>169.66503333333335</v>
      </c>
      <c r="T666">
        <v>165</v>
      </c>
      <c r="U666">
        <f t="shared" si="76"/>
        <v>10</v>
      </c>
    </row>
    <row r="667" spans="1:21" ht="14.25" customHeight="1" x14ac:dyDescent="0.35">
      <c r="A667" s="6" t="s">
        <v>2114</v>
      </c>
      <c r="B667" s="6" t="s">
        <v>2115</v>
      </c>
      <c r="C667" s="6" t="s">
        <v>2116</v>
      </c>
      <c r="D667" s="6" t="s">
        <v>77</v>
      </c>
      <c r="E667" s="7" t="s">
        <v>23</v>
      </c>
      <c r="F667" s="6">
        <v>85302</v>
      </c>
      <c r="G667" s="6" t="s">
        <v>72</v>
      </c>
      <c r="H667" s="6" t="s">
        <v>93</v>
      </c>
      <c r="I667" s="6" t="s">
        <v>26</v>
      </c>
      <c r="J667" s="6" t="b">
        <v>1</v>
      </c>
      <c r="K667" s="6" t="s">
        <v>27</v>
      </c>
      <c r="L667" s="6">
        <v>40</v>
      </c>
      <c r="M667" s="6">
        <v>155</v>
      </c>
      <c r="N667" s="8">
        <f t="shared" si="70"/>
        <v>76.679999999999993</v>
      </c>
      <c r="O667" s="8">
        <f t="shared" si="71"/>
        <v>1976.68</v>
      </c>
      <c r="P667" s="8">
        <f t="shared" si="72"/>
        <v>1976.68</v>
      </c>
      <c r="Q667" s="8">
        <f t="shared" si="73"/>
        <v>0</v>
      </c>
      <c r="R667" s="9">
        <f t="shared" si="74"/>
        <v>1976.68</v>
      </c>
      <c r="S667" s="10">
        <f t="shared" si="75"/>
        <v>164.72333333333333</v>
      </c>
      <c r="T667">
        <v>165</v>
      </c>
      <c r="U667">
        <f t="shared" si="76"/>
        <v>10</v>
      </c>
    </row>
    <row r="668" spans="1:21" ht="14.25" customHeight="1" x14ac:dyDescent="0.35">
      <c r="A668" s="6" t="s">
        <v>2117</v>
      </c>
      <c r="B668" s="6" t="s">
        <v>2118</v>
      </c>
      <c r="C668" s="6" t="s">
        <v>2119</v>
      </c>
      <c r="D668" s="6" t="s">
        <v>44</v>
      </c>
      <c r="E668" s="7" t="s">
        <v>23</v>
      </c>
      <c r="F668" s="6">
        <v>85020</v>
      </c>
      <c r="G668" s="6" t="s">
        <v>173</v>
      </c>
      <c r="H668" s="6" t="s">
        <v>202</v>
      </c>
      <c r="I668" s="6" t="s">
        <v>40</v>
      </c>
      <c r="J668" s="6" t="b">
        <v>1</v>
      </c>
      <c r="K668" s="6" t="s">
        <v>27</v>
      </c>
      <c r="L668" s="6">
        <v>40</v>
      </c>
      <c r="M668" s="6">
        <v>155</v>
      </c>
      <c r="N668" s="8">
        <f t="shared" si="70"/>
        <v>76.679999999999993</v>
      </c>
      <c r="O668" s="8">
        <f t="shared" si="71"/>
        <v>1976.68</v>
      </c>
      <c r="P668" s="8">
        <f t="shared" si="72"/>
        <v>1976.68</v>
      </c>
      <c r="Q668" s="8">
        <f t="shared" si="73"/>
        <v>0</v>
      </c>
      <c r="R668" s="9">
        <f t="shared" si="74"/>
        <v>1976.68</v>
      </c>
      <c r="S668" s="10">
        <f t="shared" si="75"/>
        <v>164.72333333333333</v>
      </c>
      <c r="T668">
        <v>165</v>
      </c>
      <c r="U668">
        <f t="shared" si="76"/>
        <v>10</v>
      </c>
    </row>
    <row r="669" spans="1:21" ht="14.25" customHeight="1" x14ac:dyDescent="0.35">
      <c r="A669" s="6" t="s">
        <v>2120</v>
      </c>
      <c r="B669" s="6" t="s">
        <v>2121</v>
      </c>
      <c r="C669" s="6" t="s">
        <v>2122</v>
      </c>
      <c r="D669" s="6" t="s">
        <v>165</v>
      </c>
      <c r="E669" s="7" t="s">
        <v>23</v>
      </c>
      <c r="F669" s="6">
        <v>85234</v>
      </c>
      <c r="G669" s="6" t="s">
        <v>125</v>
      </c>
      <c r="H669" s="6" t="s">
        <v>225</v>
      </c>
      <c r="I669" s="6" t="s">
        <v>26</v>
      </c>
      <c r="J669" s="6" t="b">
        <v>1</v>
      </c>
      <c r="K669" s="6" t="s">
        <v>27</v>
      </c>
      <c r="L669" s="6">
        <v>40</v>
      </c>
      <c r="M669" s="6">
        <v>155</v>
      </c>
      <c r="N669" s="8">
        <f t="shared" si="70"/>
        <v>76.679999999999993</v>
      </c>
      <c r="O669" s="8">
        <f t="shared" si="71"/>
        <v>1976.68</v>
      </c>
      <c r="P669" s="8">
        <f t="shared" si="72"/>
        <v>1976.68</v>
      </c>
      <c r="Q669" s="8">
        <f t="shared" si="73"/>
        <v>0</v>
      </c>
      <c r="R669" s="9">
        <f t="shared" si="74"/>
        <v>1976.68</v>
      </c>
      <c r="S669" s="10">
        <f t="shared" si="75"/>
        <v>164.72333333333333</v>
      </c>
      <c r="T669">
        <v>165</v>
      </c>
      <c r="U669">
        <f t="shared" si="76"/>
        <v>10</v>
      </c>
    </row>
    <row r="670" spans="1:21" ht="14.25" customHeight="1" x14ac:dyDescent="0.35">
      <c r="A670" s="6" t="s">
        <v>2123</v>
      </c>
      <c r="B670" s="6" t="s">
        <v>2124</v>
      </c>
      <c r="C670" s="6" t="s">
        <v>2125</v>
      </c>
      <c r="D670" s="6" t="s">
        <v>614</v>
      </c>
      <c r="E670" s="7" t="s">
        <v>23</v>
      </c>
      <c r="F670" s="6">
        <v>85268</v>
      </c>
      <c r="G670" s="6" t="s">
        <v>45</v>
      </c>
      <c r="H670" s="6" t="s">
        <v>50</v>
      </c>
      <c r="I670" s="6" t="s">
        <v>26</v>
      </c>
      <c r="J670" s="6" t="b">
        <v>1</v>
      </c>
      <c r="K670" s="6" t="s">
        <v>27</v>
      </c>
      <c r="L670" s="6">
        <v>40</v>
      </c>
      <c r="M670" s="6">
        <v>155</v>
      </c>
      <c r="N670" s="8">
        <f t="shared" si="70"/>
        <v>76.679999999999993</v>
      </c>
      <c r="O670" s="8">
        <f t="shared" si="71"/>
        <v>1976.68</v>
      </c>
      <c r="P670" s="8">
        <f t="shared" si="72"/>
        <v>1976.68</v>
      </c>
      <c r="Q670" s="8">
        <f t="shared" si="73"/>
        <v>0</v>
      </c>
      <c r="R670" s="9">
        <f t="shared" si="74"/>
        <v>1976.68</v>
      </c>
      <c r="S670" s="10">
        <f t="shared" si="75"/>
        <v>164.72333333333333</v>
      </c>
      <c r="T670">
        <v>165</v>
      </c>
      <c r="U670">
        <f t="shared" si="76"/>
        <v>10</v>
      </c>
    </row>
    <row r="671" spans="1:21" ht="14.25" customHeight="1" x14ac:dyDescent="0.35">
      <c r="A671" s="6" t="s">
        <v>2126</v>
      </c>
      <c r="B671" s="6" t="s">
        <v>2127</v>
      </c>
      <c r="C671" s="6" t="s">
        <v>2128</v>
      </c>
      <c r="D671" s="6" t="s">
        <v>22</v>
      </c>
      <c r="E671" s="7" t="s">
        <v>23</v>
      </c>
      <c r="F671" s="6">
        <v>85249</v>
      </c>
      <c r="G671" s="6" t="s">
        <v>125</v>
      </c>
      <c r="H671" s="6" t="s">
        <v>126</v>
      </c>
      <c r="I671" s="6" t="s">
        <v>26</v>
      </c>
      <c r="J671" s="6" t="b">
        <v>1</v>
      </c>
      <c r="K671" s="6" t="s">
        <v>27</v>
      </c>
      <c r="L671" s="6">
        <v>40</v>
      </c>
      <c r="M671" s="6">
        <v>155</v>
      </c>
      <c r="N671" s="8">
        <f t="shared" si="70"/>
        <v>76.679999999999993</v>
      </c>
      <c r="O671" s="8">
        <f t="shared" si="71"/>
        <v>1976.68</v>
      </c>
      <c r="P671" s="8">
        <f t="shared" si="72"/>
        <v>1976.68</v>
      </c>
      <c r="Q671" s="8">
        <f t="shared" si="73"/>
        <v>0</v>
      </c>
      <c r="R671" s="9">
        <f t="shared" si="74"/>
        <v>1976.68</v>
      </c>
      <c r="S671" s="10">
        <f t="shared" si="75"/>
        <v>164.72333333333333</v>
      </c>
      <c r="T671">
        <v>165</v>
      </c>
      <c r="U671">
        <f t="shared" si="76"/>
        <v>10</v>
      </c>
    </row>
    <row r="672" spans="1:21" ht="14.25" customHeight="1" x14ac:dyDescent="0.35">
      <c r="A672" s="6" t="s">
        <v>2129</v>
      </c>
      <c r="B672" s="6" t="s">
        <v>2130</v>
      </c>
      <c r="C672" s="6" t="s">
        <v>2131</v>
      </c>
      <c r="D672" s="6" t="s">
        <v>44</v>
      </c>
      <c r="E672" s="7" t="s">
        <v>23</v>
      </c>
      <c r="F672" s="6">
        <v>85339</v>
      </c>
      <c r="G672" s="6" t="s">
        <v>213</v>
      </c>
      <c r="H672" s="6" t="s">
        <v>39</v>
      </c>
      <c r="I672" s="6" t="s">
        <v>26</v>
      </c>
      <c r="J672" s="6" t="b">
        <v>1</v>
      </c>
      <c r="K672" s="6" t="s">
        <v>27</v>
      </c>
      <c r="L672" s="6">
        <v>40</v>
      </c>
      <c r="M672" s="6">
        <v>155</v>
      </c>
      <c r="N672" s="8">
        <f t="shared" si="70"/>
        <v>76.679999999999993</v>
      </c>
      <c r="O672" s="8">
        <f t="shared" si="71"/>
        <v>1976.68</v>
      </c>
      <c r="P672" s="8">
        <f t="shared" si="72"/>
        <v>1976.68</v>
      </c>
      <c r="Q672" s="8">
        <f t="shared" si="73"/>
        <v>0</v>
      </c>
      <c r="R672" s="9">
        <f t="shared" si="74"/>
        <v>1976.68</v>
      </c>
      <c r="S672" s="10">
        <f t="shared" si="75"/>
        <v>164.72333333333333</v>
      </c>
      <c r="T672">
        <v>165</v>
      </c>
      <c r="U672">
        <f t="shared" si="76"/>
        <v>10</v>
      </c>
    </row>
    <row r="673" spans="1:21" ht="14.25" customHeight="1" x14ac:dyDescent="0.35">
      <c r="A673" s="6" t="s">
        <v>2132</v>
      </c>
      <c r="B673" s="6" t="s">
        <v>2133</v>
      </c>
      <c r="C673" s="6" t="s">
        <v>2134</v>
      </c>
      <c r="D673" s="6" t="s">
        <v>31</v>
      </c>
      <c r="E673" s="7" t="s">
        <v>23</v>
      </c>
      <c r="F673" s="6">
        <v>85258</v>
      </c>
      <c r="G673" s="6" t="s">
        <v>45</v>
      </c>
      <c r="H673" s="6" t="s">
        <v>291</v>
      </c>
      <c r="I673" s="6" t="s">
        <v>26</v>
      </c>
      <c r="J673" s="6" t="b">
        <v>1</v>
      </c>
      <c r="K673" s="6" t="s">
        <v>27</v>
      </c>
      <c r="L673" s="6">
        <v>40</v>
      </c>
      <c r="M673" s="6">
        <v>155</v>
      </c>
      <c r="N673" s="8">
        <f t="shared" si="70"/>
        <v>76.679999999999993</v>
      </c>
      <c r="O673" s="8">
        <f t="shared" si="71"/>
        <v>1976.68</v>
      </c>
      <c r="P673" s="8">
        <f t="shared" si="72"/>
        <v>1976.68</v>
      </c>
      <c r="Q673" s="8">
        <f t="shared" si="73"/>
        <v>0</v>
      </c>
      <c r="R673" s="9">
        <f t="shared" si="74"/>
        <v>1976.68</v>
      </c>
      <c r="S673" s="10">
        <f t="shared" si="75"/>
        <v>164.72333333333333</v>
      </c>
      <c r="T673">
        <v>165</v>
      </c>
      <c r="U673">
        <f t="shared" si="76"/>
        <v>10</v>
      </c>
    </row>
    <row r="674" spans="1:21" ht="14.25" customHeight="1" x14ac:dyDescent="0.35">
      <c r="A674" s="6" t="s">
        <v>2135</v>
      </c>
      <c r="B674" s="6" t="s">
        <v>2136</v>
      </c>
      <c r="C674" s="6" t="s">
        <v>2137</v>
      </c>
      <c r="D674" s="6" t="s">
        <v>44</v>
      </c>
      <c r="E674" s="7" t="s">
        <v>23</v>
      </c>
      <c r="F674" s="6">
        <v>85086</v>
      </c>
      <c r="G674" s="6" t="s">
        <v>32</v>
      </c>
      <c r="H674" s="6" t="s">
        <v>50</v>
      </c>
      <c r="I674" s="6" t="s">
        <v>61</v>
      </c>
      <c r="J674" s="6" t="b">
        <v>1</v>
      </c>
      <c r="K674" s="6" t="s">
        <v>27</v>
      </c>
      <c r="L674" s="6">
        <v>40</v>
      </c>
      <c r="M674" s="6">
        <v>155</v>
      </c>
      <c r="N674" s="8">
        <f t="shared" si="70"/>
        <v>76.679999999999993</v>
      </c>
      <c r="O674" s="8">
        <f t="shared" si="71"/>
        <v>1976.68</v>
      </c>
      <c r="P674" s="8">
        <f t="shared" si="72"/>
        <v>1976.68</v>
      </c>
      <c r="Q674" s="8">
        <f t="shared" si="73"/>
        <v>0</v>
      </c>
      <c r="R674" s="9">
        <f t="shared" si="74"/>
        <v>1976.68</v>
      </c>
      <c r="S674" s="10">
        <f t="shared" si="75"/>
        <v>164.72333333333333</v>
      </c>
      <c r="T674">
        <v>165</v>
      </c>
      <c r="U674">
        <f t="shared" si="76"/>
        <v>10</v>
      </c>
    </row>
    <row r="675" spans="1:21" ht="14.25" customHeight="1" x14ac:dyDescent="0.35">
      <c r="A675" s="6" t="s">
        <v>2138</v>
      </c>
      <c r="B675" s="6" t="s">
        <v>2139</v>
      </c>
      <c r="C675" s="6" t="s">
        <v>2140</v>
      </c>
      <c r="D675" s="6" t="s">
        <v>22</v>
      </c>
      <c r="E675" s="7" t="s">
        <v>23</v>
      </c>
      <c r="F675" s="6">
        <v>85286</v>
      </c>
      <c r="G675" s="6" t="s">
        <v>125</v>
      </c>
      <c r="H675" s="6" t="s">
        <v>225</v>
      </c>
      <c r="I675" s="6" t="s">
        <v>26</v>
      </c>
      <c r="J675" s="6" t="b">
        <v>1</v>
      </c>
      <c r="K675" s="6" t="s">
        <v>27</v>
      </c>
      <c r="L675" s="6">
        <v>40</v>
      </c>
      <c r="M675" s="6">
        <v>155</v>
      </c>
      <c r="N675" s="8">
        <f t="shared" si="70"/>
        <v>76.679999999999993</v>
      </c>
      <c r="O675" s="8">
        <f t="shared" si="71"/>
        <v>1976.68</v>
      </c>
      <c r="P675" s="8">
        <f t="shared" si="72"/>
        <v>1976.68</v>
      </c>
      <c r="Q675" s="8">
        <f t="shared" si="73"/>
        <v>0</v>
      </c>
      <c r="R675" s="9">
        <f t="shared" si="74"/>
        <v>1976.68</v>
      </c>
      <c r="S675" s="10">
        <f t="shared" si="75"/>
        <v>164.72333333333333</v>
      </c>
      <c r="T675">
        <v>165</v>
      </c>
      <c r="U675">
        <f t="shared" si="76"/>
        <v>10</v>
      </c>
    </row>
    <row r="676" spans="1:21" ht="14.25" customHeight="1" x14ac:dyDescent="0.35">
      <c r="A676" s="6" t="s">
        <v>2141</v>
      </c>
      <c r="B676" s="6" t="s">
        <v>2142</v>
      </c>
      <c r="C676" s="6" t="s">
        <v>2143</v>
      </c>
      <c r="D676" s="6" t="s">
        <v>892</v>
      </c>
      <c r="E676" s="7" t="s">
        <v>23</v>
      </c>
      <c r="F676" s="6">
        <v>85142</v>
      </c>
      <c r="G676" s="6" t="s">
        <v>125</v>
      </c>
      <c r="H676" s="6" t="s">
        <v>225</v>
      </c>
      <c r="I676" s="6" t="s">
        <v>26</v>
      </c>
      <c r="J676" s="6" t="b">
        <v>1</v>
      </c>
      <c r="K676" s="6" t="s">
        <v>27</v>
      </c>
      <c r="L676" s="6">
        <v>40</v>
      </c>
      <c r="M676" s="6">
        <v>155</v>
      </c>
      <c r="N676" s="8">
        <f t="shared" si="70"/>
        <v>76.679999999999993</v>
      </c>
      <c r="O676" s="8">
        <f t="shared" si="71"/>
        <v>1976.68</v>
      </c>
      <c r="P676" s="8">
        <f t="shared" si="72"/>
        <v>1976.68</v>
      </c>
      <c r="Q676" s="8">
        <f t="shared" si="73"/>
        <v>0</v>
      </c>
      <c r="R676" s="9">
        <f t="shared" si="74"/>
        <v>1976.68</v>
      </c>
      <c r="S676" s="10">
        <f t="shared" si="75"/>
        <v>164.72333333333333</v>
      </c>
      <c r="T676">
        <v>165</v>
      </c>
      <c r="U676">
        <f t="shared" si="76"/>
        <v>10</v>
      </c>
    </row>
    <row r="677" spans="1:21" ht="14.25" customHeight="1" x14ac:dyDescent="0.35">
      <c r="A677" s="6" t="s">
        <v>2144</v>
      </c>
      <c r="B677" s="6" t="s">
        <v>2145</v>
      </c>
      <c r="C677" s="6" t="s">
        <v>2146</v>
      </c>
      <c r="D677" s="6" t="s">
        <v>44</v>
      </c>
      <c r="E677" s="7" t="s">
        <v>23</v>
      </c>
      <c r="F677" s="6">
        <v>85029</v>
      </c>
      <c r="G677" s="6" t="s">
        <v>72</v>
      </c>
      <c r="H677" s="6" t="s">
        <v>93</v>
      </c>
      <c r="I677" s="6" t="s">
        <v>26</v>
      </c>
      <c r="J677" s="6" t="b">
        <v>1</v>
      </c>
      <c r="K677" s="6" t="s">
        <v>27</v>
      </c>
      <c r="L677" s="6">
        <v>40</v>
      </c>
      <c r="M677" s="6">
        <v>155</v>
      </c>
      <c r="N677" s="8">
        <f t="shared" si="70"/>
        <v>76.679999999999993</v>
      </c>
      <c r="O677" s="8">
        <f t="shared" si="71"/>
        <v>1976.68</v>
      </c>
      <c r="P677" s="8">
        <f t="shared" si="72"/>
        <v>1976.68</v>
      </c>
      <c r="Q677" s="8">
        <f t="shared" si="73"/>
        <v>0</v>
      </c>
      <c r="R677" s="9">
        <f t="shared" si="74"/>
        <v>1976.68</v>
      </c>
      <c r="S677" s="10">
        <f t="shared" si="75"/>
        <v>164.72333333333333</v>
      </c>
      <c r="T677">
        <v>165</v>
      </c>
      <c r="U677">
        <f t="shared" si="76"/>
        <v>10</v>
      </c>
    </row>
    <row r="678" spans="1:21" ht="14.25" customHeight="1" x14ac:dyDescent="0.35">
      <c r="A678" s="6" t="s">
        <v>2147</v>
      </c>
      <c r="B678" s="6" t="s">
        <v>2148</v>
      </c>
      <c r="C678" s="6" t="s">
        <v>2149</v>
      </c>
      <c r="D678" s="6" t="s">
        <v>267</v>
      </c>
      <c r="E678" s="7" t="s">
        <v>23</v>
      </c>
      <c r="F678" s="6">
        <v>85379</v>
      </c>
      <c r="G678" s="6" t="s">
        <v>78</v>
      </c>
      <c r="H678" s="6" t="s">
        <v>268</v>
      </c>
      <c r="I678" s="6" t="s">
        <v>57</v>
      </c>
      <c r="J678" s="6" t="b">
        <v>1</v>
      </c>
      <c r="K678" s="6" t="s">
        <v>27</v>
      </c>
      <c r="L678" s="6">
        <v>40</v>
      </c>
      <c r="M678" s="6">
        <v>155</v>
      </c>
      <c r="N678" s="8">
        <f t="shared" si="70"/>
        <v>76.679999999999993</v>
      </c>
      <c r="O678" s="8">
        <f t="shared" si="71"/>
        <v>1976.68</v>
      </c>
      <c r="P678" s="8">
        <f t="shared" si="72"/>
        <v>1976.68</v>
      </c>
      <c r="Q678" s="8">
        <f t="shared" si="73"/>
        <v>0</v>
      </c>
      <c r="R678" s="9">
        <f t="shared" si="74"/>
        <v>1976.68</v>
      </c>
      <c r="S678" s="10">
        <f t="shared" si="75"/>
        <v>164.72333333333333</v>
      </c>
      <c r="T678">
        <v>165</v>
      </c>
      <c r="U678">
        <f t="shared" si="76"/>
        <v>10</v>
      </c>
    </row>
    <row r="679" spans="1:21" ht="14.25" customHeight="1" x14ac:dyDescent="0.35">
      <c r="A679" s="6" t="s">
        <v>2150</v>
      </c>
      <c r="B679" s="6" t="s">
        <v>2151</v>
      </c>
      <c r="C679" s="6" t="s">
        <v>2152</v>
      </c>
      <c r="D679" s="6" t="s">
        <v>363</v>
      </c>
      <c r="E679" s="7" t="s">
        <v>23</v>
      </c>
      <c r="F679" s="6">
        <v>85281</v>
      </c>
      <c r="G679" s="6" t="s">
        <v>49</v>
      </c>
      <c r="H679" s="6" t="s">
        <v>365</v>
      </c>
      <c r="I679" s="6" t="s">
        <v>26</v>
      </c>
      <c r="J679" s="6" t="b">
        <v>1</v>
      </c>
      <c r="K679" s="6" t="s">
        <v>27</v>
      </c>
      <c r="L679" s="6">
        <v>40</v>
      </c>
      <c r="M679" s="6">
        <v>155</v>
      </c>
      <c r="N679" s="8">
        <f t="shared" si="70"/>
        <v>76.679999999999993</v>
      </c>
      <c r="O679" s="8">
        <f t="shared" si="71"/>
        <v>1976.68</v>
      </c>
      <c r="P679" s="8">
        <f t="shared" si="72"/>
        <v>1976.68</v>
      </c>
      <c r="Q679" s="8">
        <f t="shared" si="73"/>
        <v>0</v>
      </c>
      <c r="R679" s="9">
        <f t="shared" si="74"/>
        <v>1976.68</v>
      </c>
      <c r="S679" s="10">
        <f t="shared" si="75"/>
        <v>164.72333333333333</v>
      </c>
      <c r="T679">
        <v>165</v>
      </c>
      <c r="U679">
        <f t="shared" si="76"/>
        <v>10</v>
      </c>
    </row>
    <row r="680" spans="1:21" ht="14.25" customHeight="1" x14ac:dyDescent="0.35">
      <c r="A680" s="6" t="s">
        <v>2153</v>
      </c>
      <c r="B680" s="6" t="s">
        <v>2154</v>
      </c>
      <c r="C680" s="6" t="s">
        <v>2155</v>
      </c>
      <c r="E680" s="7"/>
      <c r="F680" s="6">
        <v>85201</v>
      </c>
      <c r="G680" s="6" t="s">
        <v>364</v>
      </c>
      <c r="J680" s="6" t="b">
        <v>1</v>
      </c>
      <c r="K680" s="6" t="s">
        <v>27</v>
      </c>
      <c r="L680" s="6">
        <v>40</v>
      </c>
      <c r="M680" s="6">
        <v>155</v>
      </c>
      <c r="N680" s="8">
        <f t="shared" si="70"/>
        <v>76.679999999999993</v>
      </c>
      <c r="O680" s="8">
        <f t="shared" si="71"/>
        <v>1976.68</v>
      </c>
      <c r="P680" s="8">
        <f t="shared" si="72"/>
        <v>1976.68</v>
      </c>
      <c r="Q680" s="8">
        <f t="shared" si="73"/>
        <v>0</v>
      </c>
      <c r="R680" s="9">
        <f t="shared" si="74"/>
        <v>1976.68</v>
      </c>
      <c r="S680" s="10">
        <f t="shared" si="75"/>
        <v>164.72333333333333</v>
      </c>
      <c r="T680">
        <v>165</v>
      </c>
      <c r="U680">
        <f t="shared" si="76"/>
        <v>10</v>
      </c>
    </row>
    <row r="681" spans="1:21" ht="14.25" customHeight="1" x14ac:dyDescent="0.35">
      <c r="A681" s="6" t="s">
        <v>2156</v>
      </c>
      <c r="B681" s="6" t="s">
        <v>2157</v>
      </c>
      <c r="C681" s="6" t="s">
        <v>2158</v>
      </c>
      <c r="D681" s="6" t="s">
        <v>31</v>
      </c>
      <c r="E681" s="7" t="s">
        <v>23</v>
      </c>
      <c r="F681" s="6">
        <v>85257</v>
      </c>
      <c r="G681" s="6" t="s">
        <v>49</v>
      </c>
      <c r="J681" s="6" t="b">
        <v>1</v>
      </c>
      <c r="K681" s="6" t="s">
        <v>27</v>
      </c>
      <c r="L681" s="6">
        <v>40</v>
      </c>
      <c r="M681" s="6">
        <v>155</v>
      </c>
      <c r="N681" s="8">
        <f t="shared" si="70"/>
        <v>76.679999999999993</v>
      </c>
      <c r="O681" s="8">
        <f t="shared" si="71"/>
        <v>1976.68</v>
      </c>
      <c r="P681" s="8">
        <f t="shared" si="72"/>
        <v>1976.68</v>
      </c>
      <c r="Q681" s="8">
        <f t="shared" si="73"/>
        <v>0</v>
      </c>
      <c r="R681" s="9">
        <f t="shared" si="74"/>
        <v>1976.68</v>
      </c>
      <c r="S681" s="10">
        <f t="shared" si="75"/>
        <v>164.72333333333333</v>
      </c>
      <c r="T681">
        <v>165</v>
      </c>
      <c r="U681">
        <f t="shared" si="76"/>
        <v>10</v>
      </c>
    </row>
    <row r="682" spans="1:21" ht="14.25" customHeight="1" x14ac:dyDescent="0.35">
      <c r="A682" s="6" t="s">
        <v>2159</v>
      </c>
      <c r="B682" s="6" t="s">
        <v>2160</v>
      </c>
      <c r="C682" s="6" t="s">
        <v>2161</v>
      </c>
      <c r="D682" s="6" t="s">
        <v>44</v>
      </c>
      <c r="E682" s="7" t="s">
        <v>23</v>
      </c>
      <c r="F682" s="6">
        <v>85020</v>
      </c>
      <c r="G682" s="6" t="s">
        <v>173</v>
      </c>
      <c r="H682" s="6" t="s">
        <v>202</v>
      </c>
      <c r="I682" s="6" t="s">
        <v>40</v>
      </c>
      <c r="J682" s="6" t="b">
        <v>1</v>
      </c>
      <c r="K682" s="6" t="s">
        <v>27</v>
      </c>
      <c r="L682" s="6">
        <v>40</v>
      </c>
      <c r="M682" s="6">
        <v>155</v>
      </c>
      <c r="N682" s="8">
        <f t="shared" si="70"/>
        <v>76.679999999999993</v>
      </c>
      <c r="O682" s="8">
        <f t="shared" si="71"/>
        <v>1976.68</v>
      </c>
      <c r="P682" s="8">
        <f t="shared" si="72"/>
        <v>1976.68</v>
      </c>
      <c r="Q682" s="8">
        <f t="shared" si="73"/>
        <v>0</v>
      </c>
      <c r="R682" s="9">
        <f t="shared" si="74"/>
        <v>1976.68</v>
      </c>
      <c r="S682" s="10">
        <f t="shared" si="75"/>
        <v>164.72333333333333</v>
      </c>
      <c r="T682">
        <v>165</v>
      </c>
      <c r="U682">
        <f t="shared" si="76"/>
        <v>10</v>
      </c>
    </row>
    <row r="683" spans="1:21" ht="14.25" customHeight="1" x14ac:dyDescent="0.35">
      <c r="A683" s="6" t="s">
        <v>2162</v>
      </c>
      <c r="B683" s="6" t="s">
        <v>2163</v>
      </c>
      <c r="C683" s="6" t="s">
        <v>2164</v>
      </c>
      <c r="D683" s="6" t="s">
        <v>44</v>
      </c>
      <c r="E683" s="7" t="s">
        <v>23</v>
      </c>
      <c r="F683" s="6">
        <v>85041</v>
      </c>
      <c r="G683" s="6" t="s">
        <v>213</v>
      </c>
      <c r="H683" s="6" t="s">
        <v>39</v>
      </c>
      <c r="I683" s="6" t="s">
        <v>26</v>
      </c>
      <c r="J683" s="6" t="b">
        <v>1</v>
      </c>
      <c r="K683" s="6" t="s">
        <v>27</v>
      </c>
      <c r="L683" s="6">
        <v>40</v>
      </c>
      <c r="M683" s="6">
        <v>155</v>
      </c>
      <c r="N683" s="8">
        <f t="shared" si="70"/>
        <v>76.679999999999993</v>
      </c>
      <c r="O683" s="8">
        <f t="shared" si="71"/>
        <v>1976.68</v>
      </c>
      <c r="P683" s="8">
        <f t="shared" si="72"/>
        <v>1976.68</v>
      </c>
      <c r="Q683" s="8">
        <f t="shared" si="73"/>
        <v>0</v>
      </c>
      <c r="R683" s="9">
        <f t="shared" si="74"/>
        <v>1976.68</v>
      </c>
      <c r="S683" s="10">
        <f t="shared" si="75"/>
        <v>164.72333333333333</v>
      </c>
      <c r="T683">
        <v>165</v>
      </c>
      <c r="U683">
        <f t="shared" si="76"/>
        <v>10</v>
      </c>
    </row>
    <row r="684" spans="1:21" ht="14.25" customHeight="1" x14ac:dyDescent="0.35">
      <c r="A684" s="6" t="s">
        <v>2165</v>
      </c>
      <c r="B684" s="6" t="s">
        <v>2166</v>
      </c>
      <c r="C684" s="6" t="s">
        <v>2167</v>
      </c>
      <c r="D684" s="6" t="s">
        <v>31</v>
      </c>
      <c r="E684" s="7" t="s">
        <v>23</v>
      </c>
      <c r="F684" s="6">
        <v>85254</v>
      </c>
      <c r="G684" s="6" t="s">
        <v>45</v>
      </c>
      <c r="H684" s="6" t="s">
        <v>169</v>
      </c>
      <c r="I684" s="6" t="s">
        <v>26</v>
      </c>
      <c r="J684" s="6" t="b">
        <v>1</v>
      </c>
      <c r="K684" s="6" t="s">
        <v>27</v>
      </c>
      <c r="L684" s="6">
        <v>40</v>
      </c>
      <c r="M684" s="6">
        <v>155</v>
      </c>
      <c r="N684" s="8">
        <f t="shared" si="70"/>
        <v>76.679999999999993</v>
      </c>
      <c r="O684" s="8">
        <f t="shared" si="71"/>
        <v>1976.68</v>
      </c>
      <c r="P684" s="8">
        <f t="shared" si="72"/>
        <v>1976.68</v>
      </c>
      <c r="Q684" s="8">
        <f t="shared" si="73"/>
        <v>0</v>
      </c>
      <c r="R684" s="9">
        <f t="shared" si="74"/>
        <v>1976.68</v>
      </c>
      <c r="S684" s="10">
        <f t="shared" si="75"/>
        <v>164.72333333333333</v>
      </c>
      <c r="T684">
        <v>165</v>
      </c>
      <c r="U684">
        <f t="shared" si="76"/>
        <v>10</v>
      </c>
    </row>
    <row r="685" spans="1:21" ht="14.25" customHeight="1" x14ac:dyDescent="0.35">
      <c r="A685" s="6" t="s">
        <v>2168</v>
      </c>
      <c r="B685" s="6" t="s">
        <v>2169</v>
      </c>
      <c r="C685" s="6" t="s">
        <v>2170</v>
      </c>
      <c r="D685" s="6" t="s">
        <v>98</v>
      </c>
      <c r="E685" s="7" t="s">
        <v>23</v>
      </c>
      <c r="F685" s="6">
        <v>85122</v>
      </c>
      <c r="G685" s="6" t="s">
        <v>87</v>
      </c>
      <c r="H685" s="6" t="s">
        <v>99</v>
      </c>
      <c r="I685" s="6" t="s">
        <v>61</v>
      </c>
      <c r="J685" s="6" t="b">
        <v>1</v>
      </c>
      <c r="K685" s="6" t="s">
        <v>27</v>
      </c>
      <c r="L685" s="6">
        <v>40</v>
      </c>
      <c r="M685" s="6">
        <v>155</v>
      </c>
      <c r="N685" s="8">
        <f t="shared" si="70"/>
        <v>76.679999999999993</v>
      </c>
      <c r="O685" s="8">
        <f t="shared" si="71"/>
        <v>1976.68</v>
      </c>
      <c r="P685" s="8">
        <f t="shared" si="72"/>
        <v>1976.68</v>
      </c>
      <c r="Q685" s="8">
        <f t="shared" si="73"/>
        <v>0</v>
      </c>
      <c r="R685" s="9">
        <f t="shared" si="74"/>
        <v>1976.68</v>
      </c>
      <c r="S685" s="10">
        <f t="shared" si="75"/>
        <v>164.72333333333333</v>
      </c>
      <c r="T685">
        <v>165</v>
      </c>
      <c r="U685">
        <f t="shared" si="76"/>
        <v>10</v>
      </c>
    </row>
    <row r="686" spans="1:21" ht="14.25" customHeight="1" x14ac:dyDescent="0.35">
      <c r="A686" s="6" t="s">
        <v>2171</v>
      </c>
      <c r="B686" s="6" t="s">
        <v>2172</v>
      </c>
      <c r="C686" s="6" t="s">
        <v>2173</v>
      </c>
      <c r="D686" s="6" t="s">
        <v>77</v>
      </c>
      <c r="E686" s="7" t="s">
        <v>23</v>
      </c>
      <c r="F686" s="6">
        <v>85306</v>
      </c>
      <c r="G686" s="6" t="s">
        <v>72</v>
      </c>
      <c r="H686" s="6" t="s">
        <v>93</v>
      </c>
      <c r="I686" s="6" t="s">
        <v>26</v>
      </c>
      <c r="J686" s="6" t="b">
        <v>1</v>
      </c>
      <c r="K686" s="6" t="s">
        <v>27</v>
      </c>
      <c r="L686" s="6">
        <v>40</v>
      </c>
      <c r="M686" s="6">
        <v>155</v>
      </c>
      <c r="N686" s="8">
        <f t="shared" si="70"/>
        <v>76.679999999999993</v>
      </c>
      <c r="O686" s="8">
        <f t="shared" si="71"/>
        <v>1976.68</v>
      </c>
      <c r="P686" s="8">
        <f t="shared" si="72"/>
        <v>1976.68</v>
      </c>
      <c r="Q686" s="8">
        <f t="shared" si="73"/>
        <v>0</v>
      </c>
      <c r="R686" s="9">
        <f t="shared" si="74"/>
        <v>1976.68</v>
      </c>
      <c r="S686" s="10">
        <f t="shared" si="75"/>
        <v>164.72333333333333</v>
      </c>
      <c r="T686">
        <v>165</v>
      </c>
      <c r="U686">
        <f t="shared" si="76"/>
        <v>10</v>
      </c>
    </row>
    <row r="687" spans="1:21" ht="14.25" customHeight="1" x14ac:dyDescent="0.35">
      <c r="A687" s="6" t="s">
        <v>2174</v>
      </c>
      <c r="B687" s="6" t="s">
        <v>2175</v>
      </c>
      <c r="C687" s="6" t="s">
        <v>2176</v>
      </c>
      <c r="D687" s="6" t="s">
        <v>1551</v>
      </c>
      <c r="E687" s="7" t="s">
        <v>23</v>
      </c>
      <c r="F687" s="6">
        <v>85373</v>
      </c>
      <c r="G687" s="6" t="s">
        <v>78</v>
      </c>
      <c r="H687" s="6" t="s">
        <v>281</v>
      </c>
      <c r="I687" s="6" t="s">
        <v>26</v>
      </c>
      <c r="J687" s="6" t="b">
        <v>1</v>
      </c>
      <c r="K687" s="6" t="s">
        <v>27</v>
      </c>
      <c r="L687" s="6">
        <v>40</v>
      </c>
      <c r="M687" s="6">
        <v>155</v>
      </c>
      <c r="N687" s="8">
        <f t="shared" si="70"/>
        <v>76.679999999999993</v>
      </c>
      <c r="O687" s="8">
        <f t="shared" si="71"/>
        <v>1976.68</v>
      </c>
      <c r="P687" s="8">
        <f t="shared" si="72"/>
        <v>1976.68</v>
      </c>
      <c r="Q687" s="8">
        <f t="shared" si="73"/>
        <v>0</v>
      </c>
      <c r="R687" s="9">
        <f t="shared" si="74"/>
        <v>1976.68</v>
      </c>
      <c r="S687" s="10">
        <f t="shared" si="75"/>
        <v>164.72333333333333</v>
      </c>
      <c r="T687">
        <v>165</v>
      </c>
      <c r="U687">
        <f t="shared" si="76"/>
        <v>10</v>
      </c>
    </row>
    <row r="688" spans="1:21" ht="14.25" customHeight="1" x14ac:dyDescent="0.35">
      <c r="A688" s="6" t="s">
        <v>2177</v>
      </c>
      <c r="B688" s="6" t="s">
        <v>2178</v>
      </c>
      <c r="C688" s="6" t="s">
        <v>2179</v>
      </c>
      <c r="D688" s="6" t="s">
        <v>44</v>
      </c>
      <c r="E688" s="7" t="s">
        <v>23</v>
      </c>
      <c r="F688" s="6">
        <v>85031</v>
      </c>
      <c r="G688" s="6" t="s">
        <v>72</v>
      </c>
      <c r="H688" s="6" t="s">
        <v>73</v>
      </c>
      <c r="I688" s="6" t="s">
        <v>26</v>
      </c>
      <c r="J688" s="6" t="b">
        <v>1</v>
      </c>
      <c r="K688" s="6" t="s">
        <v>27</v>
      </c>
      <c r="L688" s="6">
        <v>40</v>
      </c>
      <c r="M688" s="6">
        <v>155</v>
      </c>
      <c r="N688" s="8">
        <f t="shared" si="70"/>
        <v>76.679999999999993</v>
      </c>
      <c r="O688" s="8">
        <f t="shared" si="71"/>
        <v>1976.68</v>
      </c>
      <c r="P688" s="8">
        <f t="shared" si="72"/>
        <v>1976.68</v>
      </c>
      <c r="Q688" s="8">
        <f t="shared" si="73"/>
        <v>0</v>
      </c>
      <c r="R688" s="9">
        <f t="shared" si="74"/>
        <v>1976.68</v>
      </c>
      <c r="S688" s="10">
        <f t="shared" si="75"/>
        <v>164.72333333333333</v>
      </c>
      <c r="T688">
        <v>165</v>
      </c>
      <c r="U688">
        <f t="shared" si="76"/>
        <v>10</v>
      </c>
    </row>
    <row r="689" spans="1:21" ht="14.25" customHeight="1" x14ac:dyDescent="0.35">
      <c r="A689" s="6" t="s">
        <v>2180</v>
      </c>
      <c r="B689" s="6" t="s">
        <v>2181</v>
      </c>
      <c r="C689" s="6" t="s">
        <v>2182</v>
      </c>
      <c r="D689" s="6" t="s">
        <v>44</v>
      </c>
      <c r="E689" s="7" t="s">
        <v>23</v>
      </c>
      <c r="F689" s="6">
        <v>85029</v>
      </c>
      <c r="G689" s="6" t="s">
        <v>72</v>
      </c>
      <c r="H689" s="6" t="s">
        <v>93</v>
      </c>
      <c r="I689" s="6" t="s">
        <v>26</v>
      </c>
      <c r="J689" s="6" t="b">
        <v>1</v>
      </c>
      <c r="K689" s="6" t="s">
        <v>27</v>
      </c>
      <c r="L689" s="6">
        <v>40</v>
      </c>
      <c r="M689" s="6">
        <v>155</v>
      </c>
      <c r="N689" s="8">
        <f t="shared" si="70"/>
        <v>76.679999999999993</v>
      </c>
      <c r="O689" s="8">
        <f t="shared" si="71"/>
        <v>1976.68</v>
      </c>
      <c r="P689" s="8">
        <f t="shared" si="72"/>
        <v>1976.68</v>
      </c>
      <c r="Q689" s="8">
        <f t="shared" si="73"/>
        <v>0</v>
      </c>
      <c r="R689" s="9">
        <f t="shared" si="74"/>
        <v>1976.68</v>
      </c>
      <c r="S689" s="10">
        <f t="shared" si="75"/>
        <v>164.72333333333333</v>
      </c>
      <c r="T689">
        <v>165</v>
      </c>
      <c r="U689">
        <f t="shared" si="76"/>
        <v>10</v>
      </c>
    </row>
    <row r="690" spans="1:21" ht="14.25" customHeight="1" x14ac:dyDescent="0.35">
      <c r="A690" s="6" t="s">
        <v>2183</v>
      </c>
      <c r="B690" s="6" t="s">
        <v>2184</v>
      </c>
      <c r="C690" s="6" t="s">
        <v>2185</v>
      </c>
      <c r="D690" s="6" t="s">
        <v>130</v>
      </c>
      <c r="E690" s="7" t="s">
        <v>23</v>
      </c>
      <c r="F690" s="6">
        <v>85140</v>
      </c>
      <c r="G690" s="6" t="s">
        <v>125</v>
      </c>
      <c r="J690" s="6" t="b">
        <v>1</v>
      </c>
      <c r="K690" s="6" t="s">
        <v>27</v>
      </c>
      <c r="L690" s="6">
        <v>40</v>
      </c>
      <c r="M690" s="6">
        <v>155</v>
      </c>
      <c r="N690" s="8">
        <f t="shared" si="70"/>
        <v>76.679999999999993</v>
      </c>
      <c r="O690" s="8">
        <f t="shared" si="71"/>
        <v>1976.68</v>
      </c>
      <c r="P690" s="8">
        <f t="shared" si="72"/>
        <v>1976.68</v>
      </c>
      <c r="Q690" s="8">
        <f t="shared" si="73"/>
        <v>0</v>
      </c>
      <c r="R690" s="9">
        <f t="shared" si="74"/>
        <v>1976.68</v>
      </c>
      <c r="S690" s="10">
        <f t="shared" si="75"/>
        <v>164.72333333333333</v>
      </c>
      <c r="T690">
        <v>165</v>
      </c>
      <c r="U690">
        <f t="shared" si="76"/>
        <v>10</v>
      </c>
    </row>
    <row r="691" spans="1:21" ht="14.25" customHeight="1" x14ac:dyDescent="0.35">
      <c r="A691" s="6" t="s">
        <v>2186</v>
      </c>
      <c r="B691" s="6" t="s">
        <v>2187</v>
      </c>
      <c r="C691" s="6" t="s">
        <v>2188</v>
      </c>
      <c r="D691" s="6" t="s">
        <v>31</v>
      </c>
      <c r="E691" s="7" t="s">
        <v>23</v>
      </c>
      <c r="F691" s="6">
        <v>85257</v>
      </c>
      <c r="G691" s="6" t="s">
        <v>49</v>
      </c>
      <c r="H691" s="6" t="s">
        <v>202</v>
      </c>
      <c r="I691" s="6" t="s">
        <v>26</v>
      </c>
      <c r="J691" s="6" t="b">
        <v>1</v>
      </c>
      <c r="K691" s="6" t="s">
        <v>27</v>
      </c>
      <c r="L691" s="6">
        <v>40</v>
      </c>
      <c r="M691" s="6">
        <v>155</v>
      </c>
      <c r="N691" s="8">
        <f t="shared" si="70"/>
        <v>76.679999999999993</v>
      </c>
      <c r="O691" s="8">
        <f t="shared" si="71"/>
        <v>1976.68</v>
      </c>
      <c r="P691" s="8">
        <f t="shared" si="72"/>
        <v>1976.68</v>
      </c>
      <c r="Q691" s="8">
        <f t="shared" si="73"/>
        <v>0</v>
      </c>
      <c r="R691" s="9">
        <f t="shared" si="74"/>
        <v>1976.68</v>
      </c>
      <c r="S691" s="10">
        <f t="shared" si="75"/>
        <v>164.72333333333333</v>
      </c>
      <c r="T691">
        <v>165</v>
      </c>
      <c r="U691">
        <f t="shared" si="76"/>
        <v>10</v>
      </c>
    </row>
    <row r="692" spans="1:21" ht="14.25" customHeight="1" x14ac:dyDescent="0.35">
      <c r="A692" s="6" t="s">
        <v>2189</v>
      </c>
      <c r="B692" s="6" t="s">
        <v>2190</v>
      </c>
      <c r="C692" s="6" t="s">
        <v>2191</v>
      </c>
      <c r="D692" s="6" t="s">
        <v>44</v>
      </c>
      <c r="E692" s="7" t="s">
        <v>23</v>
      </c>
      <c r="F692" s="6">
        <v>85028</v>
      </c>
      <c r="G692" s="6" t="s">
        <v>45</v>
      </c>
      <c r="H692" s="6" t="s">
        <v>79</v>
      </c>
      <c r="I692" s="6" t="s">
        <v>57</v>
      </c>
      <c r="J692" s="6" t="b">
        <v>1</v>
      </c>
      <c r="K692" s="6" t="s">
        <v>27</v>
      </c>
      <c r="L692" s="6">
        <v>40</v>
      </c>
      <c r="M692" s="6">
        <v>155</v>
      </c>
      <c r="N692" s="8">
        <f t="shared" si="70"/>
        <v>76.679999999999993</v>
      </c>
      <c r="O692" s="8">
        <f t="shared" si="71"/>
        <v>1976.68</v>
      </c>
      <c r="P692" s="8">
        <f t="shared" si="72"/>
        <v>1976.68</v>
      </c>
      <c r="Q692" s="8">
        <f t="shared" si="73"/>
        <v>0</v>
      </c>
      <c r="R692" s="9">
        <f t="shared" si="74"/>
        <v>1976.68</v>
      </c>
      <c r="S692" s="10">
        <f t="shared" si="75"/>
        <v>164.72333333333333</v>
      </c>
      <c r="T692">
        <v>165</v>
      </c>
      <c r="U692">
        <f t="shared" si="76"/>
        <v>10</v>
      </c>
    </row>
    <row r="693" spans="1:21" ht="14.25" customHeight="1" x14ac:dyDescent="0.35">
      <c r="A693" s="6" t="s">
        <v>2192</v>
      </c>
      <c r="B693" s="6" t="s">
        <v>2193</v>
      </c>
      <c r="C693" s="6" t="s">
        <v>2194</v>
      </c>
      <c r="D693" s="6" t="s">
        <v>31</v>
      </c>
      <c r="E693" s="7" t="s">
        <v>23</v>
      </c>
      <c r="F693" s="6">
        <v>85254</v>
      </c>
      <c r="G693" s="6" t="s">
        <v>45</v>
      </c>
      <c r="H693" s="6" t="s">
        <v>291</v>
      </c>
      <c r="I693" s="6" t="s">
        <v>26</v>
      </c>
      <c r="J693" s="6" t="b">
        <v>1</v>
      </c>
      <c r="K693" s="6" t="s">
        <v>27</v>
      </c>
      <c r="L693" s="6">
        <v>40</v>
      </c>
      <c r="M693" s="6">
        <v>155</v>
      </c>
      <c r="N693" s="8">
        <f t="shared" si="70"/>
        <v>76.679999999999993</v>
      </c>
      <c r="O693" s="8">
        <f t="shared" si="71"/>
        <v>1976.68</v>
      </c>
      <c r="P693" s="8">
        <f t="shared" si="72"/>
        <v>1976.68</v>
      </c>
      <c r="Q693" s="8">
        <f t="shared" si="73"/>
        <v>0</v>
      </c>
      <c r="R693" s="9">
        <f t="shared" si="74"/>
        <v>1976.68</v>
      </c>
      <c r="S693" s="10">
        <f t="shared" si="75"/>
        <v>164.72333333333333</v>
      </c>
      <c r="T693">
        <v>165</v>
      </c>
      <c r="U693">
        <f t="shared" si="76"/>
        <v>10</v>
      </c>
    </row>
    <row r="694" spans="1:21" ht="14.25" customHeight="1" x14ac:dyDescent="0.35">
      <c r="A694" s="6" t="s">
        <v>2195</v>
      </c>
      <c r="B694" s="6" t="s">
        <v>2196</v>
      </c>
      <c r="C694" s="6" t="s">
        <v>2197</v>
      </c>
      <c r="D694" s="6" t="s">
        <v>65</v>
      </c>
      <c r="E694" s="7" t="s">
        <v>23</v>
      </c>
      <c r="F694" s="6">
        <v>85207</v>
      </c>
      <c r="G694" s="6" t="s">
        <v>66</v>
      </c>
      <c r="H694" s="6" t="s">
        <v>67</v>
      </c>
      <c r="I694" s="6" t="s">
        <v>26</v>
      </c>
      <c r="J694" s="6" t="b">
        <v>1</v>
      </c>
      <c r="K694" s="6" t="s">
        <v>27</v>
      </c>
      <c r="L694" s="6">
        <v>40</v>
      </c>
      <c r="M694" s="6">
        <v>155</v>
      </c>
      <c r="N694" s="8">
        <f t="shared" si="70"/>
        <v>76.679999999999993</v>
      </c>
      <c r="O694" s="8">
        <f t="shared" si="71"/>
        <v>1976.68</v>
      </c>
      <c r="P694" s="8">
        <f t="shared" si="72"/>
        <v>1976.68</v>
      </c>
      <c r="Q694" s="8">
        <f t="shared" si="73"/>
        <v>0</v>
      </c>
      <c r="R694" s="9">
        <f t="shared" si="74"/>
        <v>1976.68</v>
      </c>
      <c r="S694" s="10">
        <f t="shared" si="75"/>
        <v>164.72333333333333</v>
      </c>
      <c r="T694">
        <v>165</v>
      </c>
      <c r="U694">
        <f t="shared" si="76"/>
        <v>10</v>
      </c>
    </row>
    <row r="695" spans="1:21" ht="14.25" customHeight="1" x14ac:dyDescent="0.35">
      <c r="A695" s="6" t="s">
        <v>2198</v>
      </c>
      <c r="B695" s="6" t="s">
        <v>2199</v>
      </c>
      <c r="C695" s="6" t="s">
        <v>2200</v>
      </c>
      <c r="D695" s="6" t="s">
        <v>22</v>
      </c>
      <c r="E695" s="7" t="s">
        <v>23</v>
      </c>
      <c r="F695" s="6">
        <v>85249</v>
      </c>
      <c r="G695" s="6" t="s">
        <v>125</v>
      </c>
      <c r="H695" s="6" t="s">
        <v>225</v>
      </c>
      <c r="I695" s="6" t="s">
        <v>26</v>
      </c>
      <c r="J695" s="6" t="b">
        <v>1</v>
      </c>
      <c r="K695" s="6" t="s">
        <v>27</v>
      </c>
      <c r="L695" s="6">
        <v>40</v>
      </c>
      <c r="M695" s="6">
        <v>155</v>
      </c>
      <c r="N695" s="8">
        <f t="shared" si="70"/>
        <v>76.679999999999993</v>
      </c>
      <c r="O695" s="8">
        <f t="shared" si="71"/>
        <v>1976.68</v>
      </c>
      <c r="P695" s="8">
        <f t="shared" si="72"/>
        <v>1976.68</v>
      </c>
      <c r="Q695" s="8">
        <f t="shared" si="73"/>
        <v>0</v>
      </c>
      <c r="R695" s="9">
        <f t="shared" si="74"/>
        <v>1976.68</v>
      </c>
      <c r="S695" s="10">
        <f t="shared" si="75"/>
        <v>164.72333333333333</v>
      </c>
      <c r="T695">
        <v>165</v>
      </c>
      <c r="U695">
        <f t="shared" si="76"/>
        <v>10</v>
      </c>
    </row>
    <row r="696" spans="1:21" ht="14.25" customHeight="1" x14ac:dyDescent="0.35">
      <c r="A696" s="6" t="s">
        <v>2201</v>
      </c>
      <c r="B696" s="6" t="s">
        <v>2202</v>
      </c>
      <c r="C696" s="6" t="s">
        <v>2203</v>
      </c>
      <c r="D696" s="6" t="s">
        <v>22</v>
      </c>
      <c r="E696" s="7" t="s">
        <v>23</v>
      </c>
      <c r="F696" s="6">
        <v>85249</v>
      </c>
      <c r="G696" s="6" t="s">
        <v>125</v>
      </c>
      <c r="H696" s="6" t="s">
        <v>126</v>
      </c>
      <c r="I696" s="6" t="s">
        <v>26</v>
      </c>
      <c r="J696" s="6" t="b">
        <v>1</v>
      </c>
      <c r="K696" s="6" t="s">
        <v>27</v>
      </c>
      <c r="L696" s="6">
        <v>40</v>
      </c>
      <c r="M696" s="6">
        <v>155</v>
      </c>
      <c r="N696" s="8">
        <f t="shared" si="70"/>
        <v>76.679999999999993</v>
      </c>
      <c r="O696" s="8">
        <f t="shared" si="71"/>
        <v>1976.68</v>
      </c>
      <c r="P696" s="8">
        <f t="shared" si="72"/>
        <v>1976.68</v>
      </c>
      <c r="Q696" s="8">
        <f t="shared" si="73"/>
        <v>0</v>
      </c>
      <c r="R696" s="9">
        <f t="shared" si="74"/>
        <v>1976.68</v>
      </c>
      <c r="S696" s="10">
        <f t="shared" si="75"/>
        <v>164.72333333333333</v>
      </c>
      <c r="T696">
        <v>165</v>
      </c>
      <c r="U696">
        <f t="shared" si="76"/>
        <v>10</v>
      </c>
    </row>
    <row r="697" spans="1:21" ht="14.25" customHeight="1" x14ac:dyDescent="0.35">
      <c r="A697" s="6" t="s">
        <v>2204</v>
      </c>
      <c r="B697" s="6" t="s">
        <v>2205</v>
      </c>
      <c r="C697" s="6" t="s">
        <v>2206</v>
      </c>
      <c r="D697" s="6" t="s">
        <v>44</v>
      </c>
      <c r="E697" s="7" t="s">
        <v>23</v>
      </c>
      <c r="F697" s="6">
        <v>85024</v>
      </c>
      <c r="G697" s="6" t="s">
        <v>173</v>
      </c>
      <c r="H697" s="6" t="s">
        <v>33</v>
      </c>
      <c r="I697" s="6" t="s">
        <v>26</v>
      </c>
      <c r="J697" s="6" t="b">
        <v>1</v>
      </c>
      <c r="K697" s="6" t="s">
        <v>27</v>
      </c>
      <c r="L697" s="6">
        <v>40</v>
      </c>
      <c r="M697" s="6">
        <v>155</v>
      </c>
      <c r="N697" s="8">
        <f t="shared" si="70"/>
        <v>76.679999999999993</v>
      </c>
      <c r="O697" s="8">
        <f t="shared" si="71"/>
        <v>1976.68</v>
      </c>
      <c r="P697" s="8">
        <f t="shared" si="72"/>
        <v>1976.68</v>
      </c>
      <c r="Q697" s="8">
        <f t="shared" si="73"/>
        <v>0</v>
      </c>
      <c r="R697" s="9">
        <f t="shared" si="74"/>
        <v>1976.68</v>
      </c>
      <c r="S697" s="10">
        <f t="shared" si="75"/>
        <v>164.72333333333333</v>
      </c>
      <c r="T697">
        <v>165</v>
      </c>
      <c r="U697">
        <f t="shared" si="76"/>
        <v>10</v>
      </c>
    </row>
    <row r="698" spans="1:21" ht="14.25" customHeight="1" x14ac:dyDescent="0.35">
      <c r="A698" s="6" t="s">
        <v>2207</v>
      </c>
      <c r="B698" s="6" t="s">
        <v>2208</v>
      </c>
      <c r="C698" s="6" t="s">
        <v>2209</v>
      </c>
      <c r="D698" s="6" t="s">
        <v>44</v>
      </c>
      <c r="E698" s="7" t="s">
        <v>23</v>
      </c>
      <c r="F698" s="6">
        <v>85048</v>
      </c>
      <c r="G698" s="6" t="s">
        <v>24</v>
      </c>
      <c r="H698" s="6" t="s">
        <v>161</v>
      </c>
      <c r="I698" s="6" t="s">
        <v>26</v>
      </c>
      <c r="J698" s="6" t="b">
        <v>1</v>
      </c>
      <c r="K698" s="6" t="s">
        <v>27</v>
      </c>
      <c r="L698" s="6">
        <v>40</v>
      </c>
      <c r="M698" s="6">
        <v>155</v>
      </c>
      <c r="N698" s="8">
        <f t="shared" si="70"/>
        <v>76.679999999999993</v>
      </c>
      <c r="O698" s="8">
        <f t="shared" si="71"/>
        <v>1976.68</v>
      </c>
      <c r="P698" s="8">
        <f t="shared" si="72"/>
        <v>1976.68</v>
      </c>
      <c r="Q698" s="8">
        <f t="shared" si="73"/>
        <v>0</v>
      </c>
      <c r="R698" s="9">
        <f t="shared" si="74"/>
        <v>1976.68</v>
      </c>
      <c r="S698" s="10">
        <f t="shared" si="75"/>
        <v>164.72333333333333</v>
      </c>
      <c r="T698">
        <v>165</v>
      </c>
      <c r="U698">
        <f t="shared" si="76"/>
        <v>10</v>
      </c>
    </row>
    <row r="699" spans="1:21" ht="14.25" customHeight="1" x14ac:dyDescent="0.35">
      <c r="A699" s="6" t="s">
        <v>2210</v>
      </c>
      <c r="B699" s="6" t="s">
        <v>2211</v>
      </c>
      <c r="C699" s="6" t="s">
        <v>2212</v>
      </c>
      <c r="D699" s="6" t="s">
        <v>363</v>
      </c>
      <c r="E699" s="7" t="s">
        <v>23</v>
      </c>
      <c r="F699" s="6">
        <v>85283</v>
      </c>
      <c r="G699" s="6" t="s">
        <v>364</v>
      </c>
      <c r="H699" s="6" t="s">
        <v>365</v>
      </c>
      <c r="I699" s="6" t="s">
        <v>26</v>
      </c>
      <c r="J699" s="6" t="b">
        <v>1</v>
      </c>
      <c r="K699" s="6" t="s">
        <v>27</v>
      </c>
      <c r="L699" s="6">
        <v>40</v>
      </c>
      <c r="M699" s="6">
        <v>155</v>
      </c>
      <c r="N699" s="8">
        <f t="shared" si="70"/>
        <v>76.679999999999993</v>
      </c>
      <c r="O699" s="8">
        <f t="shared" si="71"/>
        <v>1976.68</v>
      </c>
      <c r="P699" s="8">
        <f t="shared" si="72"/>
        <v>1976.68</v>
      </c>
      <c r="Q699" s="8">
        <f t="shared" si="73"/>
        <v>0</v>
      </c>
      <c r="R699" s="9">
        <f t="shared" si="74"/>
        <v>1976.68</v>
      </c>
      <c r="S699" s="10">
        <f t="shared" si="75"/>
        <v>164.72333333333333</v>
      </c>
      <c r="T699">
        <v>165</v>
      </c>
      <c r="U699">
        <f t="shared" si="76"/>
        <v>10</v>
      </c>
    </row>
    <row r="700" spans="1:21" ht="14.25" customHeight="1" x14ac:dyDescent="0.35">
      <c r="A700" s="6" t="s">
        <v>4036</v>
      </c>
      <c r="B700" s="6" t="s">
        <v>4037</v>
      </c>
      <c r="C700" s="6" t="s">
        <v>4038</v>
      </c>
      <c r="D700" s="6" t="s">
        <v>44</v>
      </c>
      <c r="E700" s="7" t="s">
        <v>23</v>
      </c>
      <c r="F700" s="6">
        <v>85023</v>
      </c>
      <c r="G700" s="6" t="s">
        <v>173</v>
      </c>
      <c r="H700" s="6" t="s">
        <v>79</v>
      </c>
      <c r="I700" s="6" t="s">
        <v>26</v>
      </c>
      <c r="J700" s="6" t="b">
        <v>1</v>
      </c>
      <c r="K700" s="6" t="s">
        <v>89</v>
      </c>
      <c r="L700" s="6">
        <v>40</v>
      </c>
      <c r="M700" s="6">
        <v>155</v>
      </c>
      <c r="N700" s="8">
        <f t="shared" si="70"/>
        <v>76.679999999999993</v>
      </c>
      <c r="O700" s="8">
        <f t="shared" si="71"/>
        <v>1976.68</v>
      </c>
      <c r="P700" s="8">
        <f t="shared" si="72"/>
        <v>1917.3796</v>
      </c>
      <c r="Q700" s="8">
        <f t="shared" si="73"/>
        <v>-59.300400000000081</v>
      </c>
      <c r="R700" s="9">
        <f t="shared" si="74"/>
        <v>2035.9804000000001</v>
      </c>
      <c r="S700" s="10">
        <f t="shared" si="75"/>
        <v>169.66503333333335</v>
      </c>
      <c r="T700">
        <v>165</v>
      </c>
      <c r="U700">
        <f t="shared" si="76"/>
        <v>10</v>
      </c>
    </row>
    <row r="701" spans="1:21" ht="14.25" customHeight="1" x14ac:dyDescent="0.35">
      <c r="A701" s="6" t="s">
        <v>4039</v>
      </c>
      <c r="B701" s="6" t="s">
        <v>4040</v>
      </c>
      <c r="C701" s="6" t="s">
        <v>4041</v>
      </c>
      <c r="D701" s="6" t="s">
        <v>31</v>
      </c>
      <c r="E701" s="7" t="s">
        <v>23</v>
      </c>
      <c r="F701" s="6">
        <v>85259</v>
      </c>
      <c r="G701" s="6" t="s">
        <v>45</v>
      </c>
      <c r="H701" s="6" t="s">
        <v>291</v>
      </c>
      <c r="I701" s="6" t="s">
        <v>26</v>
      </c>
      <c r="J701" s="6" t="b">
        <v>1</v>
      </c>
      <c r="K701" s="6" t="s">
        <v>94</v>
      </c>
      <c r="L701" s="6">
        <v>40</v>
      </c>
      <c r="M701" s="6">
        <v>155</v>
      </c>
      <c r="N701" s="8">
        <f t="shared" si="70"/>
        <v>76.679999999999993</v>
      </c>
      <c r="O701" s="8">
        <f t="shared" si="71"/>
        <v>1976.68</v>
      </c>
      <c r="P701" s="8">
        <f t="shared" si="72"/>
        <v>1917.3796</v>
      </c>
      <c r="Q701" s="8">
        <f t="shared" si="73"/>
        <v>-59.300400000000081</v>
      </c>
      <c r="R701" s="9">
        <f t="shared" si="74"/>
        <v>2035.9804000000001</v>
      </c>
      <c r="S701" s="10">
        <f t="shared" si="75"/>
        <v>169.66503333333335</v>
      </c>
      <c r="T701">
        <v>165</v>
      </c>
      <c r="U701">
        <f t="shared" si="76"/>
        <v>10</v>
      </c>
    </row>
    <row r="702" spans="1:21" ht="14.25" customHeight="1" x14ac:dyDescent="0.35">
      <c r="A702" s="6" t="s">
        <v>4042</v>
      </c>
      <c r="B702" s="6" t="s">
        <v>4043</v>
      </c>
      <c r="C702" s="6" t="s">
        <v>4044</v>
      </c>
      <c r="D702" s="6" t="s">
        <v>44</v>
      </c>
      <c r="E702" s="7" t="s">
        <v>23</v>
      </c>
      <c r="F702" s="6">
        <v>85050</v>
      </c>
      <c r="G702" s="6" t="s">
        <v>32</v>
      </c>
      <c r="H702" s="6" t="s">
        <v>169</v>
      </c>
      <c r="I702" s="6" t="s">
        <v>26</v>
      </c>
      <c r="J702" s="6" t="b">
        <v>1</v>
      </c>
      <c r="K702" s="6" t="s">
        <v>89</v>
      </c>
      <c r="L702" s="6">
        <v>40</v>
      </c>
      <c r="M702" s="6">
        <v>155</v>
      </c>
      <c r="N702" s="8">
        <f t="shared" si="70"/>
        <v>76.679999999999993</v>
      </c>
      <c r="O702" s="8">
        <f t="shared" si="71"/>
        <v>1976.68</v>
      </c>
      <c r="P702" s="8">
        <f t="shared" si="72"/>
        <v>1917.3796</v>
      </c>
      <c r="Q702" s="8">
        <f t="shared" si="73"/>
        <v>-59.300400000000081</v>
      </c>
      <c r="R702" s="9">
        <f t="shared" si="74"/>
        <v>2035.9804000000001</v>
      </c>
      <c r="S702" s="10">
        <f t="shared" si="75"/>
        <v>169.66503333333335</v>
      </c>
      <c r="T702">
        <v>165</v>
      </c>
      <c r="U702">
        <f t="shared" si="76"/>
        <v>10</v>
      </c>
    </row>
    <row r="703" spans="1:21" ht="14.25" customHeight="1" x14ac:dyDescent="0.35">
      <c r="A703" s="6" t="s">
        <v>2213</v>
      </c>
      <c r="B703" s="6" t="s">
        <v>2214</v>
      </c>
      <c r="C703" s="6" t="s">
        <v>2215</v>
      </c>
      <c r="D703" s="6" t="s">
        <v>44</v>
      </c>
      <c r="E703" s="7" t="s">
        <v>23</v>
      </c>
      <c r="F703" s="6">
        <v>85048</v>
      </c>
      <c r="G703" s="6" t="s">
        <v>24</v>
      </c>
      <c r="H703" s="6" t="s">
        <v>161</v>
      </c>
      <c r="I703" s="6" t="s">
        <v>26</v>
      </c>
      <c r="J703" s="6" t="b">
        <v>1</v>
      </c>
      <c r="K703" s="6" t="s">
        <v>27</v>
      </c>
      <c r="L703" s="6">
        <v>41.2</v>
      </c>
      <c r="M703" s="6">
        <v>155.07</v>
      </c>
      <c r="N703" s="8">
        <f t="shared" si="70"/>
        <v>76.679999999999993</v>
      </c>
      <c r="O703" s="8">
        <f t="shared" si="71"/>
        <v>1978.72</v>
      </c>
      <c r="P703" s="8">
        <f t="shared" si="72"/>
        <v>1978.72</v>
      </c>
      <c r="Q703" s="8">
        <f t="shared" si="73"/>
        <v>0</v>
      </c>
      <c r="R703" s="9">
        <f t="shared" si="74"/>
        <v>1978.72</v>
      </c>
      <c r="S703" s="10">
        <f t="shared" si="75"/>
        <v>164.89333333333335</v>
      </c>
      <c r="T703">
        <v>165</v>
      </c>
      <c r="U703">
        <f t="shared" si="76"/>
        <v>9.9300000000000068</v>
      </c>
    </row>
    <row r="704" spans="1:21" ht="14.25" customHeight="1" x14ac:dyDescent="0.35">
      <c r="A704" s="6" t="s">
        <v>2216</v>
      </c>
      <c r="B704" s="6" t="s">
        <v>2217</v>
      </c>
      <c r="C704" s="6" t="s">
        <v>2218</v>
      </c>
      <c r="D704" s="6" t="s">
        <v>44</v>
      </c>
      <c r="E704" s="7" t="s">
        <v>23</v>
      </c>
      <c r="F704" s="6">
        <v>85048</v>
      </c>
      <c r="G704" s="6" t="s">
        <v>24</v>
      </c>
      <c r="H704" s="6" t="s">
        <v>161</v>
      </c>
      <c r="I704" s="6" t="s">
        <v>26</v>
      </c>
      <c r="J704" s="6" t="b">
        <v>1</v>
      </c>
      <c r="K704" s="6" t="s">
        <v>27</v>
      </c>
      <c r="L704" s="6">
        <v>41.2</v>
      </c>
      <c r="M704" s="6">
        <v>155.07</v>
      </c>
      <c r="N704" s="8">
        <f t="shared" si="70"/>
        <v>76.679999999999993</v>
      </c>
      <c r="O704" s="8">
        <f t="shared" si="71"/>
        <v>1978.72</v>
      </c>
      <c r="P704" s="8">
        <f t="shared" si="72"/>
        <v>1978.72</v>
      </c>
      <c r="Q704" s="8">
        <f t="shared" si="73"/>
        <v>0</v>
      </c>
      <c r="R704" s="9">
        <f t="shared" si="74"/>
        <v>1978.72</v>
      </c>
      <c r="S704" s="10">
        <f t="shared" si="75"/>
        <v>164.89333333333335</v>
      </c>
      <c r="T704">
        <v>165</v>
      </c>
      <c r="U704">
        <f t="shared" si="76"/>
        <v>9.9300000000000068</v>
      </c>
    </row>
    <row r="705" spans="1:21" ht="14.25" customHeight="1" x14ac:dyDescent="0.35">
      <c r="A705" s="6" t="s">
        <v>3762</v>
      </c>
      <c r="B705" s="6" t="s">
        <v>3763</v>
      </c>
      <c r="C705" s="6" t="s">
        <v>3764</v>
      </c>
      <c r="D705" s="6" t="s">
        <v>22</v>
      </c>
      <c r="E705" s="7" t="s">
        <v>23</v>
      </c>
      <c r="F705" s="6">
        <v>85286</v>
      </c>
      <c r="G705" s="6" t="s">
        <v>125</v>
      </c>
      <c r="H705" s="6" t="s">
        <v>225</v>
      </c>
      <c r="I705" s="6" t="s">
        <v>26</v>
      </c>
      <c r="J705" s="6" t="b">
        <v>1</v>
      </c>
      <c r="K705" s="6" t="s">
        <v>27</v>
      </c>
      <c r="L705" s="6">
        <v>41.2</v>
      </c>
      <c r="M705" s="6">
        <v>156.18</v>
      </c>
      <c r="N705" s="8">
        <f t="shared" si="70"/>
        <v>76.679999999999993</v>
      </c>
      <c r="O705" s="8">
        <f t="shared" si="71"/>
        <v>1992.0400000000002</v>
      </c>
      <c r="P705" s="8">
        <f t="shared" si="72"/>
        <v>1992.0400000000002</v>
      </c>
      <c r="Q705" s="8">
        <f t="shared" si="73"/>
        <v>0</v>
      </c>
      <c r="R705" s="9">
        <f t="shared" si="74"/>
        <v>1992.0400000000002</v>
      </c>
      <c r="S705" s="10">
        <f t="shared" si="75"/>
        <v>166.00333333333336</v>
      </c>
      <c r="T705">
        <v>165</v>
      </c>
      <c r="U705">
        <f t="shared" si="76"/>
        <v>8.8199999999999932</v>
      </c>
    </row>
    <row r="706" spans="1:21" ht="14.25" customHeight="1" x14ac:dyDescent="0.35">
      <c r="A706" s="6" t="s">
        <v>1582</v>
      </c>
      <c r="B706" s="6" t="s">
        <v>1583</v>
      </c>
      <c r="C706" s="6" t="s">
        <v>1584</v>
      </c>
      <c r="D706" s="6" t="s">
        <v>65</v>
      </c>
      <c r="E706" s="7" t="s">
        <v>23</v>
      </c>
      <c r="F706" s="6">
        <v>85215</v>
      </c>
      <c r="G706" s="6" t="s">
        <v>66</v>
      </c>
      <c r="H706" s="6" t="s">
        <v>67</v>
      </c>
      <c r="I706" s="6" t="s">
        <v>26</v>
      </c>
      <c r="J706" s="6" t="b">
        <v>0</v>
      </c>
      <c r="K706" s="6" t="s">
        <v>27</v>
      </c>
      <c r="L706" s="6">
        <v>40</v>
      </c>
      <c r="M706" s="6">
        <v>159.65</v>
      </c>
      <c r="N706" s="8" t="str">
        <f t="shared" ref="N706:N769" si="77">IF(J706=TRUE, 6.39*12, "0")</f>
        <v>0</v>
      </c>
      <c r="O706" s="8">
        <f t="shared" ref="O706:O769" si="78">L706+(M706*12)+N706</f>
        <v>1955.8000000000002</v>
      </c>
      <c r="P706" s="8">
        <f t="shared" ref="P706:P769" si="79">IF(OR(K706="Check",K706="ACH"), O706*0.97, O706)</f>
        <v>1955.8000000000002</v>
      </c>
      <c r="Q706" s="8">
        <f t="shared" ref="Q706:Q769" si="80">P706-O706</f>
        <v>0</v>
      </c>
      <c r="R706" s="9">
        <f t="shared" ref="R706:R769" si="81">O706-Q706</f>
        <v>1955.8000000000002</v>
      </c>
      <c r="S706" s="10">
        <f t="shared" ref="S706:S769" si="82">R706/12</f>
        <v>162.98333333333335</v>
      </c>
      <c r="T706">
        <v>165</v>
      </c>
      <c r="U706">
        <f t="shared" si="76"/>
        <v>5.3499999999999943</v>
      </c>
    </row>
    <row r="707" spans="1:21" ht="14.25" customHeight="1" x14ac:dyDescent="0.35">
      <c r="A707" s="6" t="s">
        <v>1585</v>
      </c>
      <c r="B707" s="6" t="s">
        <v>1586</v>
      </c>
      <c r="C707" s="6" t="s">
        <v>1587</v>
      </c>
      <c r="D707" s="6" t="s">
        <v>98</v>
      </c>
      <c r="E707" s="7" t="s">
        <v>23</v>
      </c>
      <c r="F707" s="6">
        <v>85122</v>
      </c>
      <c r="G707" s="6" t="s">
        <v>87</v>
      </c>
      <c r="H707" s="6" t="s">
        <v>99</v>
      </c>
      <c r="I707" s="6" t="s">
        <v>110</v>
      </c>
      <c r="J707" s="6" t="b">
        <v>0</v>
      </c>
      <c r="K707" s="6" t="s">
        <v>27</v>
      </c>
      <c r="L707" s="6">
        <v>40</v>
      </c>
      <c r="M707" s="6">
        <v>159.65</v>
      </c>
      <c r="N707" s="8" t="str">
        <f t="shared" si="77"/>
        <v>0</v>
      </c>
      <c r="O707" s="8">
        <f t="shared" si="78"/>
        <v>1955.8000000000002</v>
      </c>
      <c r="P707" s="8">
        <f t="shared" si="79"/>
        <v>1955.8000000000002</v>
      </c>
      <c r="Q707" s="8">
        <f t="shared" si="80"/>
        <v>0</v>
      </c>
      <c r="R707" s="9">
        <f t="shared" si="81"/>
        <v>1955.8000000000002</v>
      </c>
      <c r="S707" s="10">
        <f t="shared" si="82"/>
        <v>162.98333333333335</v>
      </c>
      <c r="T707">
        <v>165</v>
      </c>
      <c r="U707">
        <f t="shared" si="76"/>
        <v>5.3499999999999943</v>
      </c>
    </row>
    <row r="708" spans="1:21" ht="14.25" customHeight="1" x14ac:dyDescent="0.35">
      <c r="A708" s="6" t="s">
        <v>1588</v>
      </c>
      <c r="B708" s="6" t="s">
        <v>1589</v>
      </c>
      <c r="C708" s="6" t="s">
        <v>1590</v>
      </c>
      <c r="D708" s="6" t="s">
        <v>71</v>
      </c>
      <c r="E708" s="7" t="s">
        <v>23</v>
      </c>
      <c r="F708" s="6">
        <v>85382</v>
      </c>
      <c r="G708" s="6" t="s">
        <v>78</v>
      </c>
      <c r="H708" s="6" t="s">
        <v>268</v>
      </c>
      <c r="I708" s="6" t="s">
        <v>40</v>
      </c>
      <c r="J708" s="6" t="b">
        <v>0</v>
      </c>
      <c r="K708" s="6" t="s">
        <v>27</v>
      </c>
      <c r="L708" s="6">
        <v>40</v>
      </c>
      <c r="M708" s="6">
        <v>159.65</v>
      </c>
      <c r="N708" s="8" t="str">
        <f t="shared" si="77"/>
        <v>0</v>
      </c>
      <c r="O708" s="8">
        <f t="shared" si="78"/>
        <v>1955.8000000000002</v>
      </c>
      <c r="P708" s="8">
        <f t="shared" si="79"/>
        <v>1955.8000000000002</v>
      </c>
      <c r="Q708" s="8">
        <f t="shared" si="80"/>
        <v>0</v>
      </c>
      <c r="R708" s="9">
        <f t="shared" si="81"/>
        <v>1955.8000000000002</v>
      </c>
      <c r="S708" s="10">
        <f t="shared" si="82"/>
        <v>162.98333333333335</v>
      </c>
      <c r="T708">
        <v>165</v>
      </c>
      <c r="U708">
        <f t="shared" ref="U708:U771" si="83">SUM(T708-M708)</f>
        <v>5.3499999999999943</v>
      </c>
    </row>
    <row r="709" spans="1:21" ht="14.25" customHeight="1" x14ac:dyDescent="0.35">
      <c r="A709" s="6" t="s">
        <v>1591</v>
      </c>
      <c r="B709" s="6" t="s">
        <v>1592</v>
      </c>
      <c r="C709" s="6" t="s">
        <v>1593</v>
      </c>
      <c r="D709" s="6" t="s">
        <v>44</v>
      </c>
      <c r="E709" s="7" t="s">
        <v>23</v>
      </c>
      <c r="F709" s="6">
        <v>85042</v>
      </c>
      <c r="G709" s="6" t="s">
        <v>213</v>
      </c>
      <c r="H709" s="6" t="s">
        <v>39</v>
      </c>
      <c r="I709" s="6" t="s">
        <v>26</v>
      </c>
      <c r="J709" s="6" t="b">
        <v>0</v>
      </c>
      <c r="K709" s="6" t="s">
        <v>27</v>
      </c>
      <c r="L709" s="6">
        <v>40</v>
      </c>
      <c r="M709" s="6">
        <v>159.65</v>
      </c>
      <c r="N709" s="8" t="str">
        <f t="shared" si="77"/>
        <v>0</v>
      </c>
      <c r="O709" s="8">
        <f t="shared" si="78"/>
        <v>1955.8000000000002</v>
      </c>
      <c r="P709" s="8">
        <f t="shared" si="79"/>
        <v>1955.8000000000002</v>
      </c>
      <c r="Q709" s="8">
        <f t="shared" si="80"/>
        <v>0</v>
      </c>
      <c r="R709" s="9">
        <f t="shared" si="81"/>
        <v>1955.8000000000002</v>
      </c>
      <c r="S709" s="10">
        <f t="shared" si="82"/>
        <v>162.98333333333335</v>
      </c>
      <c r="T709">
        <v>165</v>
      </c>
      <c r="U709">
        <f t="shared" si="83"/>
        <v>5.3499999999999943</v>
      </c>
    </row>
    <row r="710" spans="1:21" ht="14.25" customHeight="1" x14ac:dyDescent="0.35">
      <c r="A710" s="6" t="s">
        <v>1594</v>
      </c>
      <c r="B710" s="6" t="s">
        <v>1595</v>
      </c>
      <c r="C710" s="6" t="s">
        <v>1596</v>
      </c>
      <c r="D710" s="6" t="s">
        <v>44</v>
      </c>
      <c r="E710" s="7" t="s">
        <v>23</v>
      </c>
      <c r="F710" s="6">
        <v>85018</v>
      </c>
      <c r="G710" s="6" t="s">
        <v>49</v>
      </c>
      <c r="H710" s="6" t="s">
        <v>202</v>
      </c>
      <c r="I710" s="6" t="s">
        <v>26</v>
      </c>
      <c r="J710" s="6" t="b">
        <v>1</v>
      </c>
      <c r="K710" s="6" t="s">
        <v>27</v>
      </c>
      <c r="L710" s="6">
        <v>40</v>
      </c>
      <c r="M710" s="6">
        <v>159.65</v>
      </c>
      <c r="N710" s="8">
        <f t="shared" si="77"/>
        <v>76.679999999999993</v>
      </c>
      <c r="O710" s="8">
        <f t="shared" si="78"/>
        <v>2032.4800000000002</v>
      </c>
      <c r="P710" s="8">
        <f t="shared" si="79"/>
        <v>2032.4800000000002</v>
      </c>
      <c r="Q710" s="8">
        <f t="shared" si="80"/>
        <v>0</v>
      </c>
      <c r="R710" s="9">
        <f t="shared" si="81"/>
        <v>2032.4800000000002</v>
      </c>
      <c r="S710" s="10">
        <f t="shared" si="82"/>
        <v>169.37333333333336</v>
      </c>
      <c r="T710">
        <v>165</v>
      </c>
      <c r="U710">
        <f t="shared" si="83"/>
        <v>5.3499999999999943</v>
      </c>
    </row>
    <row r="711" spans="1:21" ht="14.25" customHeight="1" x14ac:dyDescent="0.35">
      <c r="A711" s="6" t="s">
        <v>1597</v>
      </c>
      <c r="B711" s="6" t="s">
        <v>1598</v>
      </c>
      <c r="C711" s="6" t="s">
        <v>1599</v>
      </c>
      <c r="D711" s="6" t="s">
        <v>44</v>
      </c>
      <c r="E711" s="7" t="s">
        <v>23</v>
      </c>
      <c r="F711" s="6">
        <v>85085</v>
      </c>
      <c r="G711" s="6" t="s">
        <v>32</v>
      </c>
      <c r="H711" s="6" t="s">
        <v>50</v>
      </c>
      <c r="I711" s="6" t="s">
        <v>40</v>
      </c>
      <c r="J711" s="6" t="b">
        <v>1</v>
      </c>
      <c r="K711" s="6" t="s">
        <v>27</v>
      </c>
      <c r="L711" s="6">
        <v>40</v>
      </c>
      <c r="M711" s="6">
        <v>159.65</v>
      </c>
      <c r="N711" s="8">
        <f t="shared" si="77"/>
        <v>76.679999999999993</v>
      </c>
      <c r="O711" s="8">
        <f t="shared" si="78"/>
        <v>2032.4800000000002</v>
      </c>
      <c r="P711" s="8">
        <f t="shared" si="79"/>
        <v>2032.4800000000002</v>
      </c>
      <c r="Q711" s="8">
        <f t="shared" si="80"/>
        <v>0</v>
      </c>
      <c r="R711" s="9">
        <f t="shared" si="81"/>
        <v>2032.4800000000002</v>
      </c>
      <c r="S711" s="10">
        <f t="shared" si="82"/>
        <v>169.37333333333336</v>
      </c>
      <c r="T711">
        <v>165</v>
      </c>
      <c r="U711">
        <f t="shared" si="83"/>
        <v>5.3499999999999943</v>
      </c>
    </row>
    <row r="712" spans="1:21" ht="14.25" customHeight="1" x14ac:dyDescent="0.35">
      <c r="A712" s="6" t="s">
        <v>1600</v>
      </c>
      <c r="B712" s="6" t="s">
        <v>1601</v>
      </c>
      <c r="C712" s="6" t="s">
        <v>1602</v>
      </c>
      <c r="D712" s="6" t="s">
        <v>54</v>
      </c>
      <c r="E712" s="7" t="s">
        <v>23</v>
      </c>
      <c r="F712" s="6">
        <v>85749</v>
      </c>
      <c r="G712" s="6" t="s">
        <v>55</v>
      </c>
      <c r="H712" s="6" t="s">
        <v>56</v>
      </c>
      <c r="I712" s="6" t="s">
        <v>110</v>
      </c>
      <c r="J712" s="6" t="b">
        <v>0</v>
      </c>
      <c r="K712" s="6" t="s">
        <v>27</v>
      </c>
      <c r="L712" s="6">
        <v>41.2</v>
      </c>
      <c r="M712" s="6">
        <v>159.65</v>
      </c>
      <c r="N712" s="8" t="str">
        <f t="shared" si="77"/>
        <v>0</v>
      </c>
      <c r="O712" s="8">
        <f t="shared" si="78"/>
        <v>1957.0000000000002</v>
      </c>
      <c r="P712" s="8">
        <f t="shared" si="79"/>
        <v>1957.0000000000002</v>
      </c>
      <c r="Q712" s="8">
        <f t="shared" si="80"/>
        <v>0</v>
      </c>
      <c r="R712" s="9">
        <f t="shared" si="81"/>
        <v>1957.0000000000002</v>
      </c>
      <c r="S712" s="10">
        <f t="shared" si="82"/>
        <v>163.08333333333334</v>
      </c>
      <c r="T712">
        <v>165</v>
      </c>
      <c r="U712">
        <f t="shared" si="83"/>
        <v>5.3499999999999943</v>
      </c>
    </row>
    <row r="713" spans="1:21" ht="14.25" customHeight="1" x14ac:dyDescent="0.35">
      <c r="A713" s="6" t="s">
        <v>1603</v>
      </c>
      <c r="B713" s="6" t="s">
        <v>1604</v>
      </c>
      <c r="C713" s="6" t="s">
        <v>1605</v>
      </c>
      <c r="D713" s="6" t="s">
        <v>332</v>
      </c>
      <c r="E713" s="7" t="s">
        <v>23</v>
      </c>
      <c r="F713" s="6">
        <v>85339</v>
      </c>
      <c r="G713" s="6" t="s">
        <v>213</v>
      </c>
      <c r="H713" s="6" t="s">
        <v>39</v>
      </c>
      <c r="I713" s="6" t="s">
        <v>26</v>
      </c>
      <c r="J713" s="6" t="b">
        <v>1</v>
      </c>
      <c r="K713" s="6" t="s">
        <v>27</v>
      </c>
      <c r="L713" s="6">
        <v>41.2</v>
      </c>
      <c r="M713" s="6">
        <v>159.65</v>
      </c>
      <c r="N713" s="8">
        <f t="shared" si="77"/>
        <v>76.679999999999993</v>
      </c>
      <c r="O713" s="8">
        <f t="shared" si="78"/>
        <v>2033.6800000000003</v>
      </c>
      <c r="P713" s="8">
        <f t="shared" si="79"/>
        <v>2033.6800000000003</v>
      </c>
      <c r="Q713" s="8">
        <f t="shared" si="80"/>
        <v>0</v>
      </c>
      <c r="R713" s="9">
        <f t="shared" si="81"/>
        <v>2033.6800000000003</v>
      </c>
      <c r="S713" s="10">
        <f t="shared" si="82"/>
        <v>169.47333333333336</v>
      </c>
      <c r="T713">
        <v>165</v>
      </c>
      <c r="U713">
        <f t="shared" si="83"/>
        <v>5.3499999999999943</v>
      </c>
    </row>
    <row r="714" spans="1:21" ht="14.25" customHeight="1" x14ac:dyDescent="0.35">
      <c r="A714" s="6" t="s">
        <v>1606</v>
      </c>
      <c r="B714" s="6" t="s">
        <v>1607</v>
      </c>
      <c r="C714" s="6" t="s">
        <v>1608</v>
      </c>
      <c r="D714" s="6" t="s">
        <v>1226</v>
      </c>
      <c r="E714" s="7" t="s">
        <v>23</v>
      </c>
      <c r="F714" s="6">
        <v>85128</v>
      </c>
      <c r="G714" s="6" t="s">
        <v>87</v>
      </c>
      <c r="H714" s="6" t="s">
        <v>99</v>
      </c>
      <c r="I714" s="6" t="s">
        <v>40</v>
      </c>
      <c r="J714" s="6" t="b">
        <v>1</v>
      </c>
      <c r="K714" s="6" t="s">
        <v>27</v>
      </c>
      <c r="L714" s="6">
        <v>41.2</v>
      </c>
      <c r="M714" s="6">
        <v>159.65</v>
      </c>
      <c r="N714" s="8">
        <f t="shared" si="77"/>
        <v>76.679999999999993</v>
      </c>
      <c r="O714" s="8">
        <f t="shared" si="78"/>
        <v>2033.6800000000003</v>
      </c>
      <c r="P714" s="8">
        <f t="shared" si="79"/>
        <v>2033.6800000000003</v>
      </c>
      <c r="Q714" s="8">
        <f t="shared" si="80"/>
        <v>0</v>
      </c>
      <c r="R714" s="9">
        <f t="shared" si="81"/>
        <v>2033.6800000000003</v>
      </c>
      <c r="S714" s="10">
        <f t="shared" si="82"/>
        <v>169.47333333333336</v>
      </c>
      <c r="T714">
        <v>165</v>
      </c>
      <c r="U714">
        <f t="shared" si="83"/>
        <v>5.3499999999999943</v>
      </c>
    </row>
    <row r="715" spans="1:21" ht="14.25" customHeight="1" x14ac:dyDescent="0.35">
      <c r="A715" s="6" t="s">
        <v>1609</v>
      </c>
      <c r="B715" s="6" t="s">
        <v>1610</v>
      </c>
      <c r="C715" s="6" t="s">
        <v>1611</v>
      </c>
      <c r="D715" s="6" t="s">
        <v>614</v>
      </c>
      <c r="E715" s="7" t="s">
        <v>23</v>
      </c>
      <c r="F715" s="6">
        <v>85268</v>
      </c>
      <c r="G715" s="6" t="s">
        <v>45</v>
      </c>
      <c r="H715" s="6" t="s">
        <v>50</v>
      </c>
      <c r="I715" s="6" t="s">
        <v>26</v>
      </c>
      <c r="J715" s="6" t="b">
        <v>1</v>
      </c>
      <c r="K715" s="6" t="s">
        <v>27</v>
      </c>
      <c r="L715" s="6">
        <v>41.2</v>
      </c>
      <c r="M715" s="6">
        <v>159.65</v>
      </c>
      <c r="N715" s="8">
        <f t="shared" si="77"/>
        <v>76.679999999999993</v>
      </c>
      <c r="O715" s="8">
        <f t="shared" si="78"/>
        <v>2033.6800000000003</v>
      </c>
      <c r="P715" s="8">
        <f t="shared" si="79"/>
        <v>2033.6800000000003</v>
      </c>
      <c r="Q715" s="8">
        <f t="shared" si="80"/>
        <v>0</v>
      </c>
      <c r="R715" s="9">
        <f t="shared" si="81"/>
        <v>2033.6800000000003</v>
      </c>
      <c r="S715" s="10">
        <f t="shared" si="82"/>
        <v>169.47333333333336</v>
      </c>
      <c r="T715">
        <v>165</v>
      </c>
      <c r="U715">
        <f t="shared" si="83"/>
        <v>5.3499999999999943</v>
      </c>
    </row>
    <row r="716" spans="1:21" ht="14.25" customHeight="1" x14ac:dyDescent="0.35">
      <c r="A716" s="6" t="s">
        <v>1612</v>
      </c>
      <c r="B716" s="6" t="s">
        <v>1613</v>
      </c>
      <c r="C716" s="6" t="s">
        <v>1614</v>
      </c>
      <c r="D716" s="6" t="s">
        <v>363</v>
      </c>
      <c r="E716" s="7" t="s">
        <v>23</v>
      </c>
      <c r="F716" s="6">
        <v>85283</v>
      </c>
      <c r="G716" s="6" t="s">
        <v>364</v>
      </c>
      <c r="H716" s="6" t="s">
        <v>365</v>
      </c>
      <c r="I716" s="6" t="s">
        <v>26</v>
      </c>
      <c r="J716" s="6" t="b">
        <v>1</v>
      </c>
      <c r="K716" s="6" t="s">
        <v>27</v>
      </c>
      <c r="L716" s="6">
        <v>41.2</v>
      </c>
      <c r="M716" s="6">
        <v>159.65</v>
      </c>
      <c r="N716" s="8">
        <f t="shared" si="77"/>
        <v>76.679999999999993</v>
      </c>
      <c r="O716" s="8">
        <f t="shared" si="78"/>
        <v>2033.6800000000003</v>
      </c>
      <c r="P716" s="8">
        <f t="shared" si="79"/>
        <v>2033.6800000000003</v>
      </c>
      <c r="Q716" s="8">
        <f t="shared" si="80"/>
        <v>0</v>
      </c>
      <c r="R716" s="9">
        <f t="shared" si="81"/>
        <v>2033.6800000000003</v>
      </c>
      <c r="S716" s="10">
        <f t="shared" si="82"/>
        <v>169.47333333333336</v>
      </c>
      <c r="T716">
        <v>165</v>
      </c>
      <c r="U716">
        <f t="shared" si="83"/>
        <v>5.3499999999999943</v>
      </c>
    </row>
    <row r="717" spans="1:21" ht="14.25" customHeight="1" x14ac:dyDescent="0.35">
      <c r="A717" s="6" t="s">
        <v>1615</v>
      </c>
      <c r="B717" s="6" t="s">
        <v>1616</v>
      </c>
      <c r="C717" s="6" t="s">
        <v>1617</v>
      </c>
      <c r="D717" s="6" t="s">
        <v>117</v>
      </c>
      <c r="E717" s="7" t="s">
        <v>23</v>
      </c>
      <c r="F717" s="6">
        <v>85139</v>
      </c>
      <c r="G717" s="6" t="s">
        <v>87</v>
      </c>
      <c r="H717" s="6" t="s">
        <v>88</v>
      </c>
      <c r="I717" s="6" t="s">
        <v>26</v>
      </c>
      <c r="J717" s="6" t="b">
        <v>1</v>
      </c>
      <c r="K717" s="6" t="s">
        <v>27</v>
      </c>
      <c r="L717" s="6">
        <v>41.2</v>
      </c>
      <c r="M717" s="6">
        <v>159.65</v>
      </c>
      <c r="N717" s="8">
        <f t="shared" si="77"/>
        <v>76.679999999999993</v>
      </c>
      <c r="O717" s="8">
        <f t="shared" si="78"/>
        <v>2033.6800000000003</v>
      </c>
      <c r="P717" s="8">
        <f t="shared" si="79"/>
        <v>2033.6800000000003</v>
      </c>
      <c r="Q717" s="8">
        <f t="shared" si="80"/>
        <v>0</v>
      </c>
      <c r="R717" s="9">
        <f t="shared" si="81"/>
        <v>2033.6800000000003</v>
      </c>
      <c r="S717" s="10">
        <f t="shared" si="82"/>
        <v>169.47333333333336</v>
      </c>
      <c r="T717">
        <v>165</v>
      </c>
      <c r="U717">
        <f t="shared" si="83"/>
        <v>5.3499999999999943</v>
      </c>
    </row>
    <row r="718" spans="1:21" ht="14.25" customHeight="1" x14ac:dyDescent="0.35">
      <c r="A718" s="6" t="s">
        <v>1618</v>
      </c>
      <c r="B718" s="6" t="s">
        <v>1619</v>
      </c>
      <c r="C718" s="6" t="s">
        <v>1620</v>
      </c>
      <c r="D718" s="6" t="s">
        <v>117</v>
      </c>
      <c r="E718" s="7" t="s">
        <v>23</v>
      </c>
      <c r="F718" s="6">
        <v>85138</v>
      </c>
      <c r="G718" s="6" t="s">
        <v>87</v>
      </c>
      <c r="H718" s="6" t="s">
        <v>88</v>
      </c>
      <c r="I718" s="6" t="s">
        <v>26</v>
      </c>
      <c r="J718" s="6" t="b">
        <v>1</v>
      </c>
      <c r="K718" s="6" t="s">
        <v>27</v>
      </c>
      <c r="L718" s="6">
        <v>41.2</v>
      </c>
      <c r="M718" s="6">
        <v>159.65</v>
      </c>
      <c r="N718" s="8">
        <f t="shared" si="77"/>
        <v>76.679999999999993</v>
      </c>
      <c r="O718" s="8">
        <f t="shared" si="78"/>
        <v>2033.6800000000003</v>
      </c>
      <c r="P718" s="8">
        <f t="shared" si="79"/>
        <v>2033.6800000000003</v>
      </c>
      <c r="Q718" s="8">
        <f t="shared" si="80"/>
        <v>0</v>
      </c>
      <c r="R718" s="9">
        <f t="shared" si="81"/>
        <v>2033.6800000000003</v>
      </c>
      <c r="S718" s="10">
        <f t="shared" si="82"/>
        <v>169.47333333333336</v>
      </c>
      <c r="T718">
        <v>165</v>
      </c>
      <c r="U718">
        <f t="shared" si="83"/>
        <v>5.3499999999999943</v>
      </c>
    </row>
    <row r="719" spans="1:21" ht="14.25" customHeight="1" x14ac:dyDescent="0.35">
      <c r="A719" s="6" t="s">
        <v>1621</v>
      </c>
      <c r="B719" s="6" t="s">
        <v>1622</v>
      </c>
      <c r="C719" s="6" t="s">
        <v>1623</v>
      </c>
      <c r="D719" s="6" t="s">
        <v>77</v>
      </c>
      <c r="E719" s="7" t="s">
        <v>23</v>
      </c>
      <c r="F719" s="6">
        <v>85305</v>
      </c>
      <c r="G719" s="6" t="s">
        <v>72</v>
      </c>
      <c r="H719" s="6" t="s">
        <v>73</v>
      </c>
      <c r="I719" s="6" t="s">
        <v>40</v>
      </c>
      <c r="J719" s="6" t="b">
        <v>1</v>
      </c>
      <c r="K719" s="6" t="s">
        <v>27</v>
      </c>
      <c r="L719" s="6">
        <v>41.2</v>
      </c>
      <c r="M719" s="6">
        <v>159.65</v>
      </c>
      <c r="N719" s="8">
        <f t="shared" si="77"/>
        <v>76.679999999999993</v>
      </c>
      <c r="O719" s="8">
        <f t="shared" si="78"/>
        <v>2033.6800000000003</v>
      </c>
      <c r="P719" s="8">
        <f t="shared" si="79"/>
        <v>2033.6800000000003</v>
      </c>
      <c r="Q719" s="8">
        <f t="shared" si="80"/>
        <v>0</v>
      </c>
      <c r="R719" s="9">
        <f t="shared" si="81"/>
        <v>2033.6800000000003</v>
      </c>
      <c r="S719" s="10">
        <f t="shared" si="82"/>
        <v>169.47333333333336</v>
      </c>
      <c r="T719">
        <v>165</v>
      </c>
      <c r="U719">
        <f t="shared" si="83"/>
        <v>5.3499999999999943</v>
      </c>
    </row>
    <row r="720" spans="1:21" ht="14.25" customHeight="1" x14ac:dyDescent="0.35">
      <c r="A720" s="6" t="s">
        <v>1624</v>
      </c>
      <c r="B720" s="6" t="s">
        <v>1625</v>
      </c>
      <c r="C720" s="6" t="s">
        <v>1626</v>
      </c>
      <c r="D720" s="6" t="s">
        <v>1627</v>
      </c>
      <c r="E720" s="7" t="s">
        <v>23</v>
      </c>
      <c r="F720" s="6">
        <v>85131</v>
      </c>
      <c r="G720" s="6" t="s">
        <v>87</v>
      </c>
      <c r="H720" s="6" t="s">
        <v>88</v>
      </c>
      <c r="I720" s="6" t="s">
        <v>61</v>
      </c>
      <c r="J720" s="6" t="b">
        <v>1</v>
      </c>
      <c r="K720" s="6" t="s">
        <v>27</v>
      </c>
      <c r="L720" s="6">
        <v>41.2</v>
      </c>
      <c r="M720" s="6">
        <v>159.65</v>
      </c>
      <c r="N720" s="8">
        <f t="shared" si="77"/>
        <v>76.679999999999993</v>
      </c>
      <c r="O720" s="8">
        <f t="shared" si="78"/>
        <v>2033.6800000000003</v>
      </c>
      <c r="P720" s="8">
        <f t="shared" si="79"/>
        <v>2033.6800000000003</v>
      </c>
      <c r="Q720" s="8">
        <f t="shared" si="80"/>
        <v>0</v>
      </c>
      <c r="R720" s="9">
        <f t="shared" si="81"/>
        <v>2033.6800000000003</v>
      </c>
      <c r="S720" s="10">
        <f t="shared" si="82"/>
        <v>169.47333333333336</v>
      </c>
      <c r="T720">
        <v>165</v>
      </c>
      <c r="U720">
        <f t="shared" si="83"/>
        <v>5.3499999999999943</v>
      </c>
    </row>
    <row r="721" spans="1:21" ht="14.25" customHeight="1" x14ac:dyDescent="0.35">
      <c r="A721" s="6" t="s">
        <v>1628</v>
      </c>
      <c r="B721" s="6" t="s">
        <v>1629</v>
      </c>
      <c r="C721" s="6" t="s">
        <v>1630</v>
      </c>
      <c r="D721" s="6" t="s">
        <v>98</v>
      </c>
      <c r="E721" s="7" t="s">
        <v>23</v>
      </c>
      <c r="F721" s="6">
        <v>85122</v>
      </c>
      <c r="G721" s="6" t="s">
        <v>87</v>
      </c>
      <c r="H721" s="6" t="s">
        <v>109</v>
      </c>
      <c r="I721" s="6" t="s">
        <v>61</v>
      </c>
      <c r="J721" s="6" t="b">
        <v>1</v>
      </c>
      <c r="K721" s="6" t="s">
        <v>27</v>
      </c>
      <c r="L721" s="6">
        <v>41.2</v>
      </c>
      <c r="M721" s="6">
        <v>159.65</v>
      </c>
      <c r="N721" s="8">
        <f t="shared" si="77"/>
        <v>76.679999999999993</v>
      </c>
      <c r="O721" s="8">
        <f t="shared" si="78"/>
        <v>2033.6800000000003</v>
      </c>
      <c r="P721" s="8">
        <f t="shared" si="79"/>
        <v>2033.6800000000003</v>
      </c>
      <c r="Q721" s="8">
        <f t="shared" si="80"/>
        <v>0</v>
      </c>
      <c r="R721" s="9">
        <f t="shared" si="81"/>
        <v>2033.6800000000003</v>
      </c>
      <c r="S721" s="10">
        <f t="shared" si="82"/>
        <v>169.47333333333336</v>
      </c>
      <c r="T721">
        <v>165</v>
      </c>
      <c r="U721">
        <f t="shared" si="83"/>
        <v>5.3499999999999943</v>
      </c>
    </row>
    <row r="722" spans="1:21" ht="14.25" customHeight="1" x14ac:dyDescent="0.35">
      <c r="A722" s="6" t="s">
        <v>3765</v>
      </c>
      <c r="B722" s="6" t="s">
        <v>3766</v>
      </c>
      <c r="C722" s="6" t="s">
        <v>3767</v>
      </c>
      <c r="D722" s="6" t="s">
        <v>454</v>
      </c>
      <c r="E722" s="7" t="s">
        <v>23</v>
      </c>
      <c r="F722" s="6">
        <v>85395</v>
      </c>
      <c r="G722" s="6" t="s">
        <v>38</v>
      </c>
      <c r="H722" s="6" t="s">
        <v>378</v>
      </c>
      <c r="I722" s="6" t="s">
        <v>26</v>
      </c>
      <c r="J722" s="6" t="b">
        <v>1</v>
      </c>
      <c r="K722" s="6" t="s">
        <v>27</v>
      </c>
      <c r="L722" s="6">
        <v>0</v>
      </c>
      <c r="M722" s="6">
        <v>159.65</v>
      </c>
      <c r="N722" s="8">
        <f t="shared" si="77"/>
        <v>76.679999999999993</v>
      </c>
      <c r="O722" s="8">
        <f t="shared" si="78"/>
        <v>1992.4800000000002</v>
      </c>
      <c r="P722" s="8">
        <f t="shared" si="79"/>
        <v>1992.4800000000002</v>
      </c>
      <c r="Q722" s="8">
        <f t="shared" si="80"/>
        <v>0</v>
      </c>
      <c r="R722" s="9">
        <f t="shared" si="81"/>
        <v>1992.4800000000002</v>
      </c>
      <c r="S722" s="10">
        <f t="shared" si="82"/>
        <v>166.04000000000002</v>
      </c>
      <c r="T722">
        <v>165</v>
      </c>
      <c r="U722">
        <f t="shared" si="83"/>
        <v>5.3499999999999943</v>
      </c>
    </row>
    <row r="723" spans="1:21" ht="14.25" customHeight="1" x14ac:dyDescent="0.35">
      <c r="A723" s="6" t="s">
        <v>3771</v>
      </c>
      <c r="B723" s="6" t="s">
        <v>3772</v>
      </c>
      <c r="C723" s="6" t="s">
        <v>3773</v>
      </c>
      <c r="D723" s="6" t="s">
        <v>31</v>
      </c>
      <c r="E723" s="7" t="s">
        <v>23</v>
      </c>
      <c r="F723" s="6">
        <v>85266</v>
      </c>
      <c r="G723" s="6" t="s">
        <v>32</v>
      </c>
      <c r="H723" s="6" t="s">
        <v>50</v>
      </c>
      <c r="I723" s="6" t="s">
        <v>40</v>
      </c>
      <c r="J723" s="6" t="b">
        <v>1</v>
      </c>
      <c r="K723" s="6" t="s">
        <v>89</v>
      </c>
      <c r="L723" s="6">
        <v>40</v>
      </c>
      <c r="M723" s="6">
        <v>159.65</v>
      </c>
      <c r="N723" s="8">
        <f t="shared" si="77"/>
        <v>76.679999999999993</v>
      </c>
      <c r="O723" s="8">
        <f t="shared" si="78"/>
        <v>2032.4800000000002</v>
      </c>
      <c r="P723" s="8">
        <f t="shared" si="79"/>
        <v>1971.5056000000002</v>
      </c>
      <c r="Q723" s="8">
        <f t="shared" si="80"/>
        <v>-60.97440000000006</v>
      </c>
      <c r="R723" s="9">
        <f t="shared" si="81"/>
        <v>2093.4544000000005</v>
      </c>
      <c r="S723" s="10">
        <f t="shared" si="82"/>
        <v>174.45453333333339</v>
      </c>
      <c r="T723">
        <v>165</v>
      </c>
      <c r="U723">
        <f t="shared" si="83"/>
        <v>5.3499999999999943</v>
      </c>
    </row>
    <row r="724" spans="1:21" ht="14.25" customHeight="1" x14ac:dyDescent="0.35">
      <c r="A724" s="6" t="s">
        <v>3774</v>
      </c>
      <c r="B724" s="6" t="s">
        <v>3775</v>
      </c>
      <c r="C724" s="6" t="s">
        <v>3776</v>
      </c>
      <c r="D724" s="6" t="s">
        <v>44</v>
      </c>
      <c r="E724" s="7" t="s">
        <v>23</v>
      </c>
      <c r="F724" s="6">
        <v>85015</v>
      </c>
      <c r="G724" s="6" t="s">
        <v>213</v>
      </c>
      <c r="H724" s="6" t="s">
        <v>202</v>
      </c>
      <c r="I724" s="6" t="s">
        <v>26</v>
      </c>
      <c r="J724" s="6" t="b">
        <v>1</v>
      </c>
      <c r="K724" s="6" t="s">
        <v>94</v>
      </c>
      <c r="L724" s="6">
        <v>41.2</v>
      </c>
      <c r="M724" s="6">
        <v>159.65</v>
      </c>
      <c r="N724" s="8">
        <f t="shared" si="77"/>
        <v>76.679999999999993</v>
      </c>
      <c r="O724" s="8">
        <f t="shared" si="78"/>
        <v>2033.6800000000003</v>
      </c>
      <c r="P724" s="8">
        <f t="shared" si="79"/>
        <v>1972.6696000000002</v>
      </c>
      <c r="Q724" s="8">
        <f t="shared" si="80"/>
        <v>-61.010400000000118</v>
      </c>
      <c r="R724" s="9">
        <f t="shared" si="81"/>
        <v>2094.6904000000004</v>
      </c>
      <c r="S724" s="10">
        <f t="shared" si="82"/>
        <v>174.55753333333337</v>
      </c>
      <c r="T724">
        <v>165</v>
      </c>
      <c r="U724">
        <f t="shared" si="83"/>
        <v>5.3499999999999943</v>
      </c>
    </row>
    <row r="725" spans="1:21" ht="14.25" customHeight="1" x14ac:dyDescent="0.35">
      <c r="A725" s="6" t="s">
        <v>3777</v>
      </c>
      <c r="B725" s="6" t="s">
        <v>3778</v>
      </c>
      <c r="C725" s="6" t="s">
        <v>3779</v>
      </c>
      <c r="D725" s="6" t="s">
        <v>44</v>
      </c>
      <c r="E725" s="7" t="s">
        <v>23</v>
      </c>
      <c r="F725" s="6">
        <v>85020</v>
      </c>
      <c r="G725" s="6" t="s">
        <v>173</v>
      </c>
      <c r="H725" s="6" t="s">
        <v>202</v>
      </c>
      <c r="I725" s="6" t="s">
        <v>40</v>
      </c>
      <c r="J725" s="6" t="b">
        <v>1</v>
      </c>
      <c r="K725" s="6" t="s">
        <v>94</v>
      </c>
      <c r="L725" s="6">
        <v>41.2</v>
      </c>
      <c r="M725" s="6">
        <v>159.65</v>
      </c>
      <c r="N725" s="8">
        <f t="shared" si="77"/>
        <v>76.679999999999993</v>
      </c>
      <c r="O725" s="8">
        <f t="shared" si="78"/>
        <v>2033.6800000000003</v>
      </c>
      <c r="P725" s="8">
        <f t="shared" si="79"/>
        <v>1972.6696000000002</v>
      </c>
      <c r="Q725" s="8">
        <f t="shared" si="80"/>
        <v>-61.010400000000118</v>
      </c>
      <c r="R725" s="9">
        <f t="shared" si="81"/>
        <v>2094.6904000000004</v>
      </c>
      <c r="S725" s="10">
        <f t="shared" si="82"/>
        <v>174.55753333333337</v>
      </c>
      <c r="T725">
        <v>165</v>
      </c>
      <c r="U725">
        <f t="shared" si="83"/>
        <v>5.3499999999999943</v>
      </c>
    </row>
    <row r="726" spans="1:21" ht="14.25" customHeight="1" x14ac:dyDescent="0.35">
      <c r="A726" s="6" t="s">
        <v>3869</v>
      </c>
      <c r="B726" s="6" t="s">
        <v>3870</v>
      </c>
      <c r="C726" s="6" t="s">
        <v>3871</v>
      </c>
      <c r="D726" s="6" t="s">
        <v>44</v>
      </c>
      <c r="E726" s="7" t="s">
        <v>23</v>
      </c>
      <c r="F726" s="6">
        <v>85051</v>
      </c>
      <c r="G726" s="6" t="s">
        <v>72</v>
      </c>
      <c r="H726" s="6" t="s">
        <v>93</v>
      </c>
      <c r="I726" s="6" t="s">
        <v>40</v>
      </c>
      <c r="J726" s="6" t="b">
        <v>1</v>
      </c>
      <c r="K726" s="6" t="s">
        <v>27</v>
      </c>
      <c r="L726" s="6">
        <v>40</v>
      </c>
      <c r="M726" s="6">
        <v>159.65</v>
      </c>
      <c r="N726" s="8">
        <f t="shared" si="77"/>
        <v>76.679999999999993</v>
      </c>
      <c r="O726" s="8">
        <f t="shared" si="78"/>
        <v>2032.4800000000002</v>
      </c>
      <c r="P726" s="8">
        <f t="shared" si="79"/>
        <v>2032.4800000000002</v>
      </c>
      <c r="Q726" s="8">
        <f t="shared" si="80"/>
        <v>0</v>
      </c>
      <c r="R726" s="9">
        <f t="shared" si="81"/>
        <v>2032.4800000000002</v>
      </c>
      <c r="S726" s="10">
        <f t="shared" si="82"/>
        <v>169.37333333333336</v>
      </c>
      <c r="T726">
        <v>165</v>
      </c>
      <c r="U726">
        <f t="shared" si="83"/>
        <v>5.3499999999999943</v>
      </c>
    </row>
    <row r="727" spans="1:21" ht="14.25" customHeight="1" x14ac:dyDescent="0.35">
      <c r="A727" s="6" t="s">
        <v>3872</v>
      </c>
      <c r="B727" s="6" t="s">
        <v>3873</v>
      </c>
      <c r="C727" s="6" t="s">
        <v>3874</v>
      </c>
      <c r="D727" s="6" t="s">
        <v>44</v>
      </c>
      <c r="E727" s="7" t="s">
        <v>23</v>
      </c>
      <c r="F727" s="6">
        <v>85018</v>
      </c>
      <c r="G727" s="6" t="s">
        <v>49</v>
      </c>
      <c r="H727" s="6" t="s">
        <v>50</v>
      </c>
      <c r="I727" s="6" t="s">
        <v>26</v>
      </c>
      <c r="J727" s="6" t="b">
        <v>1</v>
      </c>
      <c r="K727" s="6" t="s">
        <v>27</v>
      </c>
      <c r="L727" s="6">
        <v>40</v>
      </c>
      <c r="M727" s="6">
        <v>159.65</v>
      </c>
      <c r="N727" s="8">
        <f t="shared" si="77"/>
        <v>76.679999999999993</v>
      </c>
      <c r="O727" s="8">
        <f t="shared" si="78"/>
        <v>2032.4800000000002</v>
      </c>
      <c r="P727" s="8">
        <f t="shared" si="79"/>
        <v>2032.4800000000002</v>
      </c>
      <c r="Q727" s="8">
        <f t="shared" si="80"/>
        <v>0</v>
      </c>
      <c r="R727" s="9">
        <f t="shared" si="81"/>
        <v>2032.4800000000002</v>
      </c>
      <c r="S727" s="10">
        <f t="shared" si="82"/>
        <v>169.37333333333336</v>
      </c>
      <c r="T727">
        <v>165</v>
      </c>
      <c r="U727">
        <f t="shared" si="83"/>
        <v>5.3499999999999943</v>
      </c>
    </row>
    <row r="728" spans="1:21" ht="14.25" customHeight="1" x14ac:dyDescent="0.35">
      <c r="A728" s="6" t="s">
        <v>3875</v>
      </c>
      <c r="B728" s="6" t="s">
        <v>3876</v>
      </c>
      <c r="C728" s="6" t="s">
        <v>3877</v>
      </c>
      <c r="D728" s="6" t="s">
        <v>44</v>
      </c>
      <c r="E728" s="7" t="s">
        <v>23</v>
      </c>
      <c r="F728" s="6">
        <v>85050</v>
      </c>
      <c r="G728" s="6" t="s">
        <v>32</v>
      </c>
      <c r="H728" s="6" t="s">
        <v>50</v>
      </c>
      <c r="I728" s="6" t="s">
        <v>40</v>
      </c>
      <c r="J728" s="6" t="b">
        <v>1</v>
      </c>
      <c r="K728" s="6" t="s">
        <v>27</v>
      </c>
      <c r="L728" s="6">
        <v>40</v>
      </c>
      <c r="M728" s="6">
        <v>159.65</v>
      </c>
      <c r="N728" s="8">
        <f t="shared" si="77"/>
        <v>76.679999999999993</v>
      </c>
      <c r="O728" s="8">
        <f t="shared" si="78"/>
        <v>2032.4800000000002</v>
      </c>
      <c r="P728" s="8">
        <f t="shared" si="79"/>
        <v>2032.4800000000002</v>
      </c>
      <c r="Q728" s="8">
        <f t="shared" si="80"/>
        <v>0</v>
      </c>
      <c r="R728" s="9">
        <f t="shared" si="81"/>
        <v>2032.4800000000002</v>
      </c>
      <c r="S728" s="10">
        <f t="shared" si="82"/>
        <v>169.37333333333336</v>
      </c>
      <c r="T728">
        <v>165</v>
      </c>
      <c r="U728">
        <f t="shared" si="83"/>
        <v>5.3499999999999943</v>
      </c>
    </row>
    <row r="729" spans="1:21" ht="14.25" customHeight="1" x14ac:dyDescent="0.35">
      <c r="A729" s="6" t="s">
        <v>3878</v>
      </c>
      <c r="B729" s="6" t="s">
        <v>3879</v>
      </c>
      <c r="C729" s="6" t="s">
        <v>3880</v>
      </c>
      <c r="D729" s="6" t="s">
        <v>892</v>
      </c>
      <c r="E729" s="7" t="s">
        <v>23</v>
      </c>
      <c r="F729" s="6" t="s">
        <v>3881</v>
      </c>
      <c r="G729" s="6" t="s">
        <v>125</v>
      </c>
      <c r="H729" s="6" t="s">
        <v>225</v>
      </c>
      <c r="I729" s="6" t="s">
        <v>26</v>
      </c>
      <c r="J729" s="6" t="b">
        <v>1</v>
      </c>
      <c r="K729" s="6" t="s">
        <v>27</v>
      </c>
      <c r="L729" s="6">
        <v>40</v>
      </c>
      <c r="M729" s="6">
        <v>159.65</v>
      </c>
      <c r="N729" s="8">
        <f t="shared" si="77"/>
        <v>76.679999999999993</v>
      </c>
      <c r="O729" s="8">
        <f t="shared" si="78"/>
        <v>2032.4800000000002</v>
      </c>
      <c r="P729" s="8">
        <f t="shared" si="79"/>
        <v>2032.4800000000002</v>
      </c>
      <c r="Q729" s="8">
        <f t="shared" si="80"/>
        <v>0</v>
      </c>
      <c r="R729" s="9">
        <f t="shared" si="81"/>
        <v>2032.4800000000002</v>
      </c>
      <c r="S729" s="10">
        <f t="shared" si="82"/>
        <v>169.37333333333336</v>
      </c>
      <c r="T729">
        <v>165</v>
      </c>
      <c r="U729">
        <f t="shared" si="83"/>
        <v>5.3499999999999943</v>
      </c>
    </row>
    <row r="730" spans="1:21" ht="14.25" customHeight="1" x14ac:dyDescent="0.35">
      <c r="A730" s="6" t="s">
        <v>3882</v>
      </c>
      <c r="B730" s="6" t="s">
        <v>3883</v>
      </c>
      <c r="C730" s="6" t="s">
        <v>3884</v>
      </c>
      <c r="D730" s="6" t="s">
        <v>77</v>
      </c>
      <c r="E730" s="7" t="s">
        <v>23</v>
      </c>
      <c r="F730" s="6">
        <v>85304</v>
      </c>
      <c r="G730" s="6" t="s">
        <v>72</v>
      </c>
      <c r="H730" s="6" t="s">
        <v>93</v>
      </c>
      <c r="I730" s="6" t="s">
        <v>26</v>
      </c>
      <c r="J730" s="6" t="b">
        <v>1</v>
      </c>
      <c r="K730" s="6" t="s">
        <v>27</v>
      </c>
      <c r="L730" s="6">
        <v>40</v>
      </c>
      <c r="M730" s="6">
        <v>159.65</v>
      </c>
      <c r="N730" s="8">
        <f t="shared" si="77"/>
        <v>76.679999999999993</v>
      </c>
      <c r="O730" s="8">
        <f t="shared" si="78"/>
        <v>2032.4800000000002</v>
      </c>
      <c r="P730" s="8">
        <f t="shared" si="79"/>
        <v>2032.4800000000002</v>
      </c>
      <c r="Q730" s="8">
        <f t="shared" si="80"/>
        <v>0</v>
      </c>
      <c r="R730" s="9">
        <f t="shared" si="81"/>
        <v>2032.4800000000002</v>
      </c>
      <c r="S730" s="10">
        <f t="shared" si="82"/>
        <v>169.37333333333336</v>
      </c>
      <c r="T730">
        <v>165</v>
      </c>
      <c r="U730">
        <f t="shared" si="83"/>
        <v>5.3499999999999943</v>
      </c>
    </row>
    <row r="731" spans="1:21" ht="14.25" customHeight="1" x14ac:dyDescent="0.35">
      <c r="A731" s="6" t="s">
        <v>3885</v>
      </c>
      <c r="B731" s="6" t="s">
        <v>3886</v>
      </c>
      <c r="C731" s="6" t="s">
        <v>3887</v>
      </c>
      <c r="D731" s="6" t="s">
        <v>241</v>
      </c>
      <c r="E731" s="7" t="s">
        <v>23</v>
      </c>
      <c r="F731" s="6">
        <v>85331</v>
      </c>
      <c r="G731" s="6" t="s">
        <v>32</v>
      </c>
      <c r="H731" s="6" t="s">
        <v>169</v>
      </c>
      <c r="I731" s="6" t="s">
        <v>26</v>
      </c>
      <c r="J731" s="6" t="b">
        <v>1</v>
      </c>
      <c r="K731" s="6" t="s">
        <v>27</v>
      </c>
      <c r="L731" s="6">
        <v>40</v>
      </c>
      <c r="M731" s="6">
        <v>159.65</v>
      </c>
      <c r="N731" s="8">
        <f t="shared" si="77"/>
        <v>76.679999999999993</v>
      </c>
      <c r="O731" s="8">
        <f t="shared" si="78"/>
        <v>2032.4800000000002</v>
      </c>
      <c r="P731" s="8">
        <f t="shared" si="79"/>
        <v>2032.4800000000002</v>
      </c>
      <c r="Q731" s="8">
        <f t="shared" si="80"/>
        <v>0</v>
      </c>
      <c r="R731" s="9">
        <f t="shared" si="81"/>
        <v>2032.4800000000002</v>
      </c>
      <c r="S731" s="10">
        <f t="shared" si="82"/>
        <v>169.37333333333336</v>
      </c>
      <c r="T731">
        <v>165</v>
      </c>
      <c r="U731">
        <f t="shared" si="83"/>
        <v>5.3499999999999943</v>
      </c>
    </row>
    <row r="732" spans="1:21" ht="14.25" customHeight="1" x14ac:dyDescent="0.35">
      <c r="A732" s="6" t="s">
        <v>3888</v>
      </c>
      <c r="B732" s="6" t="s">
        <v>3889</v>
      </c>
      <c r="C732" s="6" t="s">
        <v>3890</v>
      </c>
      <c r="D732" s="6" t="s">
        <v>31</v>
      </c>
      <c r="E732" s="7" t="s">
        <v>23</v>
      </c>
      <c r="F732" s="6">
        <v>85255</v>
      </c>
      <c r="G732" s="6" t="s">
        <v>32</v>
      </c>
      <c r="H732" s="6" t="s">
        <v>33</v>
      </c>
      <c r="I732" s="6" t="s">
        <v>26</v>
      </c>
      <c r="J732" s="6" t="b">
        <v>1</v>
      </c>
      <c r="K732" s="6" t="s">
        <v>27</v>
      </c>
      <c r="L732" s="6">
        <v>40</v>
      </c>
      <c r="M732" s="6">
        <v>159.65</v>
      </c>
      <c r="N732" s="8">
        <f t="shared" si="77"/>
        <v>76.679999999999993</v>
      </c>
      <c r="O732" s="8">
        <f t="shared" si="78"/>
        <v>2032.4800000000002</v>
      </c>
      <c r="P732" s="8">
        <f t="shared" si="79"/>
        <v>2032.4800000000002</v>
      </c>
      <c r="Q732" s="8">
        <f t="shared" si="80"/>
        <v>0</v>
      </c>
      <c r="R732" s="9">
        <f t="shared" si="81"/>
        <v>2032.4800000000002</v>
      </c>
      <c r="S732" s="10">
        <f t="shared" si="82"/>
        <v>169.37333333333336</v>
      </c>
      <c r="T732">
        <v>165</v>
      </c>
      <c r="U732">
        <f t="shared" si="83"/>
        <v>5.3499999999999943</v>
      </c>
    </row>
    <row r="733" spans="1:21" ht="14.25" customHeight="1" x14ac:dyDescent="0.35">
      <c r="A733" s="6" t="s">
        <v>3891</v>
      </c>
      <c r="B733" s="6" t="s">
        <v>3892</v>
      </c>
      <c r="C733" s="6" t="s">
        <v>3893</v>
      </c>
      <c r="D733" s="6" t="s">
        <v>77</v>
      </c>
      <c r="E733" s="7" t="s">
        <v>23</v>
      </c>
      <c r="F733" s="6">
        <v>85310</v>
      </c>
      <c r="G733" s="6" t="s">
        <v>78</v>
      </c>
      <c r="H733" s="6" t="s">
        <v>268</v>
      </c>
      <c r="I733" s="6" t="s">
        <v>61</v>
      </c>
      <c r="J733" s="6" t="b">
        <v>1</v>
      </c>
      <c r="K733" s="6" t="s">
        <v>27</v>
      </c>
      <c r="L733" s="6">
        <v>40</v>
      </c>
      <c r="M733" s="6">
        <v>159.65</v>
      </c>
      <c r="N733" s="8">
        <f t="shared" si="77"/>
        <v>76.679999999999993</v>
      </c>
      <c r="O733" s="8">
        <f t="shared" si="78"/>
        <v>2032.4800000000002</v>
      </c>
      <c r="P733" s="8">
        <f t="shared" si="79"/>
        <v>2032.4800000000002</v>
      </c>
      <c r="Q733" s="8">
        <f t="shared" si="80"/>
        <v>0</v>
      </c>
      <c r="R733" s="9">
        <f t="shared" si="81"/>
        <v>2032.4800000000002</v>
      </c>
      <c r="S733" s="10">
        <f t="shared" si="82"/>
        <v>169.37333333333336</v>
      </c>
      <c r="T733">
        <v>165</v>
      </c>
      <c r="U733">
        <f t="shared" si="83"/>
        <v>5.3499999999999943</v>
      </c>
    </row>
    <row r="734" spans="1:21" ht="14.25" customHeight="1" x14ac:dyDescent="0.35">
      <c r="A734" s="6" t="s">
        <v>3894</v>
      </c>
      <c r="B734" s="6" t="s">
        <v>3895</v>
      </c>
      <c r="C734" s="6" t="s">
        <v>3896</v>
      </c>
      <c r="D734" s="6" t="s">
        <v>31</v>
      </c>
      <c r="E734" s="7" t="s">
        <v>23</v>
      </c>
      <c r="F734" s="6">
        <v>85254</v>
      </c>
      <c r="G734" s="6" t="s">
        <v>45</v>
      </c>
      <c r="H734" s="6" t="s">
        <v>169</v>
      </c>
      <c r="I734" s="6" t="s">
        <v>26</v>
      </c>
      <c r="J734" s="6" t="b">
        <v>1</v>
      </c>
      <c r="K734" s="6" t="s">
        <v>27</v>
      </c>
      <c r="L734" s="6">
        <v>40</v>
      </c>
      <c r="M734" s="6">
        <v>159.65</v>
      </c>
      <c r="N734" s="8">
        <f t="shared" si="77"/>
        <v>76.679999999999993</v>
      </c>
      <c r="O734" s="8">
        <f t="shared" si="78"/>
        <v>2032.4800000000002</v>
      </c>
      <c r="P734" s="8">
        <f t="shared" si="79"/>
        <v>2032.4800000000002</v>
      </c>
      <c r="Q734" s="8">
        <f t="shared" si="80"/>
        <v>0</v>
      </c>
      <c r="R734" s="9">
        <f t="shared" si="81"/>
        <v>2032.4800000000002</v>
      </c>
      <c r="S734" s="10">
        <f t="shared" si="82"/>
        <v>169.37333333333336</v>
      </c>
      <c r="T734">
        <v>165</v>
      </c>
      <c r="U734">
        <f t="shared" si="83"/>
        <v>5.3499999999999943</v>
      </c>
    </row>
    <row r="735" spans="1:21" ht="14.25" customHeight="1" x14ac:dyDescent="0.35">
      <c r="A735" s="6" t="s">
        <v>3897</v>
      </c>
      <c r="B735" s="6" t="s">
        <v>3898</v>
      </c>
      <c r="C735" s="6" t="s">
        <v>3899</v>
      </c>
      <c r="D735" s="6" t="s">
        <v>54</v>
      </c>
      <c r="E735" s="7" t="s">
        <v>23</v>
      </c>
      <c r="F735" s="6">
        <v>85730</v>
      </c>
      <c r="G735" s="6" t="s">
        <v>55</v>
      </c>
      <c r="H735" s="6" t="s">
        <v>56</v>
      </c>
      <c r="I735" s="6" t="s">
        <v>61</v>
      </c>
      <c r="J735" s="6" t="b">
        <v>1</v>
      </c>
      <c r="K735" s="6" t="s">
        <v>27</v>
      </c>
      <c r="L735" s="6">
        <v>41.2</v>
      </c>
      <c r="M735" s="6">
        <v>159.65</v>
      </c>
      <c r="N735" s="8">
        <f t="shared" si="77"/>
        <v>76.679999999999993</v>
      </c>
      <c r="O735" s="8">
        <f t="shared" si="78"/>
        <v>2033.6800000000003</v>
      </c>
      <c r="P735" s="8">
        <f t="shared" si="79"/>
        <v>2033.6800000000003</v>
      </c>
      <c r="Q735" s="8">
        <f t="shared" si="80"/>
        <v>0</v>
      </c>
      <c r="R735" s="9">
        <f t="shared" si="81"/>
        <v>2033.6800000000003</v>
      </c>
      <c r="S735" s="10">
        <f t="shared" si="82"/>
        <v>169.47333333333336</v>
      </c>
      <c r="T735">
        <v>165</v>
      </c>
      <c r="U735">
        <f t="shared" si="83"/>
        <v>5.3499999999999943</v>
      </c>
    </row>
    <row r="736" spans="1:21" ht="14.25" customHeight="1" x14ac:dyDescent="0.35">
      <c r="A736" s="6" t="s">
        <v>3900</v>
      </c>
      <c r="B736" s="6" t="s">
        <v>3901</v>
      </c>
      <c r="C736" s="6" t="s">
        <v>3902</v>
      </c>
      <c r="D736" s="6" t="s">
        <v>77</v>
      </c>
      <c r="E736" s="7" t="s">
        <v>23</v>
      </c>
      <c r="F736" s="6">
        <v>85308</v>
      </c>
      <c r="G736" s="6" t="s">
        <v>78</v>
      </c>
      <c r="H736" s="6" t="s">
        <v>79</v>
      </c>
      <c r="I736" s="6" t="s">
        <v>110</v>
      </c>
      <c r="J736" s="6" t="b">
        <v>1</v>
      </c>
      <c r="K736" s="6" t="s">
        <v>27</v>
      </c>
      <c r="L736" s="6">
        <v>41.2</v>
      </c>
      <c r="M736" s="6">
        <v>159.65</v>
      </c>
      <c r="N736" s="8">
        <f t="shared" si="77"/>
        <v>76.679999999999993</v>
      </c>
      <c r="O736" s="8">
        <f t="shared" si="78"/>
        <v>2033.6800000000003</v>
      </c>
      <c r="P736" s="8">
        <f t="shared" si="79"/>
        <v>2033.6800000000003</v>
      </c>
      <c r="Q736" s="8">
        <f t="shared" si="80"/>
        <v>0</v>
      </c>
      <c r="R736" s="9">
        <f t="shared" si="81"/>
        <v>2033.6800000000003</v>
      </c>
      <c r="S736" s="10">
        <f t="shared" si="82"/>
        <v>169.47333333333336</v>
      </c>
      <c r="T736">
        <v>165</v>
      </c>
      <c r="U736">
        <f t="shared" si="83"/>
        <v>5.3499999999999943</v>
      </c>
    </row>
    <row r="737" spans="1:21" ht="14.25" customHeight="1" x14ac:dyDescent="0.35">
      <c r="A737" s="6" t="s">
        <v>3903</v>
      </c>
      <c r="B737" s="6" t="s">
        <v>3904</v>
      </c>
      <c r="C737" s="6" t="s">
        <v>3905</v>
      </c>
      <c r="D737" s="6" t="s">
        <v>65</v>
      </c>
      <c r="E737" s="7" t="s">
        <v>23</v>
      </c>
      <c r="F737" s="6">
        <v>85203</v>
      </c>
      <c r="G737" s="6" t="s">
        <v>66</v>
      </c>
      <c r="H737" s="6" t="s">
        <v>67</v>
      </c>
      <c r="I737" s="6" t="s">
        <v>26</v>
      </c>
      <c r="J737" s="6" t="b">
        <v>1</v>
      </c>
      <c r="K737" s="6" t="s">
        <v>27</v>
      </c>
      <c r="L737" s="6">
        <v>41.2</v>
      </c>
      <c r="M737" s="6">
        <v>159.65</v>
      </c>
      <c r="N737" s="8">
        <f t="shared" si="77"/>
        <v>76.679999999999993</v>
      </c>
      <c r="O737" s="8">
        <f t="shared" si="78"/>
        <v>2033.6800000000003</v>
      </c>
      <c r="P737" s="8">
        <f t="shared" si="79"/>
        <v>2033.6800000000003</v>
      </c>
      <c r="Q737" s="8">
        <f t="shared" si="80"/>
        <v>0</v>
      </c>
      <c r="R737" s="9">
        <f t="shared" si="81"/>
        <v>2033.6800000000003</v>
      </c>
      <c r="S737" s="10">
        <f t="shared" si="82"/>
        <v>169.47333333333336</v>
      </c>
      <c r="T737">
        <v>165</v>
      </c>
      <c r="U737">
        <f t="shared" si="83"/>
        <v>5.3499999999999943</v>
      </c>
    </row>
    <row r="738" spans="1:21" ht="14.25" customHeight="1" x14ac:dyDescent="0.35">
      <c r="A738" s="6" t="s">
        <v>3906</v>
      </c>
      <c r="B738" s="6" t="s">
        <v>3907</v>
      </c>
      <c r="C738" s="6" t="s">
        <v>3908</v>
      </c>
      <c r="D738" s="6" t="s">
        <v>44</v>
      </c>
      <c r="E738" s="7" t="s">
        <v>23</v>
      </c>
      <c r="F738" s="6">
        <v>85085</v>
      </c>
      <c r="G738" s="6" t="s">
        <v>32</v>
      </c>
      <c r="H738" s="6" t="s">
        <v>50</v>
      </c>
      <c r="I738" s="6" t="s">
        <v>40</v>
      </c>
      <c r="J738" s="6" t="b">
        <v>1</v>
      </c>
      <c r="K738" s="6" t="s">
        <v>27</v>
      </c>
      <c r="L738" s="6">
        <v>41.2</v>
      </c>
      <c r="M738" s="6">
        <v>159.65</v>
      </c>
      <c r="N738" s="8">
        <f t="shared" si="77"/>
        <v>76.679999999999993</v>
      </c>
      <c r="O738" s="8">
        <f t="shared" si="78"/>
        <v>2033.6800000000003</v>
      </c>
      <c r="P738" s="8">
        <f t="shared" si="79"/>
        <v>2033.6800000000003</v>
      </c>
      <c r="Q738" s="8">
        <f t="shared" si="80"/>
        <v>0</v>
      </c>
      <c r="R738" s="9">
        <f t="shared" si="81"/>
        <v>2033.6800000000003</v>
      </c>
      <c r="S738" s="10">
        <f t="shared" si="82"/>
        <v>169.47333333333336</v>
      </c>
      <c r="T738">
        <v>165</v>
      </c>
      <c r="U738">
        <f t="shared" si="83"/>
        <v>5.3499999999999943</v>
      </c>
    </row>
    <row r="739" spans="1:21" ht="14.25" customHeight="1" x14ac:dyDescent="0.35">
      <c r="A739" s="6" t="s">
        <v>3909</v>
      </c>
      <c r="B739" s="6" t="s">
        <v>3910</v>
      </c>
      <c r="C739" s="6" t="s">
        <v>3911</v>
      </c>
      <c r="D739" s="6" t="s">
        <v>54</v>
      </c>
      <c r="E739" s="7" t="s">
        <v>23</v>
      </c>
      <c r="F739" s="6">
        <v>85710</v>
      </c>
      <c r="G739" s="6" t="s">
        <v>55</v>
      </c>
      <c r="H739" s="6" t="s">
        <v>56</v>
      </c>
      <c r="I739" s="6" t="s">
        <v>61</v>
      </c>
      <c r="J739" s="6" t="b">
        <v>1</v>
      </c>
      <c r="K739" s="6" t="s">
        <v>27</v>
      </c>
      <c r="L739" s="6">
        <v>41.2</v>
      </c>
      <c r="M739" s="6">
        <v>159.65</v>
      </c>
      <c r="N739" s="8">
        <f t="shared" si="77"/>
        <v>76.679999999999993</v>
      </c>
      <c r="O739" s="8">
        <f t="shared" si="78"/>
        <v>2033.6800000000003</v>
      </c>
      <c r="P739" s="8">
        <f t="shared" si="79"/>
        <v>2033.6800000000003</v>
      </c>
      <c r="Q739" s="8">
        <f t="shared" si="80"/>
        <v>0</v>
      </c>
      <c r="R739" s="9">
        <f t="shared" si="81"/>
        <v>2033.6800000000003</v>
      </c>
      <c r="S739" s="10">
        <f t="shared" si="82"/>
        <v>169.47333333333336</v>
      </c>
      <c r="T739">
        <v>165</v>
      </c>
      <c r="U739">
        <f t="shared" si="83"/>
        <v>5.3499999999999943</v>
      </c>
    </row>
    <row r="740" spans="1:21" ht="14.25" customHeight="1" x14ac:dyDescent="0.35">
      <c r="A740" s="6" t="s">
        <v>3912</v>
      </c>
      <c r="B740" s="6" t="s">
        <v>3913</v>
      </c>
      <c r="C740" s="6" t="s">
        <v>3914</v>
      </c>
      <c r="D740" s="6" t="s">
        <v>86</v>
      </c>
      <c r="E740" s="7" t="s">
        <v>23</v>
      </c>
      <c r="F740" s="6">
        <v>85123</v>
      </c>
      <c r="G740" s="6" t="s">
        <v>87</v>
      </c>
      <c r="H740" s="6" t="s">
        <v>88</v>
      </c>
      <c r="I740" s="6" t="s">
        <v>40</v>
      </c>
      <c r="J740" s="6" t="b">
        <v>1</v>
      </c>
      <c r="K740" s="6" t="s">
        <v>27</v>
      </c>
      <c r="L740" s="6">
        <v>41.2</v>
      </c>
      <c r="M740" s="6">
        <v>159.65</v>
      </c>
      <c r="N740" s="8">
        <f t="shared" si="77"/>
        <v>76.679999999999993</v>
      </c>
      <c r="O740" s="8">
        <f t="shared" si="78"/>
        <v>2033.6800000000003</v>
      </c>
      <c r="P740" s="8">
        <f t="shared" si="79"/>
        <v>2033.6800000000003</v>
      </c>
      <c r="Q740" s="8">
        <f t="shared" si="80"/>
        <v>0</v>
      </c>
      <c r="R740" s="9">
        <f t="shared" si="81"/>
        <v>2033.6800000000003</v>
      </c>
      <c r="S740" s="10">
        <f t="shared" si="82"/>
        <v>169.47333333333336</v>
      </c>
      <c r="T740">
        <v>165</v>
      </c>
      <c r="U740">
        <f t="shared" si="83"/>
        <v>5.3499999999999943</v>
      </c>
    </row>
    <row r="741" spans="1:21" ht="14.25" customHeight="1" x14ac:dyDescent="0.35">
      <c r="A741" s="6" t="s">
        <v>3915</v>
      </c>
      <c r="B741" s="6" t="s">
        <v>3916</v>
      </c>
      <c r="C741" s="6" t="s">
        <v>3917</v>
      </c>
      <c r="D741" s="6" t="s">
        <v>86</v>
      </c>
      <c r="E741" s="7" t="s">
        <v>23</v>
      </c>
      <c r="F741" s="6">
        <v>85123</v>
      </c>
      <c r="G741" s="6" t="s">
        <v>87</v>
      </c>
      <c r="H741" s="6" t="s">
        <v>88</v>
      </c>
      <c r="I741" s="6" t="s">
        <v>40</v>
      </c>
      <c r="J741" s="6" t="b">
        <v>1</v>
      </c>
      <c r="K741" s="6" t="s">
        <v>27</v>
      </c>
      <c r="L741" s="6">
        <v>41.2</v>
      </c>
      <c r="M741" s="6">
        <v>159.65</v>
      </c>
      <c r="N741" s="8">
        <f t="shared" si="77"/>
        <v>76.679999999999993</v>
      </c>
      <c r="O741" s="8">
        <f t="shared" si="78"/>
        <v>2033.6800000000003</v>
      </c>
      <c r="P741" s="8">
        <f t="shared" si="79"/>
        <v>2033.6800000000003</v>
      </c>
      <c r="Q741" s="8">
        <f t="shared" si="80"/>
        <v>0</v>
      </c>
      <c r="R741" s="9">
        <f t="shared" si="81"/>
        <v>2033.6800000000003</v>
      </c>
      <c r="S741" s="10">
        <f t="shared" si="82"/>
        <v>169.47333333333336</v>
      </c>
      <c r="T741">
        <v>165</v>
      </c>
      <c r="U741">
        <f t="shared" si="83"/>
        <v>5.3499999999999943</v>
      </c>
    </row>
    <row r="742" spans="1:21" ht="14.25" customHeight="1" x14ac:dyDescent="0.35">
      <c r="A742" s="6" t="s">
        <v>3918</v>
      </c>
      <c r="B742" s="6" t="s">
        <v>3919</v>
      </c>
      <c r="C742" s="6" t="s">
        <v>3920</v>
      </c>
      <c r="D742" s="6" t="s">
        <v>454</v>
      </c>
      <c r="E742" s="7" t="s">
        <v>23</v>
      </c>
      <c r="F742" s="6">
        <v>85395</v>
      </c>
      <c r="G742" s="6" t="s">
        <v>38</v>
      </c>
      <c r="H742" s="6" t="s">
        <v>378</v>
      </c>
      <c r="I742" s="6" t="s">
        <v>26</v>
      </c>
      <c r="J742" s="6" t="b">
        <v>1</v>
      </c>
      <c r="K742" s="6" t="s">
        <v>27</v>
      </c>
      <c r="L742" s="6">
        <v>41.2</v>
      </c>
      <c r="M742" s="6">
        <v>159.65</v>
      </c>
      <c r="N742" s="8">
        <f t="shared" si="77"/>
        <v>76.679999999999993</v>
      </c>
      <c r="O742" s="8">
        <f t="shared" si="78"/>
        <v>2033.6800000000003</v>
      </c>
      <c r="P742" s="8">
        <f t="shared" si="79"/>
        <v>2033.6800000000003</v>
      </c>
      <c r="Q742" s="8">
        <f t="shared" si="80"/>
        <v>0</v>
      </c>
      <c r="R742" s="9">
        <f t="shared" si="81"/>
        <v>2033.6800000000003</v>
      </c>
      <c r="S742" s="10">
        <f t="shared" si="82"/>
        <v>169.47333333333336</v>
      </c>
      <c r="T742">
        <v>165</v>
      </c>
      <c r="U742">
        <f t="shared" si="83"/>
        <v>5.3499999999999943</v>
      </c>
    </row>
    <row r="743" spans="1:21" ht="14.25" customHeight="1" x14ac:dyDescent="0.35">
      <c r="A743" s="6" t="s">
        <v>3921</v>
      </c>
      <c r="B743" s="6" t="s">
        <v>3922</v>
      </c>
      <c r="C743" s="6" t="s">
        <v>3923</v>
      </c>
      <c r="D743" s="6" t="s">
        <v>44</v>
      </c>
      <c r="E743" s="7" t="s">
        <v>23</v>
      </c>
      <c r="F743" s="6">
        <v>85085</v>
      </c>
      <c r="G743" s="6" t="s">
        <v>32</v>
      </c>
      <c r="H743" s="6" t="s">
        <v>79</v>
      </c>
      <c r="I743" s="6" t="s">
        <v>40</v>
      </c>
      <c r="J743" s="6" t="b">
        <v>1</v>
      </c>
      <c r="K743" s="6" t="s">
        <v>27</v>
      </c>
      <c r="L743" s="6">
        <v>41.2</v>
      </c>
      <c r="M743" s="6">
        <v>159.65</v>
      </c>
      <c r="N743" s="8">
        <f t="shared" si="77"/>
        <v>76.679999999999993</v>
      </c>
      <c r="O743" s="8">
        <f t="shared" si="78"/>
        <v>2033.6800000000003</v>
      </c>
      <c r="P743" s="8">
        <f t="shared" si="79"/>
        <v>2033.6800000000003</v>
      </c>
      <c r="Q743" s="8">
        <f t="shared" si="80"/>
        <v>0</v>
      </c>
      <c r="R743" s="9">
        <f t="shared" si="81"/>
        <v>2033.6800000000003</v>
      </c>
      <c r="S743" s="10">
        <f t="shared" si="82"/>
        <v>169.47333333333336</v>
      </c>
      <c r="T743">
        <v>165</v>
      </c>
      <c r="U743">
        <f t="shared" si="83"/>
        <v>5.3499999999999943</v>
      </c>
    </row>
    <row r="744" spans="1:21" ht="14.25" customHeight="1" x14ac:dyDescent="0.35">
      <c r="A744" s="6" t="s">
        <v>3924</v>
      </c>
      <c r="B744" s="6" t="s">
        <v>3925</v>
      </c>
      <c r="C744" s="6" t="s">
        <v>3926</v>
      </c>
      <c r="D744" s="6" t="s">
        <v>65</v>
      </c>
      <c r="E744" s="7" t="s">
        <v>23</v>
      </c>
      <c r="F744" s="6">
        <v>85215</v>
      </c>
      <c r="G744" s="6" t="s">
        <v>66</v>
      </c>
      <c r="H744" s="6" t="s">
        <v>67</v>
      </c>
      <c r="I744" s="6" t="s">
        <v>26</v>
      </c>
      <c r="J744" s="6" t="b">
        <v>1</v>
      </c>
      <c r="K744" s="6" t="s">
        <v>27</v>
      </c>
      <c r="L744" s="6">
        <v>41.2</v>
      </c>
      <c r="M744" s="6">
        <v>159.65</v>
      </c>
      <c r="N744" s="8">
        <f t="shared" si="77"/>
        <v>76.679999999999993</v>
      </c>
      <c r="O744" s="8">
        <f t="shared" si="78"/>
        <v>2033.6800000000003</v>
      </c>
      <c r="P744" s="8">
        <f t="shared" si="79"/>
        <v>2033.6800000000003</v>
      </c>
      <c r="Q744" s="8">
        <f t="shared" si="80"/>
        <v>0</v>
      </c>
      <c r="R744" s="9">
        <f t="shared" si="81"/>
        <v>2033.6800000000003</v>
      </c>
      <c r="S744" s="10">
        <f t="shared" si="82"/>
        <v>169.47333333333336</v>
      </c>
      <c r="T744">
        <v>165</v>
      </c>
      <c r="U744">
        <f t="shared" si="83"/>
        <v>5.3499999999999943</v>
      </c>
    </row>
    <row r="745" spans="1:21" ht="14.25" customHeight="1" x14ac:dyDescent="0.35">
      <c r="A745" s="6" t="s">
        <v>3927</v>
      </c>
      <c r="B745" s="6" t="s">
        <v>3928</v>
      </c>
      <c r="C745" s="6" t="s">
        <v>3929</v>
      </c>
      <c r="D745" s="6" t="s">
        <v>54</v>
      </c>
      <c r="E745" s="7" t="s">
        <v>23</v>
      </c>
      <c r="F745" s="6">
        <v>85750</v>
      </c>
      <c r="G745" s="6" t="s">
        <v>55</v>
      </c>
      <c r="H745" s="6" t="s">
        <v>56</v>
      </c>
      <c r="I745" s="6" t="s">
        <v>110</v>
      </c>
      <c r="J745" s="6" t="b">
        <v>1</v>
      </c>
      <c r="K745" s="6" t="s">
        <v>27</v>
      </c>
      <c r="L745" s="6">
        <v>41.2</v>
      </c>
      <c r="M745" s="6">
        <v>159.65</v>
      </c>
      <c r="N745" s="8">
        <f t="shared" si="77"/>
        <v>76.679999999999993</v>
      </c>
      <c r="O745" s="8">
        <f t="shared" si="78"/>
        <v>2033.6800000000003</v>
      </c>
      <c r="P745" s="8">
        <f t="shared" si="79"/>
        <v>2033.6800000000003</v>
      </c>
      <c r="Q745" s="8">
        <f t="shared" si="80"/>
        <v>0</v>
      </c>
      <c r="R745" s="9">
        <f t="shared" si="81"/>
        <v>2033.6800000000003</v>
      </c>
      <c r="S745" s="10">
        <f t="shared" si="82"/>
        <v>169.47333333333336</v>
      </c>
      <c r="T745">
        <v>165</v>
      </c>
      <c r="U745">
        <f t="shared" si="83"/>
        <v>5.3499999999999943</v>
      </c>
    </row>
    <row r="746" spans="1:21" ht="14.25" customHeight="1" x14ac:dyDescent="0.35">
      <c r="A746" s="6" t="s">
        <v>3930</v>
      </c>
      <c r="B746" s="6" t="s">
        <v>3931</v>
      </c>
      <c r="C746" s="6" t="s">
        <v>3932</v>
      </c>
      <c r="D746" s="6" t="s">
        <v>54</v>
      </c>
      <c r="E746" s="7" t="s">
        <v>23</v>
      </c>
      <c r="F746" s="6">
        <v>85750</v>
      </c>
      <c r="G746" s="6" t="s">
        <v>55</v>
      </c>
      <c r="H746" s="6" t="s">
        <v>56</v>
      </c>
      <c r="I746" s="6" t="s">
        <v>110</v>
      </c>
      <c r="J746" s="6" t="b">
        <v>1</v>
      </c>
      <c r="K746" s="6" t="s">
        <v>27</v>
      </c>
      <c r="L746" s="6">
        <v>41.2</v>
      </c>
      <c r="M746" s="6">
        <v>159.65</v>
      </c>
      <c r="N746" s="8">
        <f t="shared" si="77"/>
        <v>76.679999999999993</v>
      </c>
      <c r="O746" s="8">
        <f t="shared" si="78"/>
        <v>2033.6800000000003</v>
      </c>
      <c r="P746" s="8">
        <f t="shared" si="79"/>
        <v>2033.6800000000003</v>
      </c>
      <c r="Q746" s="8">
        <f t="shared" si="80"/>
        <v>0</v>
      </c>
      <c r="R746" s="9">
        <f t="shared" si="81"/>
        <v>2033.6800000000003</v>
      </c>
      <c r="S746" s="10">
        <f t="shared" si="82"/>
        <v>169.47333333333336</v>
      </c>
      <c r="T746">
        <v>165</v>
      </c>
      <c r="U746">
        <f t="shared" si="83"/>
        <v>5.3499999999999943</v>
      </c>
    </row>
    <row r="747" spans="1:21" ht="14.25" customHeight="1" x14ac:dyDescent="0.35">
      <c r="A747" s="6" t="s">
        <v>3933</v>
      </c>
      <c r="B747" s="6" t="s">
        <v>3934</v>
      </c>
      <c r="C747" s="6" t="s">
        <v>3935</v>
      </c>
      <c r="D747" s="6" t="s">
        <v>44</v>
      </c>
      <c r="E747" s="7" t="s">
        <v>23</v>
      </c>
      <c r="F747" s="6">
        <v>85042</v>
      </c>
      <c r="G747" s="6" t="s">
        <v>213</v>
      </c>
      <c r="H747" s="6" t="s">
        <v>39</v>
      </c>
      <c r="I747" s="6" t="s">
        <v>26</v>
      </c>
      <c r="J747" s="6" t="b">
        <v>1</v>
      </c>
      <c r="K747" s="6" t="s">
        <v>27</v>
      </c>
      <c r="L747" s="6">
        <v>41.2</v>
      </c>
      <c r="M747" s="6">
        <v>159.65</v>
      </c>
      <c r="N747" s="8">
        <f t="shared" si="77"/>
        <v>76.679999999999993</v>
      </c>
      <c r="O747" s="8">
        <f t="shared" si="78"/>
        <v>2033.6800000000003</v>
      </c>
      <c r="P747" s="8">
        <f t="shared" si="79"/>
        <v>2033.6800000000003</v>
      </c>
      <c r="Q747" s="8">
        <f t="shared" si="80"/>
        <v>0</v>
      </c>
      <c r="R747" s="9">
        <f t="shared" si="81"/>
        <v>2033.6800000000003</v>
      </c>
      <c r="S747" s="10">
        <f t="shared" si="82"/>
        <v>169.47333333333336</v>
      </c>
      <c r="T747">
        <v>165</v>
      </c>
      <c r="U747">
        <f t="shared" si="83"/>
        <v>5.3499999999999943</v>
      </c>
    </row>
    <row r="748" spans="1:21" ht="14.25" customHeight="1" x14ac:dyDescent="0.35">
      <c r="A748" s="6" t="s">
        <v>3936</v>
      </c>
      <c r="B748" s="6" t="s">
        <v>3937</v>
      </c>
      <c r="C748" s="6" t="s">
        <v>3938</v>
      </c>
      <c r="D748" s="6" t="s">
        <v>44</v>
      </c>
      <c r="E748" s="7" t="s">
        <v>23</v>
      </c>
      <c r="F748" s="6">
        <v>85085</v>
      </c>
      <c r="G748" s="6" t="s">
        <v>32</v>
      </c>
      <c r="H748" s="6" t="s">
        <v>3939</v>
      </c>
      <c r="I748" s="6" t="s">
        <v>57</v>
      </c>
      <c r="J748" s="6" t="b">
        <v>1</v>
      </c>
      <c r="K748" s="6" t="s">
        <v>27</v>
      </c>
      <c r="L748" s="6">
        <v>41.2</v>
      </c>
      <c r="M748" s="6">
        <v>159.65</v>
      </c>
      <c r="N748" s="8">
        <f t="shared" si="77"/>
        <v>76.679999999999993</v>
      </c>
      <c r="O748" s="8">
        <f t="shared" si="78"/>
        <v>2033.6800000000003</v>
      </c>
      <c r="P748" s="8">
        <f t="shared" si="79"/>
        <v>2033.6800000000003</v>
      </c>
      <c r="Q748" s="8">
        <f t="shared" si="80"/>
        <v>0</v>
      </c>
      <c r="R748" s="9">
        <f t="shared" si="81"/>
        <v>2033.6800000000003</v>
      </c>
      <c r="S748" s="10">
        <f t="shared" si="82"/>
        <v>169.47333333333336</v>
      </c>
      <c r="T748">
        <v>165</v>
      </c>
      <c r="U748">
        <f t="shared" si="83"/>
        <v>5.3499999999999943</v>
      </c>
    </row>
    <row r="749" spans="1:21" ht="14.25" customHeight="1" x14ac:dyDescent="0.35">
      <c r="A749" s="6" t="s">
        <v>3940</v>
      </c>
      <c r="B749" s="6" t="s">
        <v>3941</v>
      </c>
      <c r="C749" s="6" t="s">
        <v>3942</v>
      </c>
      <c r="D749" s="6" t="s">
        <v>77</v>
      </c>
      <c r="E749" s="7" t="s">
        <v>23</v>
      </c>
      <c r="F749" s="6">
        <v>85304</v>
      </c>
      <c r="G749" s="6" t="s">
        <v>72</v>
      </c>
      <c r="H749" s="6" t="s">
        <v>93</v>
      </c>
      <c r="I749" s="6" t="s">
        <v>26</v>
      </c>
      <c r="J749" s="6" t="b">
        <v>1</v>
      </c>
      <c r="K749" s="6" t="s">
        <v>27</v>
      </c>
      <c r="L749" s="6">
        <v>41.2</v>
      </c>
      <c r="M749" s="6">
        <v>159.65</v>
      </c>
      <c r="N749" s="8">
        <f t="shared" si="77"/>
        <v>76.679999999999993</v>
      </c>
      <c r="O749" s="8">
        <f t="shared" si="78"/>
        <v>2033.6800000000003</v>
      </c>
      <c r="P749" s="8">
        <f t="shared" si="79"/>
        <v>2033.6800000000003</v>
      </c>
      <c r="Q749" s="8">
        <f t="shared" si="80"/>
        <v>0</v>
      </c>
      <c r="R749" s="9">
        <f t="shared" si="81"/>
        <v>2033.6800000000003</v>
      </c>
      <c r="S749" s="10">
        <f t="shared" si="82"/>
        <v>169.47333333333336</v>
      </c>
      <c r="T749">
        <v>165</v>
      </c>
      <c r="U749">
        <f t="shared" si="83"/>
        <v>5.3499999999999943</v>
      </c>
    </row>
    <row r="750" spans="1:21" ht="14.25" customHeight="1" x14ac:dyDescent="0.35">
      <c r="A750" s="6" t="s">
        <v>3943</v>
      </c>
      <c r="B750" s="6" t="s">
        <v>3944</v>
      </c>
      <c r="C750" s="6" t="s">
        <v>3945</v>
      </c>
      <c r="D750" s="6" t="s">
        <v>44</v>
      </c>
      <c r="E750" s="7" t="s">
        <v>23</v>
      </c>
      <c r="F750" s="6">
        <v>85029</v>
      </c>
      <c r="G750" s="6" t="s">
        <v>72</v>
      </c>
      <c r="H750" s="6" t="s">
        <v>93</v>
      </c>
      <c r="I750" s="6" t="s">
        <v>26</v>
      </c>
      <c r="J750" s="6" t="b">
        <v>1</v>
      </c>
      <c r="K750" s="6" t="s">
        <v>27</v>
      </c>
      <c r="L750" s="6">
        <v>41.2</v>
      </c>
      <c r="M750" s="6">
        <v>159.65</v>
      </c>
      <c r="N750" s="8">
        <f t="shared" si="77"/>
        <v>76.679999999999993</v>
      </c>
      <c r="O750" s="8">
        <f t="shared" si="78"/>
        <v>2033.6800000000003</v>
      </c>
      <c r="P750" s="8">
        <f t="shared" si="79"/>
        <v>2033.6800000000003</v>
      </c>
      <c r="Q750" s="8">
        <f t="shared" si="80"/>
        <v>0</v>
      </c>
      <c r="R750" s="9">
        <f t="shared" si="81"/>
        <v>2033.6800000000003</v>
      </c>
      <c r="S750" s="10">
        <f t="shared" si="82"/>
        <v>169.47333333333336</v>
      </c>
      <c r="T750">
        <v>165</v>
      </c>
      <c r="U750">
        <f t="shared" si="83"/>
        <v>5.3499999999999943</v>
      </c>
    </row>
    <row r="751" spans="1:21" ht="14.25" customHeight="1" x14ac:dyDescent="0.35">
      <c r="A751" s="6" t="s">
        <v>3946</v>
      </c>
      <c r="B751" s="6" t="s">
        <v>3947</v>
      </c>
      <c r="C751" s="6" t="s">
        <v>3948</v>
      </c>
      <c r="D751" s="6" t="s">
        <v>363</v>
      </c>
      <c r="E751" s="7" t="s">
        <v>23</v>
      </c>
      <c r="F751" s="6">
        <v>85282</v>
      </c>
      <c r="G751" s="6" t="s">
        <v>364</v>
      </c>
      <c r="H751" s="6" t="s">
        <v>365</v>
      </c>
      <c r="I751" s="6" t="s">
        <v>26</v>
      </c>
      <c r="J751" s="6" t="b">
        <v>1</v>
      </c>
      <c r="K751" s="6" t="s">
        <v>27</v>
      </c>
      <c r="L751" s="6">
        <v>41.2</v>
      </c>
      <c r="M751" s="6">
        <v>159.65</v>
      </c>
      <c r="N751" s="8">
        <f t="shared" si="77"/>
        <v>76.679999999999993</v>
      </c>
      <c r="O751" s="8">
        <f t="shared" si="78"/>
        <v>2033.6800000000003</v>
      </c>
      <c r="P751" s="8">
        <f t="shared" si="79"/>
        <v>2033.6800000000003</v>
      </c>
      <c r="Q751" s="8">
        <f t="shared" si="80"/>
        <v>0</v>
      </c>
      <c r="R751" s="9">
        <f t="shared" si="81"/>
        <v>2033.6800000000003</v>
      </c>
      <c r="S751" s="10">
        <f t="shared" si="82"/>
        <v>169.47333333333336</v>
      </c>
      <c r="T751">
        <v>165</v>
      </c>
      <c r="U751">
        <f t="shared" si="83"/>
        <v>5.3499999999999943</v>
      </c>
    </row>
    <row r="752" spans="1:21" ht="14.25" customHeight="1" x14ac:dyDescent="0.35">
      <c r="A752" s="6" t="s">
        <v>3949</v>
      </c>
      <c r="B752" s="6" t="s">
        <v>3950</v>
      </c>
      <c r="C752" s="6" t="s">
        <v>3951</v>
      </c>
      <c r="D752" s="6" t="s">
        <v>44</v>
      </c>
      <c r="E752" s="7" t="s">
        <v>23</v>
      </c>
      <c r="F752" s="6">
        <v>85020</v>
      </c>
      <c r="G752" s="6" t="s">
        <v>173</v>
      </c>
      <c r="H752" s="6" t="s">
        <v>202</v>
      </c>
      <c r="I752" s="6" t="s">
        <v>40</v>
      </c>
      <c r="J752" s="6" t="b">
        <v>1</v>
      </c>
      <c r="K752" s="6" t="s">
        <v>27</v>
      </c>
      <c r="L752" s="6">
        <v>41.2</v>
      </c>
      <c r="M752" s="6">
        <v>159.65</v>
      </c>
      <c r="N752" s="8">
        <f t="shared" si="77"/>
        <v>76.679999999999993</v>
      </c>
      <c r="O752" s="8">
        <f t="shared" si="78"/>
        <v>2033.6800000000003</v>
      </c>
      <c r="P752" s="8">
        <f t="shared" si="79"/>
        <v>2033.6800000000003</v>
      </c>
      <c r="Q752" s="8">
        <f t="shared" si="80"/>
        <v>0</v>
      </c>
      <c r="R752" s="9">
        <f t="shared" si="81"/>
        <v>2033.6800000000003</v>
      </c>
      <c r="S752" s="10">
        <f t="shared" si="82"/>
        <v>169.47333333333336</v>
      </c>
      <c r="T752">
        <v>165</v>
      </c>
      <c r="U752">
        <f t="shared" si="83"/>
        <v>5.3499999999999943</v>
      </c>
    </row>
    <row r="753" spans="1:21" ht="14.25" customHeight="1" x14ac:dyDescent="0.35">
      <c r="A753" s="6" t="s">
        <v>3952</v>
      </c>
      <c r="B753" s="6" t="s">
        <v>3953</v>
      </c>
      <c r="C753" s="6" t="s">
        <v>3954</v>
      </c>
      <c r="D753" s="6" t="s">
        <v>818</v>
      </c>
      <c r="E753" s="7" t="s">
        <v>23</v>
      </c>
      <c r="F753" s="6">
        <v>85340</v>
      </c>
      <c r="G753" s="6" t="s">
        <v>38</v>
      </c>
      <c r="H753" s="6" t="s">
        <v>378</v>
      </c>
      <c r="I753" s="6" t="s">
        <v>26</v>
      </c>
      <c r="J753" s="6" t="b">
        <v>1</v>
      </c>
      <c r="K753" s="6" t="s">
        <v>27</v>
      </c>
      <c r="L753" s="6">
        <v>41.2</v>
      </c>
      <c r="M753" s="6">
        <v>159.65</v>
      </c>
      <c r="N753" s="8">
        <f t="shared" si="77"/>
        <v>76.679999999999993</v>
      </c>
      <c r="O753" s="8">
        <f t="shared" si="78"/>
        <v>2033.6800000000003</v>
      </c>
      <c r="P753" s="8">
        <f t="shared" si="79"/>
        <v>2033.6800000000003</v>
      </c>
      <c r="Q753" s="8">
        <f t="shared" si="80"/>
        <v>0</v>
      </c>
      <c r="R753" s="9">
        <f t="shared" si="81"/>
        <v>2033.6800000000003</v>
      </c>
      <c r="S753" s="10">
        <f t="shared" si="82"/>
        <v>169.47333333333336</v>
      </c>
      <c r="T753">
        <v>165</v>
      </c>
      <c r="U753">
        <f t="shared" si="83"/>
        <v>5.3499999999999943</v>
      </c>
    </row>
    <row r="754" spans="1:21" ht="14.25" customHeight="1" x14ac:dyDescent="0.35">
      <c r="A754" s="6" t="s">
        <v>3955</v>
      </c>
      <c r="B754" s="6" t="s">
        <v>3956</v>
      </c>
      <c r="C754" s="6" t="s">
        <v>3957</v>
      </c>
      <c r="D754" s="6" t="s">
        <v>98</v>
      </c>
      <c r="E754" s="7" t="s">
        <v>23</v>
      </c>
      <c r="F754" s="6">
        <v>85122</v>
      </c>
      <c r="G754" s="6" t="s">
        <v>87</v>
      </c>
      <c r="H754" s="6" t="s">
        <v>88</v>
      </c>
      <c r="I754" s="6" t="s">
        <v>61</v>
      </c>
      <c r="J754" s="6" t="b">
        <v>1</v>
      </c>
      <c r="K754" s="6" t="s">
        <v>27</v>
      </c>
      <c r="L754" s="6">
        <v>41.2</v>
      </c>
      <c r="M754" s="6">
        <v>159.65</v>
      </c>
      <c r="N754" s="8">
        <f t="shared" si="77"/>
        <v>76.679999999999993</v>
      </c>
      <c r="O754" s="8">
        <f t="shared" si="78"/>
        <v>2033.6800000000003</v>
      </c>
      <c r="P754" s="8">
        <f t="shared" si="79"/>
        <v>2033.6800000000003</v>
      </c>
      <c r="Q754" s="8">
        <f t="shared" si="80"/>
        <v>0</v>
      </c>
      <c r="R754" s="9">
        <f t="shared" si="81"/>
        <v>2033.6800000000003</v>
      </c>
      <c r="S754" s="10">
        <f t="shared" si="82"/>
        <v>169.47333333333336</v>
      </c>
      <c r="T754">
        <v>165</v>
      </c>
      <c r="U754">
        <f t="shared" si="83"/>
        <v>5.3499999999999943</v>
      </c>
    </row>
    <row r="755" spans="1:21" ht="14.25" customHeight="1" x14ac:dyDescent="0.35">
      <c r="A755" s="6" t="s">
        <v>3958</v>
      </c>
      <c r="B755" s="6" t="s">
        <v>3959</v>
      </c>
      <c r="C755" s="6" t="s">
        <v>3960</v>
      </c>
      <c r="D755" s="6" t="s">
        <v>363</v>
      </c>
      <c r="E755" s="7" t="s">
        <v>23</v>
      </c>
      <c r="F755" s="6">
        <v>85283</v>
      </c>
      <c r="G755" s="6" t="s">
        <v>364</v>
      </c>
      <c r="H755" s="6" t="s">
        <v>365</v>
      </c>
      <c r="I755" s="6" t="s">
        <v>26</v>
      </c>
      <c r="J755" s="6" t="b">
        <v>1</v>
      </c>
      <c r="K755" s="6" t="s">
        <v>27</v>
      </c>
      <c r="L755" s="6">
        <v>41.2</v>
      </c>
      <c r="M755" s="6">
        <v>159.65</v>
      </c>
      <c r="N755" s="8">
        <f t="shared" si="77"/>
        <v>76.679999999999993</v>
      </c>
      <c r="O755" s="8">
        <f t="shared" si="78"/>
        <v>2033.6800000000003</v>
      </c>
      <c r="P755" s="8">
        <f t="shared" si="79"/>
        <v>2033.6800000000003</v>
      </c>
      <c r="Q755" s="8">
        <f t="shared" si="80"/>
        <v>0</v>
      </c>
      <c r="R755" s="9">
        <f t="shared" si="81"/>
        <v>2033.6800000000003</v>
      </c>
      <c r="S755" s="10">
        <f t="shared" si="82"/>
        <v>169.47333333333336</v>
      </c>
      <c r="T755">
        <v>165</v>
      </c>
      <c r="U755">
        <f t="shared" si="83"/>
        <v>5.3499999999999943</v>
      </c>
    </row>
    <row r="756" spans="1:21" ht="14.25" customHeight="1" x14ac:dyDescent="0.35">
      <c r="A756" s="6" t="s">
        <v>3961</v>
      </c>
      <c r="B756" s="6" t="s">
        <v>3962</v>
      </c>
      <c r="C756" s="6" t="s">
        <v>3963</v>
      </c>
      <c r="D756" s="6" t="s">
        <v>98</v>
      </c>
      <c r="E756" s="7" t="s">
        <v>23</v>
      </c>
      <c r="F756" s="6">
        <v>85122</v>
      </c>
      <c r="G756" s="6" t="s">
        <v>87</v>
      </c>
      <c r="H756" s="6" t="s">
        <v>99</v>
      </c>
      <c r="I756" s="6" t="s">
        <v>40</v>
      </c>
      <c r="J756" s="6" t="b">
        <v>1</v>
      </c>
      <c r="K756" s="6" t="s">
        <v>27</v>
      </c>
      <c r="L756" s="6">
        <v>41.2</v>
      </c>
      <c r="M756" s="6">
        <v>159.65</v>
      </c>
      <c r="N756" s="8">
        <f t="shared" si="77"/>
        <v>76.679999999999993</v>
      </c>
      <c r="O756" s="8">
        <f t="shared" si="78"/>
        <v>2033.6800000000003</v>
      </c>
      <c r="P756" s="8">
        <f t="shared" si="79"/>
        <v>2033.6800000000003</v>
      </c>
      <c r="Q756" s="8">
        <f t="shared" si="80"/>
        <v>0</v>
      </c>
      <c r="R756" s="9">
        <f t="shared" si="81"/>
        <v>2033.6800000000003</v>
      </c>
      <c r="S756" s="10">
        <f t="shared" si="82"/>
        <v>169.47333333333336</v>
      </c>
      <c r="T756">
        <v>165</v>
      </c>
      <c r="U756">
        <f t="shared" si="83"/>
        <v>5.3499999999999943</v>
      </c>
    </row>
    <row r="757" spans="1:21" ht="14.25" customHeight="1" x14ac:dyDescent="0.35">
      <c r="A757" s="6" t="s">
        <v>3964</v>
      </c>
      <c r="B757" s="6" t="s">
        <v>3965</v>
      </c>
      <c r="C757" s="6" t="s">
        <v>3966</v>
      </c>
      <c r="D757" s="6" t="s">
        <v>44</v>
      </c>
      <c r="E757" s="7" t="s">
        <v>23</v>
      </c>
      <c r="F757" s="6">
        <v>85014</v>
      </c>
      <c r="G757" s="6" t="s">
        <v>213</v>
      </c>
      <c r="H757" s="6" t="s">
        <v>202</v>
      </c>
      <c r="I757" s="6" t="s">
        <v>26</v>
      </c>
      <c r="J757" s="6" t="b">
        <v>1</v>
      </c>
      <c r="K757" s="6" t="s">
        <v>27</v>
      </c>
      <c r="L757" s="6">
        <v>41.2</v>
      </c>
      <c r="M757" s="6">
        <v>159.65</v>
      </c>
      <c r="N757" s="8">
        <f t="shared" si="77"/>
        <v>76.679999999999993</v>
      </c>
      <c r="O757" s="8">
        <f t="shared" si="78"/>
        <v>2033.6800000000003</v>
      </c>
      <c r="P757" s="8">
        <f t="shared" si="79"/>
        <v>2033.6800000000003</v>
      </c>
      <c r="Q757" s="8">
        <f t="shared" si="80"/>
        <v>0</v>
      </c>
      <c r="R757" s="9">
        <f t="shared" si="81"/>
        <v>2033.6800000000003</v>
      </c>
      <c r="S757" s="10">
        <f t="shared" si="82"/>
        <v>169.47333333333336</v>
      </c>
      <c r="T757">
        <v>165</v>
      </c>
      <c r="U757">
        <f t="shared" si="83"/>
        <v>5.3499999999999943</v>
      </c>
    </row>
    <row r="758" spans="1:21" ht="14.25" customHeight="1" x14ac:dyDescent="0.35">
      <c r="A758" s="6" t="s">
        <v>3967</v>
      </c>
      <c r="B758" s="6" t="s">
        <v>3968</v>
      </c>
      <c r="C758" s="6" t="s">
        <v>3969</v>
      </c>
      <c r="D758" s="6" t="s">
        <v>31</v>
      </c>
      <c r="E758" s="7" t="s">
        <v>23</v>
      </c>
      <c r="F758" s="6">
        <v>85255</v>
      </c>
      <c r="G758" s="6" t="s">
        <v>45</v>
      </c>
      <c r="H758" s="6" t="s">
        <v>169</v>
      </c>
      <c r="I758" s="6" t="s">
        <v>61</v>
      </c>
      <c r="J758" s="6" t="b">
        <v>1</v>
      </c>
      <c r="K758" s="6" t="s">
        <v>27</v>
      </c>
      <c r="L758" s="6">
        <v>41.2</v>
      </c>
      <c r="M758" s="6">
        <v>159.65</v>
      </c>
      <c r="N758" s="8">
        <f t="shared" si="77"/>
        <v>76.679999999999993</v>
      </c>
      <c r="O758" s="8">
        <f t="shared" si="78"/>
        <v>2033.6800000000003</v>
      </c>
      <c r="P758" s="8">
        <f t="shared" si="79"/>
        <v>2033.6800000000003</v>
      </c>
      <c r="Q758" s="8">
        <f t="shared" si="80"/>
        <v>0</v>
      </c>
      <c r="R758" s="9">
        <f t="shared" si="81"/>
        <v>2033.6800000000003</v>
      </c>
      <c r="S758" s="10">
        <f t="shared" si="82"/>
        <v>169.47333333333336</v>
      </c>
      <c r="T758">
        <v>165</v>
      </c>
      <c r="U758">
        <f t="shared" si="83"/>
        <v>5.3499999999999943</v>
      </c>
    </row>
    <row r="759" spans="1:21" ht="14.25" customHeight="1" x14ac:dyDescent="0.35">
      <c r="A759" s="6" t="s">
        <v>3970</v>
      </c>
      <c r="B759" s="6" t="s">
        <v>3971</v>
      </c>
      <c r="C759" s="6" t="s">
        <v>3972</v>
      </c>
      <c r="D759" s="6" t="s">
        <v>892</v>
      </c>
      <c r="E759" s="7" t="s">
        <v>23</v>
      </c>
      <c r="F759" s="6">
        <v>85142</v>
      </c>
      <c r="G759" s="6" t="s">
        <v>125</v>
      </c>
      <c r="H759" s="6" t="s">
        <v>225</v>
      </c>
      <c r="I759" s="6" t="s">
        <v>26</v>
      </c>
      <c r="J759" s="6" t="b">
        <v>1</v>
      </c>
      <c r="K759" s="6" t="s">
        <v>27</v>
      </c>
      <c r="L759" s="6">
        <v>41.2</v>
      </c>
      <c r="M759" s="6">
        <v>159.65</v>
      </c>
      <c r="N759" s="8">
        <f t="shared" si="77"/>
        <v>76.679999999999993</v>
      </c>
      <c r="O759" s="8">
        <f t="shared" si="78"/>
        <v>2033.6800000000003</v>
      </c>
      <c r="P759" s="8">
        <f t="shared" si="79"/>
        <v>2033.6800000000003</v>
      </c>
      <c r="Q759" s="8">
        <f t="shared" si="80"/>
        <v>0</v>
      </c>
      <c r="R759" s="9">
        <f t="shared" si="81"/>
        <v>2033.6800000000003</v>
      </c>
      <c r="S759" s="10">
        <f t="shared" si="82"/>
        <v>169.47333333333336</v>
      </c>
      <c r="T759">
        <v>165</v>
      </c>
      <c r="U759">
        <f t="shared" si="83"/>
        <v>5.3499999999999943</v>
      </c>
    </row>
    <row r="760" spans="1:21" ht="14.25" customHeight="1" x14ac:dyDescent="0.35">
      <c r="A760" s="6" t="s">
        <v>3973</v>
      </c>
      <c r="B760" s="6" t="s">
        <v>3974</v>
      </c>
      <c r="C760" s="6" t="s">
        <v>3975</v>
      </c>
      <c r="D760" s="6" t="s">
        <v>1653</v>
      </c>
      <c r="E760" s="7" t="s">
        <v>23</v>
      </c>
      <c r="F760" s="6">
        <v>85132</v>
      </c>
      <c r="G760" s="6" t="s">
        <v>87</v>
      </c>
      <c r="H760" s="6" t="s">
        <v>109</v>
      </c>
      <c r="I760" s="6" t="s">
        <v>57</v>
      </c>
      <c r="J760" s="6" t="b">
        <v>1</v>
      </c>
      <c r="K760" s="6" t="s">
        <v>27</v>
      </c>
      <c r="L760" s="6">
        <v>41.2</v>
      </c>
      <c r="M760" s="6">
        <v>159.65</v>
      </c>
      <c r="N760" s="8">
        <f t="shared" si="77"/>
        <v>76.679999999999993</v>
      </c>
      <c r="O760" s="8">
        <f t="shared" si="78"/>
        <v>2033.6800000000003</v>
      </c>
      <c r="P760" s="8">
        <f t="shared" si="79"/>
        <v>2033.6800000000003</v>
      </c>
      <c r="Q760" s="8">
        <f t="shared" si="80"/>
        <v>0</v>
      </c>
      <c r="R760" s="9">
        <f t="shared" si="81"/>
        <v>2033.6800000000003</v>
      </c>
      <c r="S760" s="10">
        <f t="shared" si="82"/>
        <v>169.47333333333336</v>
      </c>
      <c r="T760">
        <v>165</v>
      </c>
      <c r="U760">
        <f t="shared" si="83"/>
        <v>5.3499999999999943</v>
      </c>
    </row>
    <row r="761" spans="1:21" ht="14.25" customHeight="1" x14ac:dyDescent="0.35">
      <c r="A761" s="6" t="s">
        <v>3976</v>
      </c>
      <c r="B761" s="6" t="s">
        <v>3977</v>
      </c>
      <c r="C761" s="6" t="s">
        <v>3978</v>
      </c>
      <c r="D761" s="6" t="s">
        <v>1649</v>
      </c>
      <c r="E761" s="7" t="s">
        <v>23</v>
      </c>
      <c r="F761" s="6">
        <v>85658</v>
      </c>
      <c r="G761" s="6" t="s">
        <v>55</v>
      </c>
      <c r="H761" s="6" t="s">
        <v>56</v>
      </c>
      <c r="I761" s="6" t="s">
        <v>26</v>
      </c>
      <c r="J761" s="6" t="b">
        <v>1</v>
      </c>
      <c r="K761" s="6" t="s">
        <v>27</v>
      </c>
      <c r="L761" s="6">
        <v>41.2</v>
      </c>
      <c r="M761" s="6">
        <v>159.65</v>
      </c>
      <c r="N761" s="8">
        <f t="shared" si="77"/>
        <v>76.679999999999993</v>
      </c>
      <c r="O761" s="8">
        <f t="shared" si="78"/>
        <v>2033.6800000000003</v>
      </c>
      <c r="P761" s="8">
        <f t="shared" si="79"/>
        <v>2033.6800000000003</v>
      </c>
      <c r="Q761" s="8">
        <f t="shared" si="80"/>
        <v>0</v>
      </c>
      <c r="R761" s="9">
        <f t="shared" si="81"/>
        <v>2033.6800000000003</v>
      </c>
      <c r="S761" s="10">
        <f t="shared" si="82"/>
        <v>169.47333333333336</v>
      </c>
      <c r="T761">
        <v>165</v>
      </c>
      <c r="U761">
        <f t="shared" si="83"/>
        <v>5.3499999999999943</v>
      </c>
    </row>
    <row r="762" spans="1:21" ht="14.25" customHeight="1" x14ac:dyDescent="0.35">
      <c r="A762" s="6" t="s">
        <v>3979</v>
      </c>
      <c r="B762" s="6" t="s">
        <v>3980</v>
      </c>
      <c r="C762" s="6" t="s">
        <v>3981</v>
      </c>
      <c r="D762" s="6" t="s">
        <v>44</v>
      </c>
      <c r="E762" s="7" t="s">
        <v>23</v>
      </c>
      <c r="F762" s="6">
        <v>85018</v>
      </c>
      <c r="G762" s="6" t="s">
        <v>49</v>
      </c>
      <c r="H762" s="6" t="s">
        <v>202</v>
      </c>
      <c r="I762" s="6" t="s">
        <v>26</v>
      </c>
      <c r="J762" s="6" t="b">
        <v>1</v>
      </c>
      <c r="K762" s="6" t="s">
        <v>27</v>
      </c>
      <c r="L762" s="6">
        <v>41.2</v>
      </c>
      <c r="M762" s="6">
        <v>159.65</v>
      </c>
      <c r="N762" s="8">
        <f t="shared" si="77"/>
        <v>76.679999999999993</v>
      </c>
      <c r="O762" s="8">
        <f t="shared" si="78"/>
        <v>2033.6800000000003</v>
      </c>
      <c r="P762" s="8">
        <f t="shared" si="79"/>
        <v>2033.6800000000003</v>
      </c>
      <c r="Q762" s="8">
        <f t="shared" si="80"/>
        <v>0</v>
      </c>
      <c r="R762" s="9">
        <f t="shared" si="81"/>
        <v>2033.6800000000003</v>
      </c>
      <c r="S762" s="10">
        <f t="shared" si="82"/>
        <v>169.47333333333336</v>
      </c>
      <c r="T762">
        <v>165</v>
      </c>
      <c r="U762">
        <f t="shared" si="83"/>
        <v>5.3499999999999943</v>
      </c>
    </row>
    <row r="763" spans="1:21" ht="14.25" customHeight="1" x14ac:dyDescent="0.35">
      <c r="A763" s="6" t="s">
        <v>3982</v>
      </c>
      <c r="B763" s="6" t="s">
        <v>3983</v>
      </c>
      <c r="C763" s="6" t="s">
        <v>3984</v>
      </c>
      <c r="D763" s="6" t="s">
        <v>117</v>
      </c>
      <c r="E763" s="7" t="s">
        <v>23</v>
      </c>
      <c r="F763" s="6">
        <v>85138</v>
      </c>
      <c r="G763" s="6" t="s">
        <v>87</v>
      </c>
      <c r="H763" s="6" t="s">
        <v>88</v>
      </c>
      <c r="I763" s="6" t="s">
        <v>26</v>
      </c>
      <c r="J763" s="6" t="b">
        <v>1</v>
      </c>
      <c r="K763" s="6" t="s">
        <v>27</v>
      </c>
      <c r="L763" s="6">
        <v>41.2</v>
      </c>
      <c r="M763" s="6">
        <v>159.65</v>
      </c>
      <c r="N763" s="8">
        <f t="shared" si="77"/>
        <v>76.679999999999993</v>
      </c>
      <c r="O763" s="8">
        <f t="shared" si="78"/>
        <v>2033.6800000000003</v>
      </c>
      <c r="P763" s="8">
        <f t="shared" si="79"/>
        <v>2033.6800000000003</v>
      </c>
      <c r="Q763" s="8">
        <f t="shared" si="80"/>
        <v>0</v>
      </c>
      <c r="R763" s="9">
        <f t="shared" si="81"/>
        <v>2033.6800000000003</v>
      </c>
      <c r="S763" s="10">
        <f t="shared" si="82"/>
        <v>169.47333333333336</v>
      </c>
      <c r="T763">
        <v>165</v>
      </c>
      <c r="U763">
        <f t="shared" si="83"/>
        <v>5.3499999999999943</v>
      </c>
    </row>
    <row r="764" spans="1:21" ht="14.25" customHeight="1" x14ac:dyDescent="0.35">
      <c r="A764" s="6" t="s">
        <v>3985</v>
      </c>
      <c r="B764" s="6" t="s">
        <v>3986</v>
      </c>
      <c r="C764" s="6" t="s">
        <v>3987</v>
      </c>
      <c r="D764" s="6" t="s">
        <v>54</v>
      </c>
      <c r="E764" s="7" t="s">
        <v>23</v>
      </c>
      <c r="F764" s="6">
        <v>85737</v>
      </c>
      <c r="G764" s="6" t="s">
        <v>55</v>
      </c>
      <c r="H764" s="6" t="s">
        <v>56</v>
      </c>
      <c r="I764" s="6" t="s">
        <v>26</v>
      </c>
      <c r="J764" s="6" t="b">
        <v>1</v>
      </c>
      <c r="K764" s="6" t="s">
        <v>27</v>
      </c>
      <c r="L764" s="6">
        <v>41.2</v>
      </c>
      <c r="M764" s="6">
        <v>159.65</v>
      </c>
      <c r="N764" s="8">
        <f t="shared" si="77"/>
        <v>76.679999999999993</v>
      </c>
      <c r="O764" s="8">
        <f t="shared" si="78"/>
        <v>2033.6800000000003</v>
      </c>
      <c r="P764" s="8">
        <f t="shared" si="79"/>
        <v>2033.6800000000003</v>
      </c>
      <c r="Q764" s="8">
        <f t="shared" si="80"/>
        <v>0</v>
      </c>
      <c r="R764" s="9">
        <f t="shared" si="81"/>
        <v>2033.6800000000003</v>
      </c>
      <c r="S764" s="10">
        <f t="shared" si="82"/>
        <v>169.47333333333336</v>
      </c>
      <c r="T764">
        <v>165</v>
      </c>
      <c r="U764">
        <f t="shared" si="83"/>
        <v>5.3499999999999943</v>
      </c>
    </row>
    <row r="765" spans="1:21" ht="14.25" customHeight="1" x14ac:dyDescent="0.35">
      <c r="A765" s="6" t="s">
        <v>3988</v>
      </c>
      <c r="B765" s="6" t="s">
        <v>3989</v>
      </c>
      <c r="C765" s="6" t="s">
        <v>3990</v>
      </c>
      <c r="D765" s="6" t="s">
        <v>37</v>
      </c>
      <c r="E765" s="7" t="s">
        <v>23</v>
      </c>
      <c r="F765" s="6">
        <v>85323</v>
      </c>
      <c r="G765" s="6" t="s">
        <v>38</v>
      </c>
      <c r="H765" s="6" t="s">
        <v>378</v>
      </c>
      <c r="I765" s="6" t="s">
        <v>61</v>
      </c>
      <c r="J765" s="6" t="b">
        <v>1</v>
      </c>
      <c r="K765" s="6" t="s">
        <v>27</v>
      </c>
      <c r="L765" s="6">
        <v>41.2</v>
      </c>
      <c r="M765" s="6">
        <v>159.65</v>
      </c>
      <c r="N765" s="8">
        <f t="shared" si="77"/>
        <v>76.679999999999993</v>
      </c>
      <c r="O765" s="8">
        <f t="shared" si="78"/>
        <v>2033.6800000000003</v>
      </c>
      <c r="P765" s="8">
        <f t="shared" si="79"/>
        <v>2033.6800000000003</v>
      </c>
      <c r="Q765" s="8">
        <f t="shared" si="80"/>
        <v>0</v>
      </c>
      <c r="R765" s="9">
        <f t="shared" si="81"/>
        <v>2033.6800000000003</v>
      </c>
      <c r="S765" s="10">
        <f t="shared" si="82"/>
        <v>169.47333333333336</v>
      </c>
      <c r="T765">
        <v>165</v>
      </c>
      <c r="U765">
        <f t="shared" si="83"/>
        <v>5.3499999999999943</v>
      </c>
    </row>
    <row r="766" spans="1:21" ht="14.25" customHeight="1" x14ac:dyDescent="0.35">
      <c r="A766" s="6" t="s">
        <v>3991</v>
      </c>
      <c r="B766" s="6" t="s">
        <v>3992</v>
      </c>
      <c r="C766" s="6" t="s">
        <v>3993</v>
      </c>
      <c r="D766" s="6" t="s">
        <v>54</v>
      </c>
      <c r="E766" s="7" t="s">
        <v>23</v>
      </c>
      <c r="F766" s="6">
        <v>85750</v>
      </c>
      <c r="G766" s="6" t="s">
        <v>55</v>
      </c>
      <c r="H766" s="6" t="s">
        <v>56</v>
      </c>
      <c r="I766" s="6" t="s">
        <v>110</v>
      </c>
      <c r="J766" s="6" t="b">
        <v>1</v>
      </c>
      <c r="K766" s="6" t="s">
        <v>27</v>
      </c>
      <c r="L766" s="6">
        <v>41.2</v>
      </c>
      <c r="M766" s="6">
        <v>159.65</v>
      </c>
      <c r="N766" s="8">
        <f t="shared" si="77"/>
        <v>76.679999999999993</v>
      </c>
      <c r="O766" s="8">
        <f t="shared" si="78"/>
        <v>2033.6800000000003</v>
      </c>
      <c r="P766" s="8">
        <f t="shared" si="79"/>
        <v>2033.6800000000003</v>
      </c>
      <c r="Q766" s="8">
        <f t="shared" si="80"/>
        <v>0</v>
      </c>
      <c r="R766" s="9">
        <f t="shared" si="81"/>
        <v>2033.6800000000003</v>
      </c>
      <c r="S766" s="10">
        <f t="shared" si="82"/>
        <v>169.47333333333336</v>
      </c>
      <c r="T766">
        <v>165</v>
      </c>
      <c r="U766">
        <f t="shared" si="83"/>
        <v>5.3499999999999943</v>
      </c>
    </row>
    <row r="767" spans="1:21" ht="14.25" customHeight="1" x14ac:dyDescent="0.35">
      <c r="A767" s="6" t="s">
        <v>3994</v>
      </c>
      <c r="B767" s="6" t="s">
        <v>3995</v>
      </c>
      <c r="C767" s="6" t="s">
        <v>3996</v>
      </c>
      <c r="D767" s="6" t="s">
        <v>98</v>
      </c>
      <c r="E767" s="7" t="s">
        <v>23</v>
      </c>
      <c r="F767" s="6">
        <v>85193</v>
      </c>
      <c r="G767" s="6" t="s">
        <v>87</v>
      </c>
      <c r="H767" s="6" t="s">
        <v>99</v>
      </c>
      <c r="I767" s="6" t="s">
        <v>26</v>
      </c>
      <c r="J767" s="6" t="b">
        <v>1</v>
      </c>
      <c r="K767" s="6" t="s">
        <v>27</v>
      </c>
      <c r="L767" s="6">
        <v>41.2</v>
      </c>
      <c r="M767" s="6">
        <v>159.65</v>
      </c>
      <c r="N767" s="8">
        <f t="shared" si="77"/>
        <v>76.679999999999993</v>
      </c>
      <c r="O767" s="8">
        <f t="shared" si="78"/>
        <v>2033.6800000000003</v>
      </c>
      <c r="P767" s="8">
        <f t="shared" si="79"/>
        <v>2033.6800000000003</v>
      </c>
      <c r="Q767" s="8">
        <f t="shared" si="80"/>
        <v>0</v>
      </c>
      <c r="R767" s="9">
        <f t="shared" si="81"/>
        <v>2033.6800000000003</v>
      </c>
      <c r="S767" s="10">
        <f t="shared" si="82"/>
        <v>169.47333333333336</v>
      </c>
      <c r="T767">
        <v>165</v>
      </c>
      <c r="U767">
        <f t="shared" si="83"/>
        <v>5.3499999999999943</v>
      </c>
    </row>
    <row r="768" spans="1:21" ht="14.25" customHeight="1" x14ac:dyDescent="0.35">
      <c r="A768" s="6" t="s">
        <v>3997</v>
      </c>
      <c r="B768" s="6" t="s">
        <v>3998</v>
      </c>
      <c r="C768" s="6" t="s">
        <v>3999</v>
      </c>
      <c r="D768" s="6" t="s">
        <v>71</v>
      </c>
      <c r="E768" s="7" t="s">
        <v>23</v>
      </c>
      <c r="F768" s="6">
        <v>85383</v>
      </c>
      <c r="G768" s="6" t="s">
        <v>78</v>
      </c>
      <c r="H768" s="6" t="s">
        <v>73</v>
      </c>
      <c r="I768" s="6" t="s">
        <v>26</v>
      </c>
      <c r="J768" s="6" t="b">
        <v>1</v>
      </c>
      <c r="K768" s="6" t="s">
        <v>27</v>
      </c>
      <c r="L768" s="6">
        <v>41.2</v>
      </c>
      <c r="M768" s="6">
        <v>159.65</v>
      </c>
      <c r="N768" s="8">
        <f t="shared" si="77"/>
        <v>76.679999999999993</v>
      </c>
      <c r="O768" s="8">
        <f t="shared" si="78"/>
        <v>2033.6800000000003</v>
      </c>
      <c r="P768" s="8">
        <f t="shared" si="79"/>
        <v>2033.6800000000003</v>
      </c>
      <c r="Q768" s="8">
        <f t="shared" si="80"/>
        <v>0</v>
      </c>
      <c r="R768" s="9">
        <f t="shared" si="81"/>
        <v>2033.6800000000003</v>
      </c>
      <c r="S768" s="10">
        <f t="shared" si="82"/>
        <v>169.47333333333336</v>
      </c>
      <c r="T768">
        <v>165</v>
      </c>
      <c r="U768">
        <f t="shared" si="83"/>
        <v>5.3499999999999943</v>
      </c>
    </row>
    <row r="769" spans="1:21" ht="14.25" customHeight="1" x14ac:dyDescent="0.35">
      <c r="A769" s="6" t="s">
        <v>4000</v>
      </c>
      <c r="B769" s="6" t="s">
        <v>4001</v>
      </c>
      <c r="C769" s="6" t="s">
        <v>4002</v>
      </c>
      <c r="D769" s="6" t="s">
        <v>98</v>
      </c>
      <c r="E769" s="7" t="s">
        <v>23</v>
      </c>
      <c r="F769" s="6">
        <v>85122</v>
      </c>
      <c r="G769" s="6" t="s">
        <v>87</v>
      </c>
      <c r="H769" s="6" t="s">
        <v>109</v>
      </c>
      <c r="I769" s="6" t="s">
        <v>110</v>
      </c>
      <c r="J769" s="6" t="b">
        <v>1</v>
      </c>
      <c r="K769" s="6" t="s">
        <v>27</v>
      </c>
      <c r="L769" s="6">
        <v>41.2</v>
      </c>
      <c r="M769" s="6">
        <v>159.65</v>
      </c>
      <c r="N769" s="8">
        <f t="shared" si="77"/>
        <v>76.679999999999993</v>
      </c>
      <c r="O769" s="8">
        <f t="shared" si="78"/>
        <v>2033.6800000000003</v>
      </c>
      <c r="P769" s="8">
        <f t="shared" si="79"/>
        <v>2033.6800000000003</v>
      </c>
      <c r="Q769" s="8">
        <f t="shared" si="80"/>
        <v>0</v>
      </c>
      <c r="R769" s="9">
        <f t="shared" si="81"/>
        <v>2033.6800000000003</v>
      </c>
      <c r="S769" s="10">
        <f t="shared" si="82"/>
        <v>169.47333333333336</v>
      </c>
      <c r="T769">
        <v>165</v>
      </c>
      <c r="U769">
        <f t="shared" si="83"/>
        <v>5.3499999999999943</v>
      </c>
    </row>
    <row r="770" spans="1:21" ht="14.25" customHeight="1" x14ac:dyDescent="0.35">
      <c r="A770" s="6" t="s">
        <v>4003</v>
      </c>
      <c r="B770" s="6" t="s">
        <v>4004</v>
      </c>
      <c r="C770" s="6" t="s">
        <v>4005</v>
      </c>
      <c r="D770" s="6" t="s">
        <v>98</v>
      </c>
      <c r="E770" s="7" t="s">
        <v>23</v>
      </c>
      <c r="F770" s="6">
        <v>85122</v>
      </c>
      <c r="G770" s="6" t="s">
        <v>87</v>
      </c>
      <c r="H770" s="6" t="s">
        <v>109</v>
      </c>
      <c r="I770" s="6" t="s">
        <v>26</v>
      </c>
      <c r="J770" s="6" t="b">
        <v>1</v>
      </c>
      <c r="K770" s="6" t="s">
        <v>27</v>
      </c>
      <c r="L770" s="6">
        <v>41.2</v>
      </c>
      <c r="M770" s="6">
        <v>159.65</v>
      </c>
      <c r="N770" s="8">
        <f t="shared" ref="N770:N833" si="84">IF(J770=TRUE, 6.39*12, "0")</f>
        <v>76.679999999999993</v>
      </c>
      <c r="O770" s="8">
        <f t="shared" ref="O770:O833" si="85">L770+(M770*12)+N770</f>
        <v>2033.6800000000003</v>
      </c>
      <c r="P770" s="8">
        <f t="shared" ref="P770:P833" si="86">IF(OR(K770="Check",K770="ACH"), O770*0.97, O770)</f>
        <v>2033.6800000000003</v>
      </c>
      <c r="Q770" s="8">
        <f t="shared" ref="Q770:Q833" si="87">P770-O770</f>
        <v>0</v>
      </c>
      <c r="R770" s="9">
        <f t="shared" ref="R770:R833" si="88">O770-Q770</f>
        <v>2033.6800000000003</v>
      </c>
      <c r="S770" s="10">
        <f t="shared" ref="S770:S833" si="89">R770/12</f>
        <v>169.47333333333336</v>
      </c>
      <c r="T770">
        <v>165</v>
      </c>
      <c r="U770">
        <f t="shared" si="83"/>
        <v>5.3499999999999943</v>
      </c>
    </row>
    <row r="771" spans="1:21" ht="14.25" customHeight="1" x14ac:dyDescent="0.35">
      <c r="A771" s="6" t="s">
        <v>4006</v>
      </c>
      <c r="B771" s="6" t="s">
        <v>4007</v>
      </c>
      <c r="C771" s="6" t="s">
        <v>4008</v>
      </c>
      <c r="D771" s="6" t="s">
        <v>77</v>
      </c>
      <c r="E771" s="7" t="s">
        <v>23</v>
      </c>
      <c r="F771" s="6">
        <v>85308</v>
      </c>
      <c r="G771" s="6" t="s">
        <v>78</v>
      </c>
      <c r="H771" s="6" t="s">
        <v>79</v>
      </c>
      <c r="I771" s="6" t="s">
        <v>26</v>
      </c>
      <c r="J771" s="6" t="b">
        <v>1</v>
      </c>
      <c r="K771" s="6" t="s">
        <v>27</v>
      </c>
      <c r="L771" s="6">
        <v>41.2</v>
      </c>
      <c r="M771" s="6">
        <v>159.65</v>
      </c>
      <c r="N771" s="8">
        <f t="shared" si="84"/>
        <v>76.679999999999993</v>
      </c>
      <c r="O771" s="8">
        <f t="shared" si="85"/>
        <v>2033.6800000000003</v>
      </c>
      <c r="P771" s="8">
        <f t="shared" si="86"/>
        <v>2033.6800000000003</v>
      </c>
      <c r="Q771" s="8">
        <f t="shared" si="87"/>
        <v>0</v>
      </c>
      <c r="R771" s="9">
        <f t="shared" si="88"/>
        <v>2033.6800000000003</v>
      </c>
      <c r="S771" s="10">
        <f t="shared" si="89"/>
        <v>169.47333333333336</v>
      </c>
      <c r="T771">
        <v>165</v>
      </c>
      <c r="U771">
        <f t="shared" si="83"/>
        <v>5.3499999999999943</v>
      </c>
    </row>
    <row r="772" spans="1:21" ht="14.25" customHeight="1" x14ac:dyDescent="0.35">
      <c r="A772" s="6" t="s">
        <v>4009</v>
      </c>
      <c r="B772" s="6" t="s">
        <v>4010</v>
      </c>
      <c r="C772" s="6" t="s">
        <v>4011</v>
      </c>
      <c r="D772" s="6" t="s">
        <v>267</v>
      </c>
      <c r="E772" s="7" t="s">
        <v>23</v>
      </c>
      <c r="F772" s="6">
        <v>85379</v>
      </c>
      <c r="G772" s="6" t="s">
        <v>78</v>
      </c>
      <c r="H772" s="6" t="s">
        <v>281</v>
      </c>
      <c r="I772" s="6" t="s">
        <v>26</v>
      </c>
      <c r="J772" s="6" t="b">
        <v>1</v>
      </c>
      <c r="K772" s="6" t="s">
        <v>27</v>
      </c>
      <c r="L772" s="6">
        <v>41.2</v>
      </c>
      <c r="M772" s="6">
        <v>159.65</v>
      </c>
      <c r="N772" s="8">
        <f t="shared" si="84"/>
        <v>76.679999999999993</v>
      </c>
      <c r="O772" s="8">
        <f t="shared" si="85"/>
        <v>2033.6800000000003</v>
      </c>
      <c r="P772" s="8">
        <f t="shared" si="86"/>
        <v>2033.6800000000003</v>
      </c>
      <c r="Q772" s="8">
        <f t="shared" si="87"/>
        <v>0</v>
      </c>
      <c r="R772" s="9">
        <f t="shared" si="88"/>
        <v>2033.6800000000003</v>
      </c>
      <c r="S772" s="10">
        <f t="shared" si="89"/>
        <v>169.47333333333336</v>
      </c>
      <c r="T772">
        <v>165</v>
      </c>
      <c r="U772">
        <f t="shared" ref="U772:U835" si="90">SUM(T772-M772)</f>
        <v>5.3499999999999943</v>
      </c>
    </row>
    <row r="773" spans="1:21" ht="14.25" customHeight="1" x14ac:dyDescent="0.35">
      <c r="A773" s="6" t="s">
        <v>4012</v>
      </c>
      <c r="B773" s="6" t="s">
        <v>4013</v>
      </c>
      <c r="C773" s="6" t="s">
        <v>4014</v>
      </c>
      <c r="D773" s="6" t="s">
        <v>54</v>
      </c>
      <c r="E773" s="7" t="s">
        <v>23</v>
      </c>
      <c r="F773" s="6">
        <v>85750</v>
      </c>
      <c r="G773" s="6" t="s">
        <v>55</v>
      </c>
      <c r="H773" s="6" t="s">
        <v>56</v>
      </c>
      <c r="I773" s="6" t="s">
        <v>110</v>
      </c>
      <c r="J773" s="6" t="b">
        <v>1</v>
      </c>
      <c r="K773" s="6" t="s">
        <v>27</v>
      </c>
      <c r="L773" s="6">
        <v>41.2</v>
      </c>
      <c r="M773" s="6">
        <v>159.65</v>
      </c>
      <c r="N773" s="8">
        <f t="shared" si="84"/>
        <v>76.679999999999993</v>
      </c>
      <c r="O773" s="8">
        <f t="shared" si="85"/>
        <v>2033.6800000000003</v>
      </c>
      <c r="P773" s="8">
        <f t="shared" si="86"/>
        <v>2033.6800000000003</v>
      </c>
      <c r="Q773" s="8">
        <f t="shared" si="87"/>
        <v>0</v>
      </c>
      <c r="R773" s="9">
        <f t="shared" si="88"/>
        <v>2033.6800000000003</v>
      </c>
      <c r="S773" s="10">
        <f t="shared" si="89"/>
        <v>169.47333333333336</v>
      </c>
      <c r="T773">
        <v>165</v>
      </c>
      <c r="U773">
        <f t="shared" si="90"/>
        <v>5.3499999999999943</v>
      </c>
    </row>
    <row r="774" spans="1:21" ht="14.25" customHeight="1" x14ac:dyDescent="0.35">
      <c r="A774" s="6" t="s">
        <v>4015</v>
      </c>
      <c r="B774" s="6" t="s">
        <v>4016</v>
      </c>
      <c r="C774" s="6" t="s">
        <v>4017</v>
      </c>
      <c r="D774" s="6" t="s">
        <v>241</v>
      </c>
      <c r="E774" s="7" t="s">
        <v>23</v>
      </c>
      <c r="F774" s="6">
        <v>85331</v>
      </c>
      <c r="G774" s="6" t="s">
        <v>32</v>
      </c>
      <c r="H774" s="6" t="s">
        <v>79</v>
      </c>
      <c r="I774" s="6" t="s">
        <v>40</v>
      </c>
      <c r="J774" s="6" t="b">
        <v>1</v>
      </c>
      <c r="K774" s="6" t="s">
        <v>27</v>
      </c>
      <c r="L774" s="6">
        <v>41.2</v>
      </c>
      <c r="M774" s="6">
        <v>159.65</v>
      </c>
      <c r="N774" s="8">
        <f t="shared" si="84"/>
        <v>76.679999999999993</v>
      </c>
      <c r="O774" s="8">
        <f t="shared" si="85"/>
        <v>2033.6800000000003</v>
      </c>
      <c r="P774" s="8">
        <f t="shared" si="86"/>
        <v>2033.6800000000003</v>
      </c>
      <c r="Q774" s="8">
        <f t="shared" si="87"/>
        <v>0</v>
      </c>
      <c r="R774" s="9">
        <f t="shared" si="88"/>
        <v>2033.6800000000003</v>
      </c>
      <c r="S774" s="10">
        <f t="shared" si="89"/>
        <v>169.47333333333336</v>
      </c>
      <c r="T774">
        <v>165</v>
      </c>
      <c r="U774">
        <f t="shared" si="90"/>
        <v>5.3499999999999943</v>
      </c>
    </row>
    <row r="775" spans="1:21" ht="14.25" customHeight="1" x14ac:dyDescent="0.35">
      <c r="A775" s="6" t="s">
        <v>4018</v>
      </c>
      <c r="B775" s="6" t="s">
        <v>4019</v>
      </c>
      <c r="C775" s="6" t="s">
        <v>4020</v>
      </c>
      <c r="D775" s="6" t="s">
        <v>54</v>
      </c>
      <c r="E775" s="7" t="s">
        <v>23</v>
      </c>
      <c r="F775" s="6">
        <v>85741</v>
      </c>
      <c r="G775" s="6" t="s">
        <v>55</v>
      </c>
      <c r="H775" s="6" t="s">
        <v>56</v>
      </c>
      <c r="I775" s="6" t="s">
        <v>57</v>
      </c>
      <c r="J775" s="6" t="b">
        <v>1</v>
      </c>
      <c r="K775" s="6" t="s">
        <v>27</v>
      </c>
      <c r="L775" s="6">
        <v>41.2</v>
      </c>
      <c r="M775" s="6">
        <v>159.65</v>
      </c>
      <c r="N775" s="8">
        <f t="shared" si="84"/>
        <v>76.679999999999993</v>
      </c>
      <c r="O775" s="8">
        <f t="shared" si="85"/>
        <v>2033.6800000000003</v>
      </c>
      <c r="P775" s="8">
        <f t="shared" si="86"/>
        <v>2033.6800000000003</v>
      </c>
      <c r="Q775" s="8">
        <f t="shared" si="87"/>
        <v>0</v>
      </c>
      <c r="R775" s="9">
        <f t="shared" si="88"/>
        <v>2033.6800000000003</v>
      </c>
      <c r="S775" s="10">
        <f t="shared" si="89"/>
        <v>169.47333333333336</v>
      </c>
      <c r="T775">
        <v>165</v>
      </c>
      <c r="U775">
        <f t="shared" si="90"/>
        <v>5.3499999999999943</v>
      </c>
    </row>
    <row r="776" spans="1:21" ht="14.25" customHeight="1" x14ac:dyDescent="0.35">
      <c r="A776" s="6" t="s">
        <v>4021</v>
      </c>
      <c r="B776" s="6" t="s">
        <v>4022</v>
      </c>
      <c r="C776" s="6" t="s">
        <v>4023</v>
      </c>
      <c r="D776" s="6" t="s">
        <v>1627</v>
      </c>
      <c r="E776" s="7" t="s">
        <v>23</v>
      </c>
      <c r="F776" s="6">
        <v>85131</v>
      </c>
      <c r="G776" s="6" t="s">
        <v>87</v>
      </c>
      <c r="H776" s="6" t="s">
        <v>88</v>
      </c>
      <c r="I776" s="6" t="s">
        <v>40</v>
      </c>
      <c r="J776" s="6" t="b">
        <v>1</v>
      </c>
      <c r="K776" s="6" t="s">
        <v>27</v>
      </c>
      <c r="L776" s="6">
        <v>41.2</v>
      </c>
      <c r="M776" s="6">
        <v>159.65</v>
      </c>
      <c r="N776" s="8">
        <f t="shared" si="84"/>
        <v>76.679999999999993</v>
      </c>
      <c r="O776" s="8">
        <f t="shared" si="85"/>
        <v>2033.6800000000003</v>
      </c>
      <c r="P776" s="8">
        <f t="shared" si="86"/>
        <v>2033.6800000000003</v>
      </c>
      <c r="Q776" s="8">
        <f t="shared" si="87"/>
        <v>0</v>
      </c>
      <c r="R776" s="9">
        <f t="shared" si="88"/>
        <v>2033.6800000000003</v>
      </c>
      <c r="S776" s="10">
        <f t="shared" si="89"/>
        <v>169.47333333333336</v>
      </c>
      <c r="T776">
        <v>165</v>
      </c>
      <c r="U776">
        <f t="shared" si="90"/>
        <v>5.3499999999999943</v>
      </c>
    </row>
    <row r="777" spans="1:21" ht="14.25" customHeight="1" x14ac:dyDescent="0.35">
      <c r="A777" s="6" t="s">
        <v>4024</v>
      </c>
      <c r="B777" s="6" t="s">
        <v>4025</v>
      </c>
      <c r="C777" s="6" t="s">
        <v>4026</v>
      </c>
      <c r="D777" s="6" t="s">
        <v>363</v>
      </c>
      <c r="E777" s="7" t="s">
        <v>23</v>
      </c>
      <c r="F777" s="6">
        <v>85283</v>
      </c>
      <c r="G777" s="6" t="s">
        <v>364</v>
      </c>
      <c r="H777" s="6" t="s">
        <v>365</v>
      </c>
      <c r="I777" s="6" t="s">
        <v>26</v>
      </c>
      <c r="J777" s="6" t="b">
        <v>1</v>
      </c>
      <c r="K777" s="6" t="s">
        <v>27</v>
      </c>
      <c r="L777" s="6">
        <v>41.2</v>
      </c>
      <c r="M777" s="6">
        <v>159.65</v>
      </c>
      <c r="N777" s="8">
        <f t="shared" si="84"/>
        <v>76.679999999999993</v>
      </c>
      <c r="O777" s="8">
        <f t="shared" si="85"/>
        <v>2033.6800000000003</v>
      </c>
      <c r="P777" s="8">
        <f t="shared" si="86"/>
        <v>2033.6800000000003</v>
      </c>
      <c r="Q777" s="8">
        <f t="shared" si="87"/>
        <v>0</v>
      </c>
      <c r="R777" s="9">
        <f t="shared" si="88"/>
        <v>2033.6800000000003</v>
      </c>
      <c r="S777" s="10">
        <f t="shared" si="89"/>
        <v>169.47333333333336</v>
      </c>
      <c r="T777">
        <v>165</v>
      </c>
      <c r="U777">
        <f t="shared" si="90"/>
        <v>5.3499999999999943</v>
      </c>
    </row>
    <row r="778" spans="1:21" ht="14.25" customHeight="1" x14ac:dyDescent="0.35">
      <c r="A778" s="6" t="s">
        <v>4027</v>
      </c>
      <c r="B778" s="6" t="s">
        <v>4028</v>
      </c>
      <c r="C778" s="6" t="s">
        <v>4029</v>
      </c>
      <c r="D778" s="6" t="s">
        <v>22</v>
      </c>
      <c r="E778" s="7" t="s">
        <v>23</v>
      </c>
      <c r="F778" s="6">
        <v>85248</v>
      </c>
      <c r="G778" s="6" t="s">
        <v>125</v>
      </c>
      <c r="H778" s="6" t="s">
        <v>126</v>
      </c>
      <c r="I778" s="6" t="s">
        <v>26</v>
      </c>
      <c r="J778" s="6" t="b">
        <v>1</v>
      </c>
      <c r="K778" s="6" t="s">
        <v>27</v>
      </c>
      <c r="L778" s="6">
        <v>41.2</v>
      </c>
      <c r="M778" s="6">
        <v>159.65</v>
      </c>
      <c r="N778" s="8">
        <f t="shared" si="84"/>
        <v>76.679999999999993</v>
      </c>
      <c r="O778" s="8">
        <f t="shared" si="85"/>
        <v>2033.6800000000003</v>
      </c>
      <c r="P778" s="8">
        <f t="shared" si="86"/>
        <v>2033.6800000000003</v>
      </c>
      <c r="Q778" s="8">
        <f t="shared" si="87"/>
        <v>0</v>
      </c>
      <c r="R778" s="9">
        <f t="shared" si="88"/>
        <v>2033.6800000000003</v>
      </c>
      <c r="S778" s="10">
        <f t="shared" si="89"/>
        <v>169.47333333333336</v>
      </c>
      <c r="T778">
        <v>165</v>
      </c>
      <c r="U778">
        <f t="shared" si="90"/>
        <v>5.3499999999999943</v>
      </c>
    </row>
    <row r="779" spans="1:21" ht="14.25" customHeight="1" x14ac:dyDescent="0.35">
      <c r="A779" s="6" t="s">
        <v>4030</v>
      </c>
      <c r="B779" s="6" t="s">
        <v>4031</v>
      </c>
      <c r="C779" s="6" t="s">
        <v>4032</v>
      </c>
      <c r="D779" s="6" t="s">
        <v>98</v>
      </c>
      <c r="E779" s="7" t="s">
        <v>23</v>
      </c>
      <c r="F779" s="6">
        <v>85122</v>
      </c>
      <c r="G779" s="6" t="s">
        <v>87</v>
      </c>
      <c r="H779" s="6" t="s">
        <v>88</v>
      </c>
      <c r="I779" s="6" t="s">
        <v>57</v>
      </c>
      <c r="J779" s="6" t="b">
        <v>1</v>
      </c>
      <c r="K779" s="6" t="s">
        <v>27</v>
      </c>
      <c r="L779" s="6">
        <v>41.2</v>
      </c>
      <c r="M779" s="6">
        <v>159.65</v>
      </c>
      <c r="N779" s="8">
        <f t="shared" si="84"/>
        <v>76.679999999999993</v>
      </c>
      <c r="O779" s="8">
        <f t="shared" si="85"/>
        <v>2033.6800000000003</v>
      </c>
      <c r="P779" s="8">
        <f t="shared" si="86"/>
        <v>2033.6800000000003</v>
      </c>
      <c r="Q779" s="8">
        <f t="shared" si="87"/>
        <v>0</v>
      </c>
      <c r="R779" s="9">
        <f t="shared" si="88"/>
        <v>2033.6800000000003</v>
      </c>
      <c r="S779" s="10">
        <f t="shared" si="89"/>
        <v>169.47333333333336</v>
      </c>
      <c r="T779">
        <v>165</v>
      </c>
      <c r="U779">
        <f t="shared" si="90"/>
        <v>5.3499999999999943</v>
      </c>
    </row>
    <row r="780" spans="1:21" ht="14.25" customHeight="1" x14ac:dyDescent="0.35">
      <c r="A780" s="6" t="s">
        <v>4033</v>
      </c>
      <c r="B780" s="6" t="s">
        <v>4034</v>
      </c>
      <c r="C780" s="6" t="s">
        <v>4035</v>
      </c>
      <c r="D780" s="6" t="s">
        <v>1649</v>
      </c>
      <c r="E780" s="7" t="s">
        <v>23</v>
      </c>
      <c r="F780" s="6">
        <v>85658</v>
      </c>
      <c r="G780" s="6" t="s">
        <v>55</v>
      </c>
      <c r="H780" s="6" t="s">
        <v>56</v>
      </c>
      <c r="I780" s="6" t="s">
        <v>26</v>
      </c>
      <c r="J780" s="6" t="b">
        <v>1</v>
      </c>
      <c r="K780" s="6" t="s">
        <v>27</v>
      </c>
      <c r="L780" s="6">
        <v>41.2</v>
      </c>
      <c r="M780" s="6">
        <v>159.65</v>
      </c>
      <c r="N780" s="8">
        <f t="shared" si="84"/>
        <v>76.679999999999993</v>
      </c>
      <c r="O780" s="8">
        <f t="shared" si="85"/>
        <v>2033.6800000000003</v>
      </c>
      <c r="P780" s="8">
        <f t="shared" si="86"/>
        <v>2033.6800000000003</v>
      </c>
      <c r="Q780" s="8">
        <f t="shared" si="87"/>
        <v>0</v>
      </c>
      <c r="R780" s="9">
        <f t="shared" si="88"/>
        <v>2033.6800000000003</v>
      </c>
      <c r="S780" s="10">
        <f t="shared" si="89"/>
        <v>169.47333333333336</v>
      </c>
      <c r="T780">
        <v>165</v>
      </c>
      <c r="U780">
        <f t="shared" si="90"/>
        <v>5.3499999999999943</v>
      </c>
    </row>
    <row r="781" spans="1:21" ht="14.25" customHeight="1" x14ac:dyDescent="0.35">
      <c r="A781" s="6" t="s">
        <v>4248</v>
      </c>
      <c r="B781" s="6" t="s">
        <v>4249</v>
      </c>
      <c r="C781" s="6" t="s">
        <v>4250</v>
      </c>
      <c r="D781" s="6" t="s">
        <v>65</v>
      </c>
      <c r="E781" s="7" t="s">
        <v>23</v>
      </c>
      <c r="F781" s="6">
        <v>85207</v>
      </c>
      <c r="G781" s="6" t="s">
        <v>66</v>
      </c>
      <c r="H781" s="6" t="s">
        <v>67</v>
      </c>
      <c r="I781" s="6" t="s">
        <v>26</v>
      </c>
      <c r="J781" s="6" t="b">
        <v>1</v>
      </c>
      <c r="K781" s="6" t="s">
        <v>94</v>
      </c>
      <c r="L781" s="6">
        <v>40</v>
      </c>
      <c r="M781" s="6">
        <v>159.65</v>
      </c>
      <c r="N781" s="8">
        <f t="shared" si="84"/>
        <v>76.679999999999993</v>
      </c>
      <c r="O781" s="8">
        <f t="shared" si="85"/>
        <v>2032.4800000000002</v>
      </c>
      <c r="P781" s="8">
        <f t="shared" si="86"/>
        <v>1971.5056000000002</v>
      </c>
      <c r="Q781" s="8">
        <f t="shared" si="87"/>
        <v>-60.97440000000006</v>
      </c>
      <c r="R781" s="9">
        <f t="shared" si="88"/>
        <v>2093.4544000000005</v>
      </c>
      <c r="S781" s="10">
        <f t="shared" si="89"/>
        <v>174.45453333333339</v>
      </c>
      <c r="T781">
        <v>165</v>
      </c>
      <c r="U781">
        <f t="shared" si="90"/>
        <v>5.3499999999999943</v>
      </c>
    </row>
    <row r="782" spans="1:21" ht="14.25" customHeight="1" x14ac:dyDescent="0.35">
      <c r="A782" s="6" t="s">
        <v>4251</v>
      </c>
      <c r="B782" s="6" t="s">
        <v>4252</v>
      </c>
      <c r="C782" s="6" t="s">
        <v>4253</v>
      </c>
      <c r="D782" s="6" t="s">
        <v>44</v>
      </c>
      <c r="E782" s="7" t="s">
        <v>23</v>
      </c>
      <c r="F782" s="6">
        <v>85339</v>
      </c>
      <c r="G782" s="6" t="s">
        <v>213</v>
      </c>
      <c r="H782" s="6" t="s">
        <v>39</v>
      </c>
      <c r="I782" s="6" t="s">
        <v>26</v>
      </c>
      <c r="J782" s="6" t="b">
        <v>1</v>
      </c>
      <c r="K782" s="6" t="s">
        <v>89</v>
      </c>
      <c r="L782" s="6">
        <v>40</v>
      </c>
      <c r="M782" s="6">
        <v>159.65</v>
      </c>
      <c r="N782" s="8">
        <f t="shared" si="84"/>
        <v>76.679999999999993</v>
      </c>
      <c r="O782" s="8">
        <f t="shared" si="85"/>
        <v>2032.4800000000002</v>
      </c>
      <c r="P782" s="8">
        <f t="shared" si="86"/>
        <v>1971.5056000000002</v>
      </c>
      <c r="Q782" s="8">
        <f t="shared" si="87"/>
        <v>-60.97440000000006</v>
      </c>
      <c r="R782" s="9">
        <f t="shared" si="88"/>
        <v>2093.4544000000005</v>
      </c>
      <c r="S782" s="10">
        <f t="shared" si="89"/>
        <v>174.45453333333339</v>
      </c>
      <c r="T782">
        <v>165</v>
      </c>
      <c r="U782">
        <f t="shared" si="90"/>
        <v>5.3499999999999943</v>
      </c>
    </row>
    <row r="783" spans="1:21" ht="14.25" customHeight="1" x14ac:dyDescent="0.35">
      <c r="A783" s="6" t="s">
        <v>4254</v>
      </c>
      <c r="B783" s="6" t="s">
        <v>4255</v>
      </c>
      <c r="C783" s="6" t="s">
        <v>4256</v>
      </c>
      <c r="D783" s="6" t="s">
        <v>65</v>
      </c>
      <c r="E783" s="7" t="s">
        <v>23</v>
      </c>
      <c r="F783" s="6">
        <v>85212</v>
      </c>
      <c r="G783" s="6" t="s">
        <v>125</v>
      </c>
      <c r="H783" s="6" t="s">
        <v>180</v>
      </c>
      <c r="I783" s="6" t="s">
        <v>26</v>
      </c>
      <c r="J783" s="6" t="b">
        <v>1</v>
      </c>
      <c r="K783" s="6" t="s">
        <v>89</v>
      </c>
      <c r="L783" s="6">
        <v>40</v>
      </c>
      <c r="M783" s="6">
        <v>159.65</v>
      </c>
      <c r="N783" s="8">
        <f t="shared" si="84"/>
        <v>76.679999999999993</v>
      </c>
      <c r="O783" s="8">
        <f t="shared" si="85"/>
        <v>2032.4800000000002</v>
      </c>
      <c r="P783" s="8">
        <f t="shared" si="86"/>
        <v>1971.5056000000002</v>
      </c>
      <c r="Q783" s="8">
        <f t="shared" si="87"/>
        <v>-60.97440000000006</v>
      </c>
      <c r="R783" s="9">
        <f t="shared" si="88"/>
        <v>2093.4544000000005</v>
      </c>
      <c r="S783" s="10">
        <f t="shared" si="89"/>
        <v>174.45453333333339</v>
      </c>
      <c r="T783">
        <v>165</v>
      </c>
      <c r="U783">
        <f t="shared" si="90"/>
        <v>5.3499999999999943</v>
      </c>
    </row>
    <row r="784" spans="1:21" ht="14.25" customHeight="1" x14ac:dyDescent="0.35">
      <c r="A784" s="6" t="s">
        <v>4257</v>
      </c>
      <c r="B784" s="6" t="s">
        <v>4258</v>
      </c>
      <c r="C784" s="6" t="s">
        <v>4259</v>
      </c>
      <c r="D784" s="6" t="s">
        <v>54</v>
      </c>
      <c r="E784" s="7" t="s">
        <v>23</v>
      </c>
      <c r="F784" s="6">
        <v>85750</v>
      </c>
      <c r="G784" s="6" t="s">
        <v>55</v>
      </c>
      <c r="H784" s="6" t="s">
        <v>56</v>
      </c>
      <c r="I784" s="6" t="s">
        <v>110</v>
      </c>
      <c r="J784" s="6" t="b">
        <v>1</v>
      </c>
      <c r="K784" s="6" t="s">
        <v>89</v>
      </c>
      <c r="L784" s="6">
        <v>41.2</v>
      </c>
      <c r="M784" s="6">
        <v>159.65</v>
      </c>
      <c r="N784" s="8">
        <f t="shared" si="84"/>
        <v>76.679999999999993</v>
      </c>
      <c r="O784" s="8">
        <f t="shared" si="85"/>
        <v>2033.6800000000003</v>
      </c>
      <c r="P784" s="8">
        <f t="shared" si="86"/>
        <v>1972.6696000000002</v>
      </c>
      <c r="Q784" s="8">
        <f t="shared" si="87"/>
        <v>-61.010400000000118</v>
      </c>
      <c r="R784" s="9">
        <f t="shared" si="88"/>
        <v>2094.6904000000004</v>
      </c>
      <c r="S784" s="10">
        <f t="shared" si="89"/>
        <v>174.55753333333337</v>
      </c>
      <c r="T784">
        <v>165</v>
      </c>
      <c r="U784">
        <f t="shared" si="90"/>
        <v>5.3499999999999943</v>
      </c>
    </row>
    <row r="785" spans="1:21" ht="14.25" customHeight="1" x14ac:dyDescent="0.35">
      <c r="A785" s="6" t="s">
        <v>4260</v>
      </c>
      <c r="B785" s="6" t="s">
        <v>4261</v>
      </c>
      <c r="C785" s="6" t="s">
        <v>4262</v>
      </c>
      <c r="D785" s="6" t="s">
        <v>31</v>
      </c>
      <c r="E785" s="7" t="s">
        <v>23</v>
      </c>
      <c r="F785" s="6">
        <v>85266</v>
      </c>
      <c r="G785" s="6" t="s">
        <v>32</v>
      </c>
      <c r="H785" s="6" t="s">
        <v>33</v>
      </c>
      <c r="I785" s="6" t="s">
        <v>26</v>
      </c>
      <c r="J785" s="6" t="b">
        <v>1</v>
      </c>
      <c r="K785" s="6" t="s">
        <v>94</v>
      </c>
      <c r="L785" s="6">
        <v>41.2</v>
      </c>
      <c r="M785" s="6">
        <v>159.65</v>
      </c>
      <c r="N785" s="8">
        <f t="shared" si="84"/>
        <v>76.679999999999993</v>
      </c>
      <c r="O785" s="8">
        <f t="shared" si="85"/>
        <v>2033.6800000000003</v>
      </c>
      <c r="P785" s="8">
        <f t="shared" si="86"/>
        <v>1972.6696000000002</v>
      </c>
      <c r="Q785" s="8">
        <f t="shared" si="87"/>
        <v>-61.010400000000118</v>
      </c>
      <c r="R785" s="9">
        <f t="shared" si="88"/>
        <v>2094.6904000000004</v>
      </c>
      <c r="S785" s="10">
        <f t="shared" si="89"/>
        <v>174.55753333333337</v>
      </c>
      <c r="T785">
        <v>165</v>
      </c>
      <c r="U785">
        <f t="shared" si="90"/>
        <v>5.3499999999999943</v>
      </c>
    </row>
    <row r="786" spans="1:21" ht="14.25" customHeight="1" x14ac:dyDescent="0.35">
      <c r="A786" s="6" t="s">
        <v>4263</v>
      </c>
      <c r="B786" s="6" t="s">
        <v>4264</v>
      </c>
      <c r="C786" s="6" t="s">
        <v>4265</v>
      </c>
      <c r="D786" s="6" t="s">
        <v>54</v>
      </c>
      <c r="E786" s="7" t="s">
        <v>23</v>
      </c>
      <c r="F786" s="6">
        <v>85718</v>
      </c>
      <c r="G786" s="6" t="s">
        <v>55</v>
      </c>
      <c r="H786" s="6" t="s">
        <v>56</v>
      </c>
      <c r="I786" s="6" t="s">
        <v>57</v>
      </c>
      <c r="J786" s="6" t="b">
        <v>1</v>
      </c>
      <c r="K786" s="6" t="s">
        <v>89</v>
      </c>
      <c r="L786" s="6">
        <v>41.2</v>
      </c>
      <c r="M786" s="6">
        <v>159.65</v>
      </c>
      <c r="N786" s="8">
        <f t="shared" si="84"/>
        <v>76.679999999999993</v>
      </c>
      <c r="O786" s="8">
        <f t="shared" si="85"/>
        <v>2033.6800000000003</v>
      </c>
      <c r="P786" s="8">
        <f t="shared" si="86"/>
        <v>1972.6696000000002</v>
      </c>
      <c r="Q786" s="8">
        <f t="shared" si="87"/>
        <v>-61.010400000000118</v>
      </c>
      <c r="R786" s="9">
        <f t="shared" si="88"/>
        <v>2094.6904000000004</v>
      </c>
      <c r="S786" s="10">
        <f t="shared" si="89"/>
        <v>174.55753333333337</v>
      </c>
      <c r="T786">
        <v>165</v>
      </c>
      <c r="U786">
        <f t="shared" si="90"/>
        <v>5.3499999999999943</v>
      </c>
    </row>
    <row r="787" spans="1:21" ht="14.25" customHeight="1" x14ac:dyDescent="0.35">
      <c r="A787" s="6" t="s">
        <v>4266</v>
      </c>
      <c r="B787" s="6" t="s">
        <v>188</v>
      </c>
      <c r="C787" s="6" t="s">
        <v>4267</v>
      </c>
      <c r="D787" s="6" t="s">
        <v>65</v>
      </c>
      <c r="E787" s="7" t="s">
        <v>23</v>
      </c>
      <c r="F787" s="6">
        <v>85201</v>
      </c>
      <c r="G787" s="6" t="s">
        <v>66</v>
      </c>
      <c r="H787" s="6" t="s">
        <v>365</v>
      </c>
      <c r="I787" s="6" t="s">
        <v>26</v>
      </c>
      <c r="J787" s="6" t="b">
        <v>1</v>
      </c>
      <c r="K787" s="6" t="s">
        <v>94</v>
      </c>
      <c r="L787" s="6">
        <v>41.2</v>
      </c>
      <c r="M787" s="6">
        <v>159.65</v>
      </c>
      <c r="N787" s="8">
        <f t="shared" si="84"/>
        <v>76.679999999999993</v>
      </c>
      <c r="O787" s="8">
        <f t="shared" si="85"/>
        <v>2033.6800000000003</v>
      </c>
      <c r="P787" s="8">
        <f t="shared" si="86"/>
        <v>1972.6696000000002</v>
      </c>
      <c r="Q787" s="8">
        <f t="shared" si="87"/>
        <v>-61.010400000000118</v>
      </c>
      <c r="R787" s="9">
        <f t="shared" si="88"/>
        <v>2094.6904000000004</v>
      </c>
      <c r="S787" s="10">
        <f t="shared" si="89"/>
        <v>174.55753333333337</v>
      </c>
      <c r="T787">
        <v>165</v>
      </c>
      <c r="U787">
        <f t="shared" si="90"/>
        <v>5.3499999999999943</v>
      </c>
    </row>
    <row r="788" spans="1:21" ht="14.25" customHeight="1" x14ac:dyDescent="0.35">
      <c r="A788" s="6" t="s">
        <v>4268</v>
      </c>
      <c r="B788" s="6" t="s">
        <v>4269</v>
      </c>
      <c r="C788" s="6" t="s">
        <v>4270</v>
      </c>
      <c r="D788" s="6" t="s">
        <v>363</v>
      </c>
      <c r="E788" s="7" t="s">
        <v>23</v>
      </c>
      <c r="F788" s="6">
        <v>85284</v>
      </c>
      <c r="G788" s="6" t="s">
        <v>24</v>
      </c>
      <c r="H788" s="6" t="s">
        <v>365</v>
      </c>
      <c r="I788" s="6" t="s">
        <v>26</v>
      </c>
      <c r="J788" s="6" t="b">
        <v>1</v>
      </c>
      <c r="K788" s="6" t="s">
        <v>94</v>
      </c>
      <c r="L788" s="6">
        <v>41.2</v>
      </c>
      <c r="M788" s="6">
        <v>159.65</v>
      </c>
      <c r="N788" s="8">
        <f t="shared" si="84"/>
        <v>76.679999999999993</v>
      </c>
      <c r="O788" s="8">
        <f t="shared" si="85"/>
        <v>2033.6800000000003</v>
      </c>
      <c r="P788" s="8">
        <f t="shared" si="86"/>
        <v>1972.6696000000002</v>
      </c>
      <c r="Q788" s="8">
        <f t="shared" si="87"/>
        <v>-61.010400000000118</v>
      </c>
      <c r="R788" s="9">
        <f t="shared" si="88"/>
        <v>2094.6904000000004</v>
      </c>
      <c r="S788" s="10">
        <f t="shared" si="89"/>
        <v>174.55753333333337</v>
      </c>
      <c r="T788">
        <v>165</v>
      </c>
      <c r="U788">
        <f t="shared" si="90"/>
        <v>5.3499999999999943</v>
      </c>
    </row>
    <row r="789" spans="1:21" ht="14.25" customHeight="1" x14ac:dyDescent="0.35">
      <c r="A789" s="6" t="s">
        <v>4271</v>
      </c>
      <c r="B789" s="6" t="s">
        <v>4272</v>
      </c>
      <c r="C789" s="6" t="s">
        <v>4273</v>
      </c>
      <c r="D789" s="6" t="s">
        <v>818</v>
      </c>
      <c r="E789" s="7" t="s">
        <v>23</v>
      </c>
      <c r="F789" s="6">
        <v>85340</v>
      </c>
      <c r="G789" s="6" t="s">
        <v>38</v>
      </c>
      <c r="H789" s="6" t="s">
        <v>378</v>
      </c>
      <c r="I789" s="6" t="s">
        <v>110</v>
      </c>
      <c r="J789" s="6" t="b">
        <v>1</v>
      </c>
      <c r="K789" s="6" t="s">
        <v>94</v>
      </c>
      <c r="L789" s="6">
        <v>41.2</v>
      </c>
      <c r="M789" s="6">
        <v>159.65</v>
      </c>
      <c r="N789" s="8">
        <f t="shared" si="84"/>
        <v>76.679999999999993</v>
      </c>
      <c r="O789" s="8">
        <f t="shared" si="85"/>
        <v>2033.6800000000003</v>
      </c>
      <c r="P789" s="8">
        <f t="shared" si="86"/>
        <v>1972.6696000000002</v>
      </c>
      <c r="Q789" s="8">
        <f t="shared" si="87"/>
        <v>-61.010400000000118</v>
      </c>
      <c r="R789" s="9">
        <f t="shared" si="88"/>
        <v>2094.6904000000004</v>
      </c>
      <c r="S789" s="10">
        <f t="shared" si="89"/>
        <v>174.55753333333337</v>
      </c>
      <c r="T789">
        <v>165</v>
      </c>
      <c r="U789">
        <f t="shared" si="90"/>
        <v>5.3499999999999943</v>
      </c>
    </row>
    <row r="790" spans="1:21" ht="14.25" customHeight="1" x14ac:dyDescent="0.35">
      <c r="A790" s="6" t="s">
        <v>4274</v>
      </c>
      <c r="B790" s="6" t="s">
        <v>4275</v>
      </c>
      <c r="C790" s="6" t="s">
        <v>4276</v>
      </c>
      <c r="D790" s="6" t="s">
        <v>1226</v>
      </c>
      <c r="E790" s="7" t="s">
        <v>23</v>
      </c>
      <c r="F790" s="6">
        <v>85128</v>
      </c>
      <c r="G790" s="6" t="s">
        <v>87</v>
      </c>
      <c r="H790" s="6" t="s">
        <v>109</v>
      </c>
      <c r="I790" s="6" t="s">
        <v>61</v>
      </c>
      <c r="J790" s="6" t="b">
        <v>1</v>
      </c>
      <c r="K790" s="6" t="s">
        <v>94</v>
      </c>
      <c r="L790" s="6">
        <v>41.2</v>
      </c>
      <c r="M790" s="6">
        <v>159.65</v>
      </c>
      <c r="N790" s="8">
        <f t="shared" si="84"/>
        <v>76.679999999999993</v>
      </c>
      <c r="O790" s="8">
        <f t="shared" si="85"/>
        <v>2033.6800000000003</v>
      </c>
      <c r="P790" s="8">
        <f t="shared" si="86"/>
        <v>1972.6696000000002</v>
      </c>
      <c r="Q790" s="8">
        <f t="shared" si="87"/>
        <v>-61.010400000000118</v>
      </c>
      <c r="R790" s="9">
        <f t="shared" si="88"/>
        <v>2094.6904000000004</v>
      </c>
      <c r="S790" s="10">
        <f t="shared" si="89"/>
        <v>174.55753333333337</v>
      </c>
      <c r="T790">
        <v>165</v>
      </c>
      <c r="U790">
        <f t="shared" si="90"/>
        <v>5.3499999999999943</v>
      </c>
    </row>
    <row r="791" spans="1:21" ht="14.25" customHeight="1" x14ac:dyDescent="0.35">
      <c r="A791" s="6" t="s">
        <v>4277</v>
      </c>
      <c r="B791" s="6" t="s">
        <v>4278</v>
      </c>
      <c r="C791" s="6" t="s">
        <v>4279</v>
      </c>
      <c r="D791" s="6" t="s">
        <v>98</v>
      </c>
      <c r="E791" s="7" t="s">
        <v>23</v>
      </c>
      <c r="F791" s="6">
        <v>85194</v>
      </c>
      <c r="G791" s="6" t="s">
        <v>87</v>
      </c>
      <c r="H791" s="6" t="s">
        <v>99</v>
      </c>
      <c r="I791" s="6" t="s">
        <v>40</v>
      </c>
      <c r="J791" s="6" t="b">
        <v>1</v>
      </c>
      <c r="K791" s="6" t="s">
        <v>94</v>
      </c>
      <c r="L791" s="6">
        <v>41.2</v>
      </c>
      <c r="M791" s="6">
        <v>159.65</v>
      </c>
      <c r="N791" s="8">
        <f t="shared" si="84"/>
        <v>76.679999999999993</v>
      </c>
      <c r="O791" s="8">
        <f t="shared" si="85"/>
        <v>2033.6800000000003</v>
      </c>
      <c r="P791" s="8">
        <f t="shared" si="86"/>
        <v>1972.6696000000002</v>
      </c>
      <c r="Q791" s="8">
        <f t="shared" si="87"/>
        <v>-61.010400000000118</v>
      </c>
      <c r="R791" s="9">
        <f t="shared" si="88"/>
        <v>2094.6904000000004</v>
      </c>
      <c r="S791" s="10">
        <f t="shared" si="89"/>
        <v>174.55753333333337</v>
      </c>
      <c r="T791">
        <v>165</v>
      </c>
      <c r="U791">
        <f t="shared" si="90"/>
        <v>5.3499999999999943</v>
      </c>
    </row>
    <row r="792" spans="1:21" ht="14.25" customHeight="1" x14ac:dyDescent="0.35">
      <c r="A792" s="6" t="s">
        <v>4280</v>
      </c>
      <c r="B792" s="6" t="s">
        <v>4281</v>
      </c>
      <c r="C792" s="6" t="s">
        <v>4282</v>
      </c>
      <c r="D792" s="6" t="s">
        <v>165</v>
      </c>
      <c r="E792" s="7" t="s">
        <v>23</v>
      </c>
      <c r="F792" s="6">
        <v>85297</v>
      </c>
      <c r="G792" s="6" t="s">
        <v>125</v>
      </c>
      <c r="H792" s="6" t="s">
        <v>225</v>
      </c>
      <c r="I792" s="6" t="s">
        <v>26</v>
      </c>
      <c r="J792" s="6" t="b">
        <v>1</v>
      </c>
      <c r="K792" s="6" t="s">
        <v>94</v>
      </c>
      <c r="L792" s="6">
        <v>41.2</v>
      </c>
      <c r="M792" s="6">
        <v>159.65</v>
      </c>
      <c r="N792" s="8">
        <f t="shared" si="84"/>
        <v>76.679999999999993</v>
      </c>
      <c r="O792" s="8">
        <f t="shared" si="85"/>
        <v>2033.6800000000003</v>
      </c>
      <c r="P792" s="8">
        <f t="shared" si="86"/>
        <v>1972.6696000000002</v>
      </c>
      <c r="Q792" s="8">
        <f t="shared" si="87"/>
        <v>-61.010400000000118</v>
      </c>
      <c r="R792" s="9">
        <f t="shared" si="88"/>
        <v>2094.6904000000004</v>
      </c>
      <c r="S792" s="10">
        <f t="shared" si="89"/>
        <v>174.55753333333337</v>
      </c>
      <c r="T792">
        <v>165</v>
      </c>
      <c r="U792">
        <f t="shared" si="90"/>
        <v>5.3499999999999943</v>
      </c>
    </row>
    <row r="793" spans="1:21" ht="14.25" customHeight="1" x14ac:dyDescent="0.35">
      <c r="A793" s="6" t="s">
        <v>4283</v>
      </c>
      <c r="B793" s="6" t="s">
        <v>4284</v>
      </c>
      <c r="C793" s="6" t="s">
        <v>4285</v>
      </c>
      <c r="D793" s="6" t="s">
        <v>65</v>
      </c>
      <c r="E793" s="7" t="s">
        <v>23</v>
      </c>
      <c r="F793" s="6">
        <v>85203</v>
      </c>
      <c r="G793" s="6" t="s">
        <v>66</v>
      </c>
      <c r="H793" s="6" t="s">
        <v>67</v>
      </c>
      <c r="I793" s="6" t="s">
        <v>26</v>
      </c>
      <c r="J793" s="6" t="b">
        <v>1</v>
      </c>
      <c r="K793" s="6" t="s">
        <v>94</v>
      </c>
      <c r="L793" s="6">
        <v>41.2</v>
      </c>
      <c r="M793" s="6">
        <v>159.65</v>
      </c>
      <c r="N793" s="8">
        <f t="shared" si="84"/>
        <v>76.679999999999993</v>
      </c>
      <c r="O793" s="8">
        <f t="shared" si="85"/>
        <v>2033.6800000000003</v>
      </c>
      <c r="P793" s="8">
        <f t="shared" si="86"/>
        <v>1972.6696000000002</v>
      </c>
      <c r="Q793" s="8">
        <f t="shared" si="87"/>
        <v>-61.010400000000118</v>
      </c>
      <c r="R793" s="9">
        <f t="shared" si="88"/>
        <v>2094.6904000000004</v>
      </c>
      <c r="S793" s="10">
        <f t="shared" si="89"/>
        <v>174.55753333333337</v>
      </c>
      <c r="T793">
        <v>165</v>
      </c>
      <c r="U793">
        <f t="shared" si="90"/>
        <v>5.3499999999999943</v>
      </c>
    </row>
    <row r="794" spans="1:21" ht="14.25" customHeight="1" x14ac:dyDescent="0.35">
      <c r="A794" s="6" t="s">
        <v>4286</v>
      </c>
      <c r="B794" s="6" t="s">
        <v>4287</v>
      </c>
      <c r="C794" s="6" t="s">
        <v>4288</v>
      </c>
      <c r="D794" s="6" t="s">
        <v>31</v>
      </c>
      <c r="E794" s="7" t="s">
        <v>23</v>
      </c>
      <c r="F794" s="6">
        <v>85262</v>
      </c>
      <c r="G794" s="6" t="s">
        <v>32</v>
      </c>
      <c r="H794" s="6" t="s">
        <v>33</v>
      </c>
      <c r="I794" s="6" t="s">
        <v>40</v>
      </c>
      <c r="J794" s="6" t="b">
        <v>1</v>
      </c>
      <c r="K794" s="6" t="s">
        <v>94</v>
      </c>
      <c r="L794" s="6">
        <v>41.2</v>
      </c>
      <c r="M794" s="6">
        <v>159.65</v>
      </c>
      <c r="N794" s="8">
        <f t="shared" si="84"/>
        <v>76.679999999999993</v>
      </c>
      <c r="O794" s="8">
        <f t="shared" si="85"/>
        <v>2033.6800000000003</v>
      </c>
      <c r="P794" s="8">
        <f t="shared" si="86"/>
        <v>1972.6696000000002</v>
      </c>
      <c r="Q794" s="8">
        <f t="shared" si="87"/>
        <v>-61.010400000000118</v>
      </c>
      <c r="R794" s="9">
        <f t="shared" si="88"/>
        <v>2094.6904000000004</v>
      </c>
      <c r="S794" s="10">
        <f t="shared" si="89"/>
        <v>174.55753333333337</v>
      </c>
      <c r="T794">
        <v>165</v>
      </c>
      <c r="U794">
        <f t="shared" si="90"/>
        <v>5.3499999999999943</v>
      </c>
    </row>
    <row r="795" spans="1:21" ht="14.25" customHeight="1" x14ac:dyDescent="0.35">
      <c r="A795" s="6" t="s">
        <v>1539</v>
      </c>
      <c r="B795" s="6" t="s">
        <v>1540</v>
      </c>
      <c r="C795" s="6" t="s">
        <v>1541</v>
      </c>
      <c r="D795" s="6" t="s">
        <v>165</v>
      </c>
      <c r="E795" s="7" t="s">
        <v>23</v>
      </c>
      <c r="F795" s="6">
        <v>85295</v>
      </c>
      <c r="G795" s="6" t="s">
        <v>125</v>
      </c>
      <c r="H795" s="6" t="s">
        <v>1047</v>
      </c>
      <c r="I795" s="6" t="s">
        <v>26</v>
      </c>
      <c r="J795" s="6" t="b">
        <v>0</v>
      </c>
      <c r="K795" s="6" t="s">
        <v>27</v>
      </c>
      <c r="L795" s="6">
        <v>0</v>
      </c>
      <c r="M795" s="6">
        <v>160</v>
      </c>
      <c r="N795" s="8" t="str">
        <f t="shared" si="84"/>
        <v>0</v>
      </c>
      <c r="O795" s="8">
        <f t="shared" si="85"/>
        <v>1920</v>
      </c>
      <c r="P795" s="8">
        <f t="shared" si="86"/>
        <v>1920</v>
      </c>
      <c r="Q795" s="8">
        <f t="shared" si="87"/>
        <v>0</v>
      </c>
      <c r="R795" s="9">
        <f t="shared" si="88"/>
        <v>1920</v>
      </c>
      <c r="S795" s="10">
        <f t="shared" si="89"/>
        <v>160</v>
      </c>
      <c r="T795">
        <v>165</v>
      </c>
      <c r="U795">
        <f t="shared" si="90"/>
        <v>5</v>
      </c>
    </row>
    <row r="796" spans="1:21" ht="14.25" customHeight="1" x14ac:dyDescent="0.35">
      <c r="A796" s="6" t="s">
        <v>1542</v>
      </c>
      <c r="B796" s="6" t="s">
        <v>1543</v>
      </c>
      <c r="C796" s="6" t="s">
        <v>1544</v>
      </c>
      <c r="D796" s="6" t="s">
        <v>44</v>
      </c>
      <c r="E796" s="7" t="s">
        <v>23</v>
      </c>
      <c r="F796" s="6">
        <v>85024</v>
      </c>
      <c r="G796" s="6" t="s">
        <v>173</v>
      </c>
      <c r="H796" s="6" t="s">
        <v>169</v>
      </c>
      <c r="I796" s="6" t="s">
        <v>26</v>
      </c>
      <c r="J796" s="6" t="b">
        <v>0</v>
      </c>
      <c r="K796" s="6" t="s">
        <v>27</v>
      </c>
      <c r="L796" s="6">
        <v>0</v>
      </c>
      <c r="M796" s="6">
        <v>160</v>
      </c>
      <c r="N796" s="8" t="str">
        <f t="shared" si="84"/>
        <v>0</v>
      </c>
      <c r="O796" s="8">
        <f t="shared" si="85"/>
        <v>1920</v>
      </c>
      <c r="P796" s="8">
        <f t="shared" si="86"/>
        <v>1920</v>
      </c>
      <c r="Q796" s="8">
        <f t="shared" si="87"/>
        <v>0</v>
      </c>
      <c r="R796" s="9">
        <f t="shared" si="88"/>
        <v>1920</v>
      </c>
      <c r="S796" s="10">
        <f t="shared" si="89"/>
        <v>160</v>
      </c>
      <c r="T796">
        <v>165</v>
      </c>
      <c r="U796">
        <f t="shared" si="90"/>
        <v>5</v>
      </c>
    </row>
    <row r="797" spans="1:21" ht="14.25" customHeight="1" x14ac:dyDescent="0.35">
      <c r="A797" s="6" t="s">
        <v>1545</v>
      </c>
      <c r="B797" s="6" t="s">
        <v>1546</v>
      </c>
      <c r="C797" s="6" t="s">
        <v>1547</v>
      </c>
      <c r="D797" s="6" t="s">
        <v>22</v>
      </c>
      <c r="E797" s="7" t="s">
        <v>23</v>
      </c>
      <c r="F797" s="6">
        <v>85286</v>
      </c>
      <c r="G797" s="6" t="s">
        <v>125</v>
      </c>
      <c r="H797" s="6" t="s">
        <v>225</v>
      </c>
      <c r="I797" s="6" t="s">
        <v>26</v>
      </c>
      <c r="J797" s="6" t="b">
        <v>0</v>
      </c>
      <c r="K797" s="6" t="s">
        <v>27</v>
      </c>
      <c r="L797" s="6">
        <v>0</v>
      </c>
      <c r="M797" s="6">
        <v>160</v>
      </c>
      <c r="N797" s="8" t="str">
        <f t="shared" si="84"/>
        <v>0</v>
      </c>
      <c r="O797" s="8">
        <f t="shared" si="85"/>
        <v>1920</v>
      </c>
      <c r="P797" s="8">
        <f t="shared" si="86"/>
        <v>1920</v>
      </c>
      <c r="Q797" s="8">
        <f t="shared" si="87"/>
        <v>0</v>
      </c>
      <c r="R797" s="9">
        <f t="shared" si="88"/>
        <v>1920</v>
      </c>
      <c r="S797" s="10">
        <f t="shared" si="89"/>
        <v>160</v>
      </c>
      <c r="T797">
        <v>165</v>
      </c>
      <c r="U797">
        <f t="shared" si="90"/>
        <v>5</v>
      </c>
    </row>
    <row r="798" spans="1:21" ht="14.25" customHeight="1" x14ac:dyDescent="0.35">
      <c r="A798" s="6" t="s">
        <v>1709</v>
      </c>
      <c r="B798" s="6" t="s">
        <v>1710</v>
      </c>
      <c r="C798" s="6" t="s">
        <v>1711</v>
      </c>
      <c r="D798" s="6" t="s">
        <v>44</v>
      </c>
      <c r="E798" s="7" t="s">
        <v>23</v>
      </c>
      <c r="F798" s="6">
        <v>85014</v>
      </c>
      <c r="G798" s="6" t="s">
        <v>173</v>
      </c>
      <c r="H798" s="6" t="s">
        <v>202</v>
      </c>
      <c r="I798" s="6" t="s">
        <v>40</v>
      </c>
      <c r="J798" s="6" t="b">
        <v>0</v>
      </c>
      <c r="K798" s="6" t="s">
        <v>27</v>
      </c>
      <c r="L798" s="6">
        <v>40</v>
      </c>
      <c r="M798" s="6">
        <v>160</v>
      </c>
      <c r="N798" s="8" t="str">
        <f t="shared" si="84"/>
        <v>0</v>
      </c>
      <c r="O798" s="8">
        <f t="shared" si="85"/>
        <v>1960</v>
      </c>
      <c r="P798" s="8">
        <f t="shared" si="86"/>
        <v>1960</v>
      </c>
      <c r="Q798" s="8">
        <f t="shared" si="87"/>
        <v>0</v>
      </c>
      <c r="R798" s="9">
        <f t="shared" si="88"/>
        <v>1960</v>
      </c>
      <c r="S798" s="10">
        <f t="shared" si="89"/>
        <v>163.33333333333334</v>
      </c>
      <c r="T798">
        <v>165</v>
      </c>
      <c r="U798">
        <f t="shared" si="90"/>
        <v>5</v>
      </c>
    </row>
    <row r="799" spans="1:21" ht="14.25" customHeight="1" x14ac:dyDescent="0.35">
      <c r="A799" s="6" t="s">
        <v>4045</v>
      </c>
      <c r="B799" s="6" t="s">
        <v>1209</v>
      </c>
      <c r="C799" s="6" t="s">
        <v>4046</v>
      </c>
      <c r="D799" s="6" t="s">
        <v>818</v>
      </c>
      <c r="E799" s="7" t="s">
        <v>23</v>
      </c>
      <c r="F799" s="6">
        <v>85340</v>
      </c>
      <c r="G799" s="6" t="s">
        <v>38</v>
      </c>
      <c r="H799" s="6" t="s">
        <v>378</v>
      </c>
      <c r="I799" s="6" t="s">
        <v>26</v>
      </c>
      <c r="J799" s="6" t="b">
        <v>1</v>
      </c>
      <c r="K799" s="6" t="s">
        <v>27</v>
      </c>
      <c r="L799" s="6">
        <v>40</v>
      </c>
      <c r="M799" s="6">
        <v>160</v>
      </c>
      <c r="N799" s="8">
        <f t="shared" si="84"/>
        <v>76.679999999999993</v>
      </c>
      <c r="O799" s="8">
        <f t="shared" si="85"/>
        <v>2036.68</v>
      </c>
      <c r="P799" s="8">
        <f t="shared" si="86"/>
        <v>2036.68</v>
      </c>
      <c r="Q799" s="8">
        <f t="shared" si="87"/>
        <v>0</v>
      </c>
      <c r="R799" s="9">
        <f t="shared" si="88"/>
        <v>2036.68</v>
      </c>
      <c r="S799" s="10">
        <f t="shared" si="89"/>
        <v>169.72333333333333</v>
      </c>
      <c r="T799">
        <v>165</v>
      </c>
      <c r="U799">
        <f t="shared" si="90"/>
        <v>5</v>
      </c>
    </row>
    <row r="800" spans="1:21" ht="14.25" customHeight="1" x14ac:dyDescent="0.35">
      <c r="A800" s="6" t="s">
        <v>4047</v>
      </c>
      <c r="B800" s="6" t="s">
        <v>4048</v>
      </c>
      <c r="C800" s="6" t="s">
        <v>4049</v>
      </c>
      <c r="D800" s="6" t="s">
        <v>165</v>
      </c>
      <c r="E800" s="7" t="s">
        <v>23</v>
      </c>
      <c r="F800" s="6">
        <v>85297</v>
      </c>
      <c r="G800" s="6" t="s">
        <v>125</v>
      </c>
      <c r="H800" s="6" t="s">
        <v>126</v>
      </c>
      <c r="I800" s="6" t="s">
        <v>26</v>
      </c>
      <c r="J800" s="6" t="b">
        <v>1</v>
      </c>
      <c r="K800" s="6" t="s">
        <v>27</v>
      </c>
      <c r="L800" s="6">
        <v>40</v>
      </c>
      <c r="M800" s="6">
        <v>160</v>
      </c>
      <c r="N800" s="8">
        <f t="shared" si="84"/>
        <v>76.679999999999993</v>
      </c>
      <c r="O800" s="8">
        <f t="shared" si="85"/>
        <v>2036.68</v>
      </c>
      <c r="P800" s="8">
        <f t="shared" si="86"/>
        <v>2036.68</v>
      </c>
      <c r="Q800" s="8">
        <f t="shared" si="87"/>
        <v>0</v>
      </c>
      <c r="R800" s="9">
        <f t="shared" si="88"/>
        <v>2036.68</v>
      </c>
      <c r="S800" s="10">
        <f t="shared" si="89"/>
        <v>169.72333333333333</v>
      </c>
      <c r="T800">
        <v>165</v>
      </c>
      <c r="U800">
        <f t="shared" si="90"/>
        <v>5</v>
      </c>
    </row>
    <row r="801" spans="1:21" ht="14.25" customHeight="1" x14ac:dyDescent="0.35">
      <c r="A801" s="6" t="s">
        <v>4050</v>
      </c>
      <c r="B801" s="6" t="s">
        <v>4051</v>
      </c>
      <c r="C801" s="6" t="s">
        <v>4052</v>
      </c>
      <c r="D801" s="6" t="s">
        <v>31</v>
      </c>
      <c r="E801" s="7" t="s">
        <v>23</v>
      </c>
      <c r="F801" s="6">
        <v>85255</v>
      </c>
      <c r="G801" s="6" t="s">
        <v>45</v>
      </c>
      <c r="H801" s="6" t="s">
        <v>169</v>
      </c>
      <c r="J801" s="6" t="b">
        <v>1</v>
      </c>
      <c r="K801" s="6" t="s">
        <v>27</v>
      </c>
      <c r="L801" s="6">
        <v>40</v>
      </c>
      <c r="M801" s="6">
        <v>160</v>
      </c>
      <c r="N801" s="8">
        <f t="shared" si="84"/>
        <v>76.679999999999993</v>
      </c>
      <c r="O801" s="8">
        <f t="shared" si="85"/>
        <v>2036.68</v>
      </c>
      <c r="P801" s="8">
        <f t="shared" si="86"/>
        <v>2036.68</v>
      </c>
      <c r="Q801" s="8">
        <f t="shared" si="87"/>
        <v>0</v>
      </c>
      <c r="R801" s="9">
        <f t="shared" si="88"/>
        <v>2036.68</v>
      </c>
      <c r="S801" s="10">
        <f t="shared" si="89"/>
        <v>169.72333333333333</v>
      </c>
      <c r="T801">
        <v>165</v>
      </c>
      <c r="U801">
        <f t="shared" si="90"/>
        <v>5</v>
      </c>
    </row>
    <row r="802" spans="1:21" ht="14.25" customHeight="1" x14ac:dyDescent="0.35">
      <c r="A802" s="6" t="s">
        <v>1712</v>
      </c>
      <c r="B802" s="6" t="s">
        <v>1713</v>
      </c>
      <c r="C802" s="6" t="s">
        <v>1714</v>
      </c>
      <c r="D802" s="6" t="s">
        <v>98</v>
      </c>
      <c r="E802" s="7" t="s">
        <v>23</v>
      </c>
      <c r="F802" s="6">
        <v>85194</v>
      </c>
      <c r="G802" s="6" t="s">
        <v>87</v>
      </c>
      <c r="H802" s="6" t="s">
        <v>99</v>
      </c>
      <c r="I802" s="6" t="s">
        <v>40</v>
      </c>
      <c r="J802" s="6" t="b">
        <v>1</v>
      </c>
      <c r="K802" s="6" t="s">
        <v>27</v>
      </c>
      <c r="L802" s="6">
        <v>41.2</v>
      </c>
      <c r="M802" s="6">
        <v>160.16999999999999</v>
      </c>
      <c r="N802" s="8">
        <f t="shared" si="84"/>
        <v>76.679999999999993</v>
      </c>
      <c r="O802" s="8">
        <f t="shared" si="85"/>
        <v>2039.92</v>
      </c>
      <c r="P802" s="8">
        <f t="shared" si="86"/>
        <v>2039.92</v>
      </c>
      <c r="Q802" s="8">
        <f t="shared" si="87"/>
        <v>0</v>
      </c>
      <c r="R802" s="9">
        <f t="shared" si="88"/>
        <v>2039.92</v>
      </c>
      <c r="S802" s="10">
        <f t="shared" si="89"/>
        <v>169.99333333333334</v>
      </c>
      <c r="T802">
        <v>165</v>
      </c>
      <c r="U802">
        <f t="shared" si="90"/>
        <v>4.8300000000000125</v>
      </c>
    </row>
    <row r="803" spans="1:21" ht="14.25" customHeight="1" x14ac:dyDescent="0.35">
      <c r="A803" s="6" t="s">
        <v>1715</v>
      </c>
      <c r="B803" s="6" t="s">
        <v>1716</v>
      </c>
      <c r="C803" s="6" t="s">
        <v>1717</v>
      </c>
      <c r="D803" s="6" t="s">
        <v>98</v>
      </c>
      <c r="E803" s="7" t="s">
        <v>23</v>
      </c>
      <c r="F803" s="6">
        <v>85122</v>
      </c>
      <c r="G803" s="6" t="s">
        <v>87</v>
      </c>
      <c r="H803" s="6" t="s">
        <v>99</v>
      </c>
      <c r="I803" s="6" t="s">
        <v>40</v>
      </c>
      <c r="J803" s="6" t="b">
        <v>1</v>
      </c>
      <c r="K803" s="6" t="s">
        <v>27</v>
      </c>
      <c r="L803" s="6">
        <v>41.2</v>
      </c>
      <c r="M803" s="6">
        <v>160.16999999999999</v>
      </c>
      <c r="N803" s="8">
        <f t="shared" si="84"/>
        <v>76.679999999999993</v>
      </c>
      <c r="O803" s="8">
        <f t="shared" si="85"/>
        <v>2039.92</v>
      </c>
      <c r="P803" s="8">
        <f t="shared" si="86"/>
        <v>2039.92</v>
      </c>
      <c r="Q803" s="8">
        <f t="shared" si="87"/>
        <v>0</v>
      </c>
      <c r="R803" s="9">
        <f t="shared" si="88"/>
        <v>2039.92</v>
      </c>
      <c r="S803" s="10">
        <f t="shared" si="89"/>
        <v>169.99333333333334</v>
      </c>
      <c r="T803">
        <v>165</v>
      </c>
      <c r="U803">
        <f t="shared" si="90"/>
        <v>4.8300000000000125</v>
      </c>
    </row>
    <row r="804" spans="1:21" ht="14.25" customHeight="1" x14ac:dyDescent="0.35">
      <c r="A804" s="6" t="s">
        <v>1718</v>
      </c>
      <c r="B804" s="6" t="s">
        <v>1719</v>
      </c>
      <c r="C804" s="6" t="s">
        <v>1720</v>
      </c>
      <c r="D804" s="6" t="s">
        <v>98</v>
      </c>
      <c r="E804" s="7" t="s">
        <v>23</v>
      </c>
      <c r="F804" s="6">
        <v>85122</v>
      </c>
      <c r="G804" s="6" t="s">
        <v>87</v>
      </c>
      <c r="H804" s="6" t="s">
        <v>109</v>
      </c>
      <c r="I804" s="6" t="s">
        <v>61</v>
      </c>
      <c r="J804" s="6" t="b">
        <v>1</v>
      </c>
      <c r="K804" s="6" t="s">
        <v>27</v>
      </c>
      <c r="L804" s="6">
        <v>41.2</v>
      </c>
      <c r="M804" s="6">
        <v>160.16999999999999</v>
      </c>
      <c r="N804" s="8">
        <f t="shared" si="84"/>
        <v>76.679999999999993</v>
      </c>
      <c r="O804" s="8">
        <f t="shared" si="85"/>
        <v>2039.92</v>
      </c>
      <c r="P804" s="8">
        <f t="shared" si="86"/>
        <v>2039.92</v>
      </c>
      <c r="Q804" s="8">
        <f t="shared" si="87"/>
        <v>0</v>
      </c>
      <c r="R804" s="9">
        <f t="shared" si="88"/>
        <v>2039.92</v>
      </c>
      <c r="S804" s="10">
        <f t="shared" si="89"/>
        <v>169.99333333333334</v>
      </c>
      <c r="T804">
        <v>165</v>
      </c>
      <c r="U804">
        <f t="shared" si="90"/>
        <v>4.8300000000000125</v>
      </c>
    </row>
    <row r="805" spans="1:21" ht="14.25" customHeight="1" x14ac:dyDescent="0.35">
      <c r="A805" s="6" t="s">
        <v>4092</v>
      </c>
      <c r="B805" s="6" t="s">
        <v>4093</v>
      </c>
      <c r="C805" s="6" t="s">
        <v>4094</v>
      </c>
      <c r="D805" s="6" t="s">
        <v>98</v>
      </c>
      <c r="E805" s="7" t="s">
        <v>23</v>
      </c>
      <c r="F805" s="6">
        <v>85122</v>
      </c>
      <c r="G805" s="6" t="s">
        <v>87</v>
      </c>
      <c r="H805" s="6" t="s">
        <v>88</v>
      </c>
      <c r="I805" s="6" t="s">
        <v>110</v>
      </c>
      <c r="J805" s="6" t="b">
        <v>1</v>
      </c>
      <c r="K805" s="6" t="s">
        <v>27</v>
      </c>
      <c r="L805" s="6">
        <v>41.2</v>
      </c>
      <c r="M805" s="6">
        <v>160.16999999999999</v>
      </c>
      <c r="N805" s="8">
        <f t="shared" si="84"/>
        <v>76.679999999999993</v>
      </c>
      <c r="O805" s="8">
        <f t="shared" si="85"/>
        <v>2039.92</v>
      </c>
      <c r="P805" s="8">
        <f t="shared" si="86"/>
        <v>2039.92</v>
      </c>
      <c r="Q805" s="8">
        <f t="shared" si="87"/>
        <v>0</v>
      </c>
      <c r="R805" s="9">
        <f t="shared" si="88"/>
        <v>2039.92</v>
      </c>
      <c r="S805" s="10">
        <f t="shared" si="89"/>
        <v>169.99333333333334</v>
      </c>
      <c r="T805">
        <v>165</v>
      </c>
      <c r="U805">
        <f t="shared" si="90"/>
        <v>4.8300000000000125</v>
      </c>
    </row>
    <row r="806" spans="1:21" ht="14.25" customHeight="1" x14ac:dyDescent="0.35">
      <c r="A806" s="6" t="s">
        <v>4095</v>
      </c>
      <c r="B806" s="6" t="s">
        <v>4096</v>
      </c>
      <c r="C806" s="6" t="s">
        <v>4097</v>
      </c>
      <c r="D806" s="6" t="s">
        <v>98</v>
      </c>
      <c r="E806" s="7" t="s">
        <v>23</v>
      </c>
      <c r="F806" s="6">
        <v>85122</v>
      </c>
      <c r="G806" s="6" t="s">
        <v>87</v>
      </c>
      <c r="H806" s="6" t="s">
        <v>99</v>
      </c>
      <c r="I806" s="6" t="s">
        <v>61</v>
      </c>
      <c r="J806" s="6" t="b">
        <v>1</v>
      </c>
      <c r="K806" s="6" t="s">
        <v>27</v>
      </c>
      <c r="L806" s="6">
        <v>41.2</v>
      </c>
      <c r="M806" s="6">
        <v>160.16999999999999</v>
      </c>
      <c r="N806" s="8">
        <f t="shared" si="84"/>
        <v>76.679999999999993</v>
      </c>
      <c r="O806" s="8">
        <f t="shared" si="85"/>
        <v>2039.92</v>
      </c>
      <c r="P806" s="8">
        <f t="shared" si="86"/>
        <v>2039.92</v>
      </c>
      <c r="Q806" s="8">
        <f t="shared" si="87"/>
        <v>0</v>
      </c>
      <c r="R806" s="9">
        <f t="shared" si="88"/>
        <v>2039.92</v>
      </c>
      <c r="S806" s="10">
        <f t="shared" si="89"/>
        <v>169.99333333333334</v>
      </c>
      <c r="T806">
        <v>165</v>
      </c>
      <c r="U806">
        <f t="shared" si="90"/>
        <v>4.8300000000000125</v>
      </c>
    </row>
    <row r="807" spans="1:21" ht="14.25" customHeight="1" x14ac:dyDescent="0.35">
      <c r="A807" s="6" t="s">
        <v>4098</v>
      </c>
      <c r="B807" s="6" t="s">
        <v>4099</v>
      </c>
      <c r="C807" s="6" t="s">
        <v>4100</v>
      </c>
      <c r="D807" s="6" t="s">
        <v>1649</v>
      </c>
      <c r="E807" s="7" t="s">
        <v>23</v>
      </c>
      <c r="F807" s="6">
        <v>85658</v>
      </c>
      <c r="G807" s="6" t="s">
        <v>55</v>
      </c>
      <c r="H807" s="6" t="s">
        <v>56</v>
      </c>
      <c r="I807" s="6" t="s">
        <v>26</v>
      </c>
      <c r="J807" s="6" t="b">
        <v>1</v>
      </c>
      <c r="K807" s="6" t="s">
        <v>27</v>
      </c>
      <c r="L807" s="6">
        <v>41.2</v>
      </c>
      <c r="M807" s="6">
        <v>160.16999999999999</v>
      </c>
      <c r="N807" s="8">
        <f t="shared" si="84"/>
        <v>76.679999999999993</v>
      </c>
      <c r="O807" s="8">
        <f t="shared" si="85"/>
        <v>2039.92</v>
      </c>
      <c r="P807" s="8">
        <f t="shared" si="86"/>
        <v>2039.92</v>
      </c>
      <c r="Q807" s="8">
        <f t="shared" si="87"/>
        <v>0</v>
      </c>
      <c r="R807" s="9">
        <f t="shared" si="88"/>
        <v>2039.92</v>
      </c>
      <c r="S807" s="10">
        <f t="shared" si="89"/>
        <v>169.99333333333334</v>
      </c>
      <c r="T807">
        <v>165</v>
      </c>
      <c r="U807">
        <f t="shared" si="90"/>
        <v>4.8300000000000125</v>
      </c>
    </row>
    <row r="808" spans="1:21" ht="14.25" customHeight="1" x14ac:dyDescent="0.35">
      <c r="A808" s="6" t="s">
        <v>4101</v>
      </c>
      <c r="B808" s="6" t="s">
        <v>4102</v>
      </c>
      <c r="C808" s="6" t="s">
        <v>4103</v>
      </c>
      <c r="D808" s="6" t="s">
        <v>117</v>
      </c>
      <c r="E808" s="7" t="s">
        <v>23</v>
      </c>
      <c r="F808" s="6">
        <v>85138</v>
      </c>
      <c r="G808" s="6" t="s">
        <v>87</v>
      </c>
      <c r="H808" s="6" t="s">
        <v>88</v>
      </c>
      <c r="I808" s="6" t="s">
        <v>26</v>
      </c>
      <c r="J808" s="6" t="b">
        <v>1</v>
      </c>
      <c r="K808" s="6" t="s">
        <v>27</v>
      </c>
      <c r="L808" s="6">
        <v>41.2</v>
      </c>
      <c r="M808" s="6">
        <v>160.16999999999999</v>
      </c>
      <c r="N808" s="8">
        <f t="shared" si="84"/>
        <v>76.679999999999993</v>
      </c>
      <c r="O808" s="8">
        <f t="shared" si="85"/>
        <v>2039.92</v>
      </c>
      <c r="P808" s="8">
        <f t="shared" si="86"/>
        <v>2039.92</v>
      </c>
      <c r="Q808" s="8">
        <f t="shared" si="87"/>
        <v>0</v>
      </c>
      <c r="R808" s="9">
        <f t="shared" si="88"/>
        <v>2039.92</v>
      </c>
      <c r="S808" s="10">
        <f t="shared" si="89"/>
        <v>169.99333333333334</v>
      </c>
      <c r="T808">
        <v>165</v>
      </c>
      <c r="U808">
        <f t="shared" si="90"/>
        <v>4.8300000000000125</v>
      </c>
    </row>
    <row r="809" spans="1:21" ht="14.25" customHeight="1" x14ac:dyDescent="0.35">
      <c r="A809" s="6" t="s">
        <v>4104</v>
      </c>
      <c r="B809" s="6" t="s">
        <v>4105</v>
      </c>
      <c r="C809" s="6" t="s">
        <v>4106</v>
      </c>
      <c r="D809" s="6" t="s">
        <v>1226</v>
      </c>
      <c r="E809" s="7" t="s">
        <v>23</v>
      </c>
      <c r="F809" s="6">
        <v>85128</v>
      </c>
      <c r="G809" s="6" t="s">
        <v>87</v>
      </c>
      <c r="H809" s="6" t="s">
        <v>109</v>
      </c>
      <c r="I809" s="6" t="s">
        <v>40</v>
      </c>
      <c r="J809" s="6" t="b">
        <v>1</v>
      </c>
      <c r="K809" s="6" t="s">
        <v>27</v>
      </c>
      <c r="L809" s="6">
        <v>41.2</v>
      </c>
      <c r="M809" s="6">
        <v>160.16999999999999</v>
      </c>
      <c r="N809" s="8">
        <f t="shared" si="84"/>
        <v>76.679999999999993</v>
      </c>
      <c r="O809" s="8">
        <f t="shared" si="85"/>
        <v>2039.92</v>
      </c>
      <c r="P809" s="8">
        <f t="shared" si="86"/>
        <v>2039.92</v>
      </c>
      <c r="Q809" s="8">
        <f t="shared" si="87"/>
        <v>0</v>
      </c>
      <c r="R809" s="9">
        <f t="shared" si="88"/>
        <v>2039.92</v>
      </c>
      <c r="S809" s="10">
        <f t="shared" si="89"/>
        <v>169.99333333333334</v>
      </c>
      <c r="T809">
        <v>165</v>
      </c>
      <c r="U809">
        <f t="shared" si="90"/>
        <v>4.8300000000000125</v>
      </c>
    </row>
    <row r="810" spans="1:21" ht="14.25" customHeight="1" x14ac:dyDescent="0.35">
      <c r="A810" s="6" t="s">
        <v>4107</v>
      </c>
      <c r="B810" s="6" t="s">
        <v>4108</v>
      </c>
      <c r="C810" s="6" t="s">
        <v>4109</v>
      </c>
      <c r="D810" s="6" t="s">
        <v>98</v>
      </c>
      <c r="E810" s="7" t="s">
        <v>23</v>
      </c>
      <c r="F810" s="6">
        <v>85122</v>
      </c>
      <c r="G810" s="6" t="s">
        <v>87</v>
      </c>
      <c r="H810" s="6" t="s">
        <v>88</v>
      </c>
      <c r="I810" s="6" t="s">
        <v>57</v>
      </c>
      <c r="J810" s="6" t="b">
        <v>1</v>
      </c>
      <c r="K810" s="6" t="s">
        <v>27</v>
      </c>
      <c r="L810" s="6">
        <v>41.2</v>
      </c>
      <c r="M810" s="6">
        <v>160.16999999999999</v>
      </c>
      <c r="N810" s="8">
        <f t="shared" si="84"/>
        <v>76.679999999999993</v>
      </c>
      <c r="O810" s="8">
        <f t="shared" si="85"/>
        <v>2039.92</v>
      </c>
      <c r="P810" s="8">
        <f t="shared" si="86"/>
        <v>2039.92</v>
      </c>
      <c r="Q810" s="8">
        <f t="shared" si="87"/>
        <v>0</v>
      </c>
      <c r="R810" s="9">
        <f t="shared" si="88"/>
        <v>2039.92</v>
      </c>
      <c r="S810" s="10">
        <f t="shared" si="89"/>
        <v>169.99333333333334</v>
      </c>
      <c r="T810">
        <v>165</v>
      </c>
      <c r="U810">
        <f t="shared" si="90"/>
        <v>4.8300000000000125</v>
      </c>
    </row>
    <row r="811" spans="1:21" ht="14.25" customHeight="1" x14ac:dyDescent="0.35">
      <c r="A811" s="6" t="s">
        <v>4110</v>
      </c>
      <c r="B811" s="6" t="s">
        <v>4111</v>
      </c>
      <c r="C811" s="6" t="s">
        <v>4112</v>
      </c>
      <c r="D811" s="6" t="s">
        <v>98</v>
      </c>
      <c r="E811" s="7" t="s">
        <v>23</v>
      </c>
      <c r="F811" s="6">
        <v>85122</v>
      </c>
      <c r="G811" s="6" t="s">
        <v>87</v>
      </c>
      <c r="H811" s="6" t="s">
        <v>88</v>
      </c>
      <c r="I811" s="6" t="s">
        <v>61</v>
      </c>
      <c r="J811" s="6" t="b">
        <v>1</v>
      </c>
      <c r="K811" s="6" t="s">
        <v>27</v>
      </c>
      <c r="L811" s="6">
        <v>41.2</v>
      </c>
      <c r="M811" s="6">
        <v>160.16999999999999</v>
      </c>
      <c r="N811" s="8">
        <f t="shared" si="84"/>
        <v>76.679999999999993</v>
      </c>
      <c r="O811" s="8">
        <f t="shared" si="85"/>
        <v>2039.92</v>
      </c>
      <c r="P811" s="8">
        <f t="shared" si="86"/>
        <v>2039.92</v>
      </c>
      <c r="Q811" s="8">
        <f t="shared" si="87"/>
        <v>0</v>
      </c>
      <c r="R811" s="9">
        <f t="shared" si="88"/>
        <v>2039.92</v>
      </c>
      <c r="S811" s="10">
        <f t="shared" si="89"/>
        <v>169.99333333333334</v>
      </c>
      <c r="T811">
        <v>165</v>
      </c>
      <c r="U811">
        <f t="shared" si="90"/>
        <v>4.8300000000000125</v>
      </c>
    </row>
    <row r="812" spans="1:21" ht="14.25" customHeight="1" x14ac:dyDescent="0.35">
      <c r="A812" s="6" t="s">
        <v>4113</v>
      </c>
      <c r="B812" s="6" t="s">
        <v>4114</v>
      </c>
      <c r="C812" s="6" t="s">
        <v>4115</v>
      </c>
      <c r="D812" s="6" t="s">
        <v>98</v>
      </c>
      <c r="E812" s="7" t="s">
        <v>23</v>
      </c>
      <c r="F812" s="6">
        <v>85122</v>
      </c>
      <c r="G812" s="6" t="s">
        <v>87</v>
      </c>
      <c r="H812" s="6" t="s">
        <v>88</v>
      </c>
      <c r="I812" s="6" t="s">
        <v>57</v>
      </c>
      <c r="J812" s="6" t="b">
        <v>1</v>
      </c>
      <c r="K812" s="6" t="s">
        <v>27</v>
      </c>
      <c r="L812" s="6">
        <v>41.2</v>
      </c>
      <c r="M812" s="6">
        <v>160.16999999999999</v>
      </c>
      <c r="N812" s="8">
        <f t="shared" si="84"/>
        <v>76.679999999999993</v>
      </c>
      <c r="O812" s="8">
        <f t="shared" si="85"/>
        <v>2039.92</v>
      </c>
      <c r="P812" s="8">
        <f t="shared" si="86"/>
        <v>2039.92</v>
      </c>
      <c r="Q812" s="8">
        <f t="shared" si="87"/>
        <v>0</v>
      </c>
      <c r="R812" s="9">
        <f t="shared" si="88"/>
        <v>2039.92</v>
      </c>
      <c r="S812" s="10">
        <f t="shared" si="89"/>
        <v>169.99333333333334</v>
      </c>
      <c r="T812">
        <v>165</v>
      </c>
      <c r="U812">
        <f t="shared" si="90"/>
        <v>4.8300000000000125</v>
      </c>
    </row>
    <row r="813" spans="1:21" ht="14.25" customHeight="1" x14ac:dyDescent="0.35">
      <c r="A813" s="6" t="s">
        <v>4116</v>
      </c>
      <c r="B813" s="6" t="s">
        <v>4117</v>
      </c>
      <c r="C813" s="6" t="s">
        <v>4118</v>
      </c>
      <c r="D813" s="6" t="s">
        <v>98</v>
      </c>
      <c r="E813" s="7" t="s">
        <v>23</v>
      </c>
      <c r="F813" s="6">
        <v>85122</v>
      </c>
      <c r="G813" s="6" t="s">
        <v>87</v>
      </c>
      <c r="H813" s="6" t="s">
        <v>109</v>
      </c>
      <c r="I813" s="6" t="s">
        <v>57</v>
      </c>
      <c r="J813" s="6" t="b">
        <v>1</v>
      </c>
      <c r="K813" s="6" t="s">
        <v>27</v>
      </c>
      <c r="L813" s="6">
        <v>41.2</v>
      </c>
      <c r="M813" s="6">
        <v>160.16999999999999</v>
      </c>
      <c r="N813" s="8">
        <f t="shared" si="84"/>
        <v>76.679999999999993</v>
      </c>
      <c r="O813" s="8">
        <f t="shared" si="85"/>
        <v>2039.92</v>
      </c>
      <c r="P813" s="8">
        <f t="shared" si="86"/>
        <v>2039.92</v>
      </c>
      <c r="Q813" s="8">
        <f t="shared" si="87"/>
        <v>0</v>
      </c>
      <c r="R813" s="9">
        <f t="shared" si="88"/>
        <v>2039.92</v>
      </c>
      <c r="S813" s="10">
        <f t="shared" si="89"/>
        <v>169.99333333333334</v>
      </c>
      <c r="T813">
        <v>165</v>
      </c>
      <c r="U813">
        <f t="shared" si="90"/>
        <v>4.8300000000000125</v>
      </c>
    </row>
    <row r="814" spans="1:21" ht="14.25" customHeight="1" x14ac:dyDescent="0.35">
      <c r="A814" s="6" t="s">
        <v>4119</v>
      </c>
      <c r="B814" s="6" t="s">
        <v>4120</v>
      </c>
      <c r="C814" s="6" t="s">
        <v>4121</v>
      </c>
      <c r="D814" s="6" t="s">
        <v>98</v>
      </c>
      <c r="E814" s="7" t="s">
        <v>23</v>
      </c>
      <c r="F814" s="6">
        <v>85122</v>
      </c>
      <c r="G814" s="6" t="s">
        <v>87</v>
      </c>
      <c r="H814" s="6" t="s">
        <v>109</v>
      </c>
      <c r="I814" s="6" t="s">
        <v>110</v>
      </c>
      <c r="J814" s="6" t="b">
        <v>1</v>
      </c>
      <c r="K814" s="6" t="s">
        <v>27</v>
      </c>
      <c r="L814" s="6">
        <v>41.2</v>
      </c>
      <c r="M814" s="6">
        <v>160.16999999999999</v>
      </c>
      <c r="N814" s="8">
        <f t="shared" si="84"/>
        <v>76.679999999999993</v>
      </c>
      <c r="O814" s="8">
        <f t="shared" si="85"/>
        <v>2039.92</v>
      </c>
      <c r="P814" s="8">
        <f t="shared" si="86"/>
        <v>2039.92</v>
      </c>
      <c r="Q814" s="8">
        <f t="shared" si="87"/>
        <v>0</v>
      </c>
      <c r="R814" s="9">
        <f t="shared" si="88"/>
        <v>2039.92</v>
      </c>
      <c r="S814" s="10">
        <f t="shared" si="89"/>
        <v>169.99333333333334</v>
      </c>
      <c r="T814">
        <v>165</v>
      </c>
      <c r="U814">
        <f t="shared" si="90"/>
        <v>4.8300000000000125</v>
      </c>
    </row>
    <row r="815" spans="1:21" ht="14.25" customHeight="1" x14ac:dyDescent="0.35">
      <c r="A815" s="6" t="s">
        <v>4122</v>
      </c>
      <c r="B815" s="6" t="s">
        <v>4123</v>
      </c>
      <c r="C815" s="6" t="s">
        <v>4124</v>
      </c>
      <c r="D815" s="6" t="s">
        <v>98</v>
      </c>
      <c r="E815" s="7" t="s">
        <v>23</v>
      </c>
      <c r="F815" s="6">
        <v>85122</v>
      </c>
      <c r="G815" s="6" t="s">
        <v>87</v>
      </c>
      <c r="H815" s="6" t="s">
        <v>88</v>
      </c>
      <c r="I815" s="6" t="s">
        <v>110</v>
      </c>
      <c r="J815" s="6" t="b">
        <v>1</v>
      </c>
      <c r="K815" s="6" t="s">
        <v>27</v>
      </c>
      <c r="L815" s="6">
        <v>41.2</v>
      </c>
      <c r="M815" s="6">
        <v>160.16999999999999</v>
      </c>
      <c r="N815" s="8">
        <f t="shared" si="84"/>
        <v>76.679999999999993</v>
      </c>
      <c r="O815" s="8">
        <f t="shared" si="85"/>
        <v>2039.92</v>
      </c>
      <c r="P815" s="8">
        <f t="shared" si="86"/>
        <v>2039.92</v>
      </c>
      <c r="Q815" s="8">
        <f t="shared" si="87"/>
        <v>0</v>
      </c>
      <c r="R815" s="9">
        <f t="shared" si="88"/>
        <v>2039.92</v>
      </c>
      <c r="S815" s="10">
        <f t="shared" si="89"/>
        <v>169.99333333333334</v>
      </c>
      <c r="T815">
        <v>165</v>
      </c>
      <c r="U815">
        <f t="shared" si="90"/>
        <v>4.8300000000000125</v>
      </c>
    </row>
    <row r="816" spans="1:21" ht="14.25" customHeight="1" x14ac:dyDescent="0.35">
      <c r="A816" s="6" t="s">
        <v>4125</v>
      </c>
      <c r="B816" s="6" t="s">
        <v>4126</v>
      </c>
      <c r="C816" s="6" t="s">
        <v>4127</v>
      </c>
      <c r="D816" s="6" t="s">
        <v>44</v>
      </c>
      <c r="E816" s="7" t="s">
        <v>23</v>
      </c>
      <c r="F816" s="6">
        <v>85027</v>
      </c>
      <c r="G816" s="6" t="s">
        <v>173</v>
      </c>
      <c r="H816" s="6" t="s">
        <v>79</v>
      </c>
      <c r="I816" s="6" t="s">
        <v>61</v>
      </c>
      <c r="J816" s="6" t="b">
        <v>1</v>
      </c>
      <c r="K816" s="6" t="s">
        <v>27</v>
      </c>
      <c r="L816" s="6">
        <v>40</v>
      </c>
      <c r="M816" s="6">
        <v>160.88999999999999</v>
      </c>
      <c r="N816" s="8">
        <f t="shared" si="84"/>
        <v>76.679999999999993</v>
      </c>
      <c r="O816" s="8">
        <f t="shared" si="85"/>
        <v>2047.36</v>
      </c>
      <c r="P816" s="8">
        <f t="shared" si="86"/>
        <v>2047.36</v>
      </c>
      <c r="Q816" s="8">
        <f t="shared" si="87"/>
        <v>0</v>
      </c>
      <c r="R816" s="9">
        <f t="shared" si="88"/>
        <v>2047.36</v>
      </c>
      <c r="S816" s="10">
        <f t="shared" si="89"/>
        <v>170.61333333333332</v>
      </c>
      <c r="T816">
        <v>165</v>
      </c>
      <c r="U816">
        <f t="shared" si="90"/>
        <v>4.1100000000000136</v>
      </c>
    </row>
    <row r="817" spans="1:21" ht="14.25" customHeight="1" x14ac:dyDescent="0.35">
      <c r="A817" s="6" t="s">
        <v>3768</v>
      </c>
      <c r="B817" s="6" t="s">
        <v>3769</v>
      </c>
      <c r="C817" s="6" t="s">
        <v>3770</v>
      </c>
      <c r="D817" s="6" t="s">
        <v>44</v>
      </c>
      <c r="E817" s="7" t="s">
        <v>23</v>
      </c>
      <c r="F817" s="6">
        <v>85041</v>
      </c>
      <c r="G817" s="6" t="s">
        <v>213</v>
      </c>
      <c r="H817" s="6" t="s">
        <v>39</v>
      </c>
      <c r="I817" s="6" t="s">
        <v>26</v>
      </c>
      <c r="J817" s="6" t="b">
        <v>1</v>
      </c>
      <c r="K817" s="6" t="s">
        <v>27</v>
      </c>
      <c r="L817" s="6">
        <v>0</v>
      </c>
      <c r="M817" s="6">
        <v>161.38999999999999</v>
      </c>
      <c r="N817" s="8">
        <f t="shared" si="84"/>
        <v>76.679999999999993</v>
      </c>
      <c r="O817" s="8">
        <f t="shared" si="85"/>
        <v>2013.36</v>
      </c>
      <c r="P817" s="8">
        <f t="shared" si="86"/>
        <v>2013.36</v>
      </c>
      <c r="Q817" s="8">
        <f t="shared" si="87"/>
        <v>0</v>
      </c>
      <c r="R817" s="9">
        <f t="shared" si="88"/>
        <v>2013.36</v>
      </c>
      <c r="S817" s="10">
        <f t="shared" si="89"/>
        <v>167.78</v>
      </c>
      <c r="T817">
        <v>165</v>
      </c>
      <c r="U817">
        <f t="shared" si="90"/>
        <v>3.6100000000000136</v>
      </c>
    </row>
    <row r="818" spans="1:21" ht="14.25" customHeight="1" x14ac:dyDescent="0.35">
      <c r="A818" s="6" t="s">
        <v>4128</v>
      </c>
      <c r="B818" s="6" t="s">
        <v>4129</v>
      </c>
      <c r="C818" s="6" t="s">
        <v>4130</v>
      </c>
      <c r="D818" s="6" t="s">
        <v>482</v>
      </c>
      <c r="E818" s="7" t="s">
        <v>23</v>
      </c>
      <c r="F818" s="6">
        <v>85396</v>
      </c>
      <c r="G818" s="6" t="s">
        <v>38</v>
      </c>
      <c r="H818" s="6" t="s">
        <v>378</v>
      </c>
      <c r="I818" s="6" t="s">
        <v>26</v>
      </c>
      <c r="J818" s="6" t="b">
        <v>1</v>
      </c>
      <c r="K818" s="6" t="s">
        <v>27</v>
      </c>
      <c r="L818" s="6">
        <v>40</v>
      </c>
      <c r="M818" s="6">
        <v>161.38999999999999</v>
      </c>
      <c r="N818" s="8">
        <f t="shared" si="84"/>
        <v>76.679999999999993</v>
      </c>
      <c r="O818" s="8">
        <f t="shared" si="85"/>
        <v>2053.3599999999997</v>
      </c>
      <c r="P818" s="8">
        <f t="shared" si="86"/>
        <v>2053.3599999999997</v>
      </c>
      <c r="Q818" s="8">
        <f t="shared" si="87"/>
        <v>0</v>
      </c>
      <c r="R818" s="9">
        <f t="shared" si="88"/>
        <v>2053.3599999999997</v>
      </c>
      <c r="S818" s="10">
        <f t="shared" si="89"/>
        <v>171.11333333333332</v>
      </c>
      <c r="T818">
        <v>165</v>
      </c>
      <c r="U818">
        <f t="shared" si="90"/>
        <v>3.6100000000000136</v>
      </c>
    </row>
    <row r="819" spans="1:21" ht="14.25" customHeight="1" x14ac:dyDescent="0.35">
      <c r="A819" s="6" t="s">
        <v>4242</v>
      </c>
      <c r="B819" s="6" t="s">
        <v>4243</v>
      </c>
      <c r="C819" s="6" t="s">
        <v>4244</v>
      </c>
      <c r="D819" s="6" t="s">
        <v>65</v>
      </c>
      <c r="E819" s="7" t="s">
        <v>23</v>
      </c>
      <c r="F819" s="6">
        <v>85215</v>
      </c>
      <c r="G819" s="6" t="s">
        <v>66</v>
      </c>
      <c r="H819" s="6" t="s">
        <v>67</v>
      </c>
      <c r="I819" s="6" t="s">
        <v>26</v>
      </c>
      <c r="J819" s="6" t="b">
        <v>1</v>
      </c>
      <c r="K819" s="6" t="s">
        <v>27</v>
      </c>
      <c r="L819" s="6">
        <v>41.2</v>
      </c>
      <c r="M819" s="6">
        <v>162.91999999999999</v>
      </c>
      <c r="N819" s="8">
        <f t="shared" si="84"/>
        <v>76.679999999999993</v>
      </c>
      <c r="O819" s="8">
        <f t="shared" si="85"/>
        <v>2072.92</v>
      </c>
      <c r="P819" s="8">
        <f t="shared" si="86"/>
        <v>2072.92</v>
      </c>
      <c r="Q819" s="8">
        <f t="shared" si="87"/>
        <v>0</v>
      </c>
      <c r="R819" s="9">
        <f t="shared" si="88"/>
        <v>2072.92</v>
      </c>
      <c r="S819" s="10">
        <f t="shared" si="89"/>
        <v>172.74333333333334</v>
      </c>
      <c r="T819">
        <v>165</v>
      </c>
      <c r="U819">
        <f t="shared" si="90"/>
        <v>2.0800000000000125</v>
      </c>
    </row>
    <row r="820" spans="1:21" ht="14.25" customHeight="1" x14ac:dyDescent="0.35">
      <c r="A820" s="6" t="s">
        <v>4245</v>
      </c>
      <c r="B820" s="6" t="s">
        <v>4246</v>
      </c>
      <c r="C820" s="6" t="s">
        <v>4247</v>
      </c>
      <c r="D820" s="6" t="s">
        <v>1226</v>
      </c>
      <c r="E820" s="7" t="s">
        <v>23</v>
      </c>
      <c r="F820" s="6">
        <v>85128</v>
      </c>
      <c r="G820" s="6" t="s">
        <v>87</v>
      </c>
      <c r="H820" s="6" t="s">
        <v>109</v>
      </c>
      <c r="I820" s="6" t="s">
        <v>40</v>
      </c>
      <c r="J820" s="6" t="b">
        <v>1</v>
      </c>
      <c r="K820" s="6" t="s">
        <v>27</v>
      </c>
      <c r="L820" s="6">
        <v>41.2</v>
      </c>
      <c r="M820" s="6">
        <v>162.91999999999999</v>
      </c>
      <c r="N820" s="8">
        <f t="shared" si="84"/>
        <v>76.679999999999993</v>
      </c>
      <c r="O820" s="8">
        <f t="shared" si="85"/>
        <v>2072.92</v>
      </c>
      <c r="P820" s="8">
        <f t="shared" si="86"/>
        <v>2072.92</v>
      </c>
      <c r="Q820" s="8">
        <f t="shared" si="87"/>
        <v>0</v>
      </c>
      <c r="R820" s="9">
        <f t="shared" si="88"/>
        <v>2072.92</v>
      </c>
      <c r="S820" s="10">
        <f t="shared" si="89"/>
        <v>172.74333333333334</v>
      </c>
      <c r="T820">
        <v>165</v>
      </c>
      <c r="U820" cm="1">
        <f t="array" aca="1" ref="U820" ca="1">SUM(T820-M820)+K1:U820</f>
        <v>0</v>
      </c>
    </row>
    <row r="821" spans="1:21" ht="14.25" customHeight="1" x14ac:dyDescent="0.35">
      <c r="A821" s="6" t="s">
        <v>2219</v>
      </c>
      <c r="B821" s="6" t="s">
        <v>2220</v>
      </c>
      <c r="C821" s="6" t="s">
        <v>2221</v>
      </c>
      <c r="D821" s="6" t="s">
        <v>31</v>
      </c>
      <c r="E821" s="7" t="s">
        <v>23</v>
      </c>
      <c r="F821" s="6">
        <v>85259</v>
      </c>
      <c r="G821" s="6" t="s">
        <v>45</v>
      </c>
      <c r="H821" s="6" t="s">
        <v>291</v>
      </c>
      <c r="I821" s="6" t="s">
        <v>26</v>
      </c>
      <c r="J821" s="6" t="b">
        <v>0</v>
      </c>
      <c r="K821" s="6" t="s">
        <v>27</v>
      </c>
      <c r="L821" s="6">
        <v>0</v>
      </c>
      <c r="M821" s="6">
        <v>165</v>
      </c>
      <c r="N821" s="8" t="str">
        <f t="shared" si="84"/>
        <v>0</v>
      </c>
      <c r="O821" s="8">
        <f t="shared" si="85"/>
        <v>1980</v>
      </c>
      <c r="P821" s="8">
        <f t="shared" si="86"/>
        <v>1980</v>
      </c>
      <c r="Q821" s="8">
        <f t="shared" si="87"/>
        <v>0</v>
      </c>
      <c r="R821" s="9">
        <f t="shared" si="88"/>
        <v>1980</v>
      </c>
      <c r="S821" s="10">
        <f t="shared" si="89"/>
        <v>165</v>
      </c>
      <c r="T821">
        <v>165</v>
      </c>
      <c r="U821">
        <f t="shared" si="90"/>
        <v>0</v>
      </c>
    </row>
    <row r="822" spans="1:21" ht="14.25" customHeight="1" x14ac:dyDescent="0.35">
      <c r="A822" s="6" t="s">
        <v>2222</v>
      </c>
      <c r="B822" s="6" t="s">
        <v>2223</v>
      </c>
      <c r="C822" s="6" t="s">
        <v>2224</v>
      </c>
      <c r="D822" s="6" t="s">
        <v>1687</v>
      </c>
      <c r="E822" s="7" t="s">
        <v>23</v>
      </c>
      <c r="F822" s="6">
        <v>85737</v>
      </c>
      <c r="G822" s="6" t="s">
        <v>55</v>
      </c>
      <c r="H822" s="6" t="s">
        <v>56</v>
      </c>
      <c r="I822" s="6" t="s">
        <v>26</v>
      </c>
      <c r="J822" s="6" t="b">
        <v>0</v>
      </c>
      <c r="K822" s="6" t="s">
        <v>27</v>
      </c>
      <c r="L822" s="6">
        <v>0</v>
      </c>
      <c r="M822" s="6">
        <v>165</v>
      </c>
      <c r="N822" s="8" t="str">
        <f t="shared" si="84"/>
        <v>0</v>
      </c>
      <c r="O822" s="8">
        <f t="shared" si="85"/>
        <v>1980</v>
      </c>
      <c r="P822" s="8">
        <f t="shared" si="86"/>
        <v>1980</v>
      </c>
      <c r="Q822" s="8">
        <f t="shared" si="87"/>
        <v>0</v>
      </c>
      <c r="R822" s="9">
        <f t="shared" si="88"/>
        <v>1980</v>
      </c>
      <c r="S822" s="10">
        <f t="shared" si="89"/>
        <v>165</v>
      </c>
      <c r="T822">
        <v>165</v>
      </c>
      <c r="U822">
        <f t="shared" si="90"/>
        <v>0</v>
      </c>
    </row>
    <row r="823" spans="1:21" ht="14.25" customHeight="1" x14ac:dyDescent="0.35">
      <c r="A823" s="6" t="s">
        <v>2225</v>
      </c>
      <c r="B823" s="6" t="s">
        <v>2226</v>
      </c>
      <c r="C823" s="6" t="s">
        <v>2227</v>
      </c>
      <c r="D823" s="6" t="s">
        <v>454</v>
      </c>
      <c r="E823" s="7" t="s">
        <v>23</v>
      </c>
      <c r="F823" s="6">
        <v>85395</v>
      </c>
      <c r="G823" s="6" t="s">
        <v>38</v>
      </c>
      <c r="H823" s="6" t="s">
        <v>378</v>
      </c>
      <c r="I823" s="6" t="s">
        <v>40</v>
      </c>
      <c r="J823" s="6" t="b">
        <v>0</v>
      </c>
      <c r="K823" s="6" t="s">
        <v>27</v>
      </c>
      <c r="L823" s="6">
        <v>0</v>
      </c>
      <c r="M823" s="6">
        <v>165</v>
      </c>
      <c r="N823" s="8" t="str">
        <f t="shared" si="84"/>
        <v>0</v>
      </c>
      <c r="O823" s="8">
        <f t="shared" si="85"/>
        <v>1980</v>
      </c>
      <c r="P823" s="8">
        <f t="shared" si="86"/>
        <v>1980</v>
      </c>
      <c r="Q823" s="8">
        <f t="shared" si="87"/>
        <v>0</v>
      </c>
      <c r="R823" s="9">
        <f t="shared" si="88"/>
        <v>1980</v>
      </c>
      <c r="S823" s="10">
        <f t="shared" si="89"/>
        <v>165</v>
      </c>
      <c r="T823">
        <v>165</v>
      </c>
      <c r="U823">
        <f t="shared" si="90"/>
        <v>0</v>
      </c>
    </row>
    <row r="824" spans="1:21" ht="14.25" customHeight="1" x14ac:dyDescent="0.35">
      <c r="A824" s="6" t="s">
        <v>2228</v>
      </c>
      <c r="B824" s="6" t="s">
        <v>2229</v>
      </c>
      <c r="C824" s="6" t="s">
        <v>2230</v>
      </c>
      <c r="D824" s="6" t="s">
        <v>992</v>
      </c>
      <c r="E824" s="7" t="s">
        <v>23</v>
      </c>
      <c r="F824" s="6">
        <v>85335</v>
      </c>
      <c r="G824" s="6" t="s">
        <v>78</v>
      </c>
      <c r="H824" s="6" t="s">
        <v>281</v>
      </c>
      <c r="I824" s="6" t="s">
        <v>26</v>
      </c>
      <c r="J824" s="6" t="b">
        <v>0</v>
      </c>
      <c r="K824" s="6" t="s">
        <v>27</v>
      </c>
      <c r="L824" s="6">
        <v>0</v>
      </c>
      <c r="M824" s="6">
        <v>165</v>
      </c>
      <c r="N824" s="8" t="str">
        <f t="shared" si="84"/>
        <v>0</v>
      </c>
      <c r="O824" s="8">
        <f t="shared" si="85"/>
        <v>1980</v>
      </c>
      <c r="P824" s="8">
        <f t="shared" si="86"/>
        <v>1980</v>
      </c>
      <c r="Q824" s="8">
        <f t="shared" si="87"/>
        <v>0</v>
      </c>
      <c r="R824" s="9">
        <f t="shared" si="88"/>
        <v>1980</v>
      </c>
      <c r="S824" s="10">
        <f t="shared" si="89"/>
        <v>165</v>
      </c>
      <c r="T824">
        <v>165</v>
      </c>
      <c r="U824">
        <f t="shared" si="90"/>
        <v>0</v>
      </c>
    </row>
    <row r="825" spans="1:21" ht="14.25" customHeight="1" x14ac:dyDescent="0.35">
      <c r="A825" s="6" t="s">
        <v>2231</v>
      </c>
      <c r="B825" s="6" t="s">
        <v>2232</v>
      </c>
      <c r="C825" s="6" t="s">
        <v>2233</v>
      </c>
      <c r="D825" s="6" t="s">
        <v>77</v>
      </c>
      <c r="E825" s="7" t="s">
        <v>23</v>
      </c>
      <c r="F825" s="6">
        <v>85308</v>
      </c>
      <c r="G825" s="6" t="s">
        <v>72</v>
      </c>
      <c r="H825" s="6" t="s">
        <v>93</v>
      </c>
      <c r="J825" s="6" t="b">
        <v>0</v>
      </c>
      <c r="K825" s="6" t="s">
        <v>27</v>
      </c>
      <c r="L825" s="6">
        <v>0</v>
      </c>
      <c r="M825" s="6">
        <v>165</v>
      </c>
      <c r="N825" s="8" t="str">
        <f t="shared" si="84"/>
        <v>0</v>
      </c>
      <c r="O825" s="8">
        <f t="shared" si="85"/>
        <v>1980</v>
      </c>
      <c r="P825" s="8">
        <f t="shared" si="86"/>
        <v>1980</v>
      </c>
      <c r="Q825" s="8">
        <f t="shared" si="87"/>
        <v>0</v>
      </c>
      <c r="R825" s="9">
        <f t="shared" si="88"/>
        <v>1980</v>
      </c>
      <c r="S825" s="10">
        <f t="shared" si="89"/>
        <v>165</v>
      </c>
      <c r="T825">
        <v>165</v>
      </c>
      <c r="U825">
        <f t="shared" si="90"/>
        <v>0</v>
      </c>
    </row>
    <row r="826" spans="1:21" ht="14.25" customHeight="1" x14ac:dyDescent="0.35">
      <c r="A826" s="6" t="s">
        <v>2234</v>
      </c>
      <c r="B826" s="6" t="s">
        <v>2235</v>
      </c>
      <c r="C826" s="6" t="s">
        <v>2236</v>
      </c>
      <c r="D826" s="6" t="s">
        <v>44</v>
      </c>
      <c r="E826" s="7" t="s">
        <v>23</v>
      </c>
      <c r="F826" s="6">
        <v>85085</v>
      </c>
      <c r="G826" s="6" t="s">
        <v>32</v>
      </c>
      <c r="H826" s="6" t="s">
        <v>50</v>
      </c>
      <c r="I826" s="6" t="s">
        <v>40</v>
      </c>
      <c r="J826" s="6" t="b">
        <v>0</v>
      </c>
      <c r="K826" s="6" t="s">
        <v>27</v>
      </c>
      <c r="L826" s="6">
        <v>0</v>
      </c>
      <c r="M826" s="6">
        <v>165</v>
      </c>
      <c r="N826" s="8" t="str">
        <f t="shared" si="84"/>
        <v>0</v>
      </c>
      <c r="O826" s="8">
        <f t="shared" si="85"/>
        <v>1980</v>
      </c>
      <c r="P826" s="8">
        <f t="shared" si="86"/>
        <v>1980</v>
      </c>
      <c r="Q826" s="8">
        <f t="shared" si="87"/>
        <v>0</v>
      </c>
      <c r="R826" s="9">
        <f t="shared" si="88"/>
        <v>1980</v>
      </c>
      <c r="S826" s="10">
        <f t="shared" si="89"/>
        <v>165</v>
      </c>
      <c r="T826">
        <v>165</v>
      </c>
      <c r="U826">
        <f t="shared" si="90"/>
        <v>0</v>
      </c>
    </row>
    <row r="827" spans="1:21" ht="14.25" customHeight="1" x14ac:dyDescent="0.35">
      <c r="A827" s="6" t="s">
        <v>2237</v>
      </c>
      <c r="B827" s="6" t="s">
        <v>2238</v>
      </c>
      <c r="C827" s="6" t="s">
        <v>2239</v>
      </c>
      <c r="D827" s="6" t="s">
        <v>98</v>
      </c>
      <c r="E827" s="7" t="s">
        <v>23</v>
      </c>
      <c r="F827" s="6">
        <v>85122</v>
      </c>
      <c r="G827" s="6" t="s">
        <v>87</v>
      </c>
      <c r="H827" s="6" t="s">
        <v>99</v>
      </c>
      <c r="I827" s="6" t="s">
        <v>61</v>
      </c>
      <c r="J827" s="6" t="b">
        <v>0</v>
      </c>
      <c r="K827" s="6" t="s">
        <v>27</v>
      </c>
      <c r="L827" s="6">
        <v>0</v>
      </c>
      <c r="M827" s="6">
        <v>165</v>
      </c>
      <c r="N827" s="8" t="str">
        <f t="shared" si="84"/>
        <v>0</v>
      </c>
      <c r="O827" s="8">
        <f t="shared" si="85"/>
        <v>1980</v>
      </c>
      <c r="P827" s="8">
        <f t="shared" si="86"/>
        <v>1980</v>
      </c>
      <c r="Q827" s="8">
        <f t="shared" si="87"/>
        <v>0</v>
      </c>
      <c r="R827" s="9">
        <f t="shared" si="88"/>
        <v>1980</v>
      </c>
      <c r="S827" s="10">
        <f t="shared" si="89"/>
        <v>165</v>
      </c>
      <c r="T827">
        <v>165</v>
      </c>
      <c r="U827">
        <f t="shared" si="90"/>
        <v>0</v>
      </c>
    </row>
    <row r="828" spans="1:21" ht="14.25" customHeight="1" x14ac:dyDescent="0.35">
      <c r="A828" s="6" t="s">
        <v>2240</v>
      </c>
      <c r="B828" s="6" t="s">
        <v>2241</v>
      </c>
      <c r="C828" s="6" t="s">
        <v>2242</v>
      </c>
      <c r="D828" s="6" t="s">
        <v>454</v>
      </c>
      <c r="E828" s="7" t="s">
        <v>23</v>
      </c>
      <c r="F828" s="6">
        <v>85395</v>
      </c>
      <c r="G828" s="6" t="s">
        <v>38</v>
      </c>
      <c r="H828" s="6" t="s">
        <v>378</v>
      </c>
      <c r="I828" s="6" t="s">
        <v>26</v>
      </c>
      <c r="J828" s="6" t="b">
        <v>0</v>
      </c>
      <c r="K828" s="6" t="s">
        <v>27</v>
      </c>
      <c r="L828" s="6">
        <v>0</v>
      </c>
      <c r="M828" s="6">
        <v>165</v>
      </c>
      <c r="N828" s="8" t="str">
        <f t="shared" si="84"/>
        <v>0</v>
      </c>
      <c r="O828" s="8">
        <f t="shared" si="85"/>
        <v>1980</v>
      </c>
      <c r="P828" s="8">
        <f t="shared" si="86"/>
        <v>1980</v>
      </c>
      <c r="Q828" s="8">
        <f t="shared" si="87"/>
        <v>0</v>
      </c>
      <c r="R828" s="9">
        <f t="shared" si="88"/>
        <v>1980</v>
      </c>
      <c r="S828" s="10">
        <f t="shared" si="89"/>
        <v>165</v>
      </c>
      <c r="T828">
        <v>165</v>
      </c>
      <c r="U828">
        <f t="shared" si="90"/>
        <v>0</v>
      </c>
    </row>
    <row r="829" spans="1:21" ht="14.25" customHeight="1" x14ac:dyDescent="0.35">
      <c r="A829" s="6" t="s">
        <v>2243</v>
      </c>
      <c r="B829" s="6" t="s">
        <v>2244</v>
      </c>
      <c r="C829" s="6" t="s">
        <v>2245</v>
      </c>
      <c r="D829" s="6" t="s">
        <v>65</v>
      </c>
      <c r="E829" s="7" t="s">
        <v>23</v>
      </c>
      <c r="F829" s="6">
        <v>85213</v>
      </c>
      <c r="G829" s="6" t="s">
        <v>66</v>
      </c>
      <c r="H829" s="6" t="s">
        <v>67</v>
      </c>
      <c r="I829" s="6" t="s">
        <v>110</v>
      </c>
      <c r="J829" s="6" t="b">
        <v>0</v>
      </c>
      <c r="K829" s="6" t="s">
        <v>27</v>
      </c>
      <c r="L829" s="6">
        <v>0</v>
      </c>
      <c r="M829" s="6">
        <v>165</v>
      </c>
      <c r="N829" s="8" t="str">
        <f t="shared" si="84"/>
        <v>0</v>
      </c>
      <c r="O829" s="8">
        <f t="shared" si="85"/>
        <v>1980</v>
      </c>
      <c r="P829" s="8">
        <f t="shared" si="86"/>
        <v>1980</v>
      </c>
      <c r="Q829" s="8">
        <f t="shared" si="87"/>
        <v>0</v>
      </c>
      <c r="R829" s="9">
        <f t="shared" si="88"/>
        <v>1980</v>
      </c>
      <c r="S829" s="10">
        <f t="shared" si="89"/>
        <v>165</v>
      </c>
      <c r="T829">
        <v>165</v>
      </c>
      <c r="U829">
        <f t="shared" si="90"/>
        <v>0</v>
      </c>
    </row>
    <row r="830" spans="1:21" ht="14.25" customHeight="1" x14ac:dyDescent="0.35">
      <c r="A830" s="6" t="s">
        <v>2246</v>
      </c>
      <c r="B830" s="6" t="s">
        <v>2247</v>
      </c>
      <c r="C830" s="6" t="s">
        <v>2248</v>
      </c>
      <c r="D830" s="6" t="s">
        <v>165</v>
      </c>
      <c r="E830" s="7" t="s">
        <v>23</v>
      </c>
      <c r="F830" s="6">
        <v>85296</v>
      </c>
      <c r="G830" s="6" t="s">
        <v>125</v>
      </c>
      <c r="H830" s="6" t="s">
        <v>180</v>
      </c>
      <c r="I830" s="6" t="s">
        <v>57</v>
      </c>
      <c r="J830" s="6" t="b">
        <v>0</v>
      </c>
      <c r="K830" s="6" t="s">
        <v>27</v>
      </c>
      <c r="L830" s="6">
        <v>0</v>
      </c>
      <c r="M830" s="6">
        <v>165</v>
      </c>
      <c r="N830" s="8" t="str">
        <f t="shared" si="84"/>
        <v>0</v>
      </c>
      <c r="O830" s="8">
        <f t="shared" si="85"/>
        <v>1980</v>
      </c>
      <c r="P830" s="8">
        <f t="shared" si="86"/>
        <v>1980</v>
      </c>
      <c r="Q830" s="8">
        <f t="shared" si="87"/>
        <v>0</v>
      </c>
      <c r="R830" s="9">
        <f t="shared" si="88"/>
        <v>1980</v>
      </c>
      <c r="S830" s="10">
        <f t="shared" si="89"/>
        <v>165</v>
      </c>
      <c r="T830">
        <v>165</v>
      </c>
      <c r="U830">
        <f t="shared" si="90"/>
        <v>0</v>
      </c>
    </row>
    <row r="831" spans="1:21" ht="14.25" customHeight="1" x14ac:dyDescent="0.35">
      <c r="A831" s="6" t="s">
        <v>2249</v>
      </c>
      <c r="B831" s="6" t="s">
        <v>2250</v>
      </c>
      <c r="C831" s="6" t="s">
        <v>2251</v>
      </c>
      <c r="D831" s="6" t="s">
        <v>1627</v>
      </c>
      <c r="E831" s="7" t="s">
        <v>23</v>
      </c>
      <c r="F831" s="6">
        <v>85131</v>
      </c>
      <c r="G831" s="6" t="s">
        <v>87</v>
      </c>
      <c r="H831" s="6" t="s">
        <v>88</v>
      </c>
      <c r="I831" s="6" t="s">
        <v>40</v>
      </c>
      <c r="J831" s="6" t="b">
        <v>0</v>
      </c>
      <c r="K831" s="6" t="s">
        <v>27</v>
      </c>
      <c r="L831" s="6">
        <v>0</v>
      </c>
      <c r="M831" s="6">
        <v>165</v>
      </c>
      <c r="N831" s="8" t="str">
        <f t="shared" si="84"/>
        <v>0</v>
      </c>
      <c r="O831" s="8">
        <f t="shared" si="85"/>
        <v>1980</v>
      </c>
      <c r="P831" s="8">
        <f t="shared" si="86"/>
        <v>1980</v>
      </c>
      <c r="Q831" s="8">
        <f t="shared" si="87"/>
        <v>0</v>
      </c>
      <c r="R831" s="9">
        <f t="shared" si="88"/>
        <v>1980</v>
      </c>
      <c r="S831" s="10">
        <f t="shared" si="89"/>
        <v>165</v>
      </c>
      <c r="T831">
        <v>165</v>
      </c>
      <c r="U831">
        <f t="shared" si="90"/>
        <v>0</v>
      </c>
    </row>
    <row r="832" spans="1:21" ht="14.25" customHeight="1" x14ac:dyDescent="0.35">
      <c r="A832" s="6" t="s">
        <v>2252</v>
      </c>
      <c r="B832" s="6" t="s">
        <v>2253</v>
      </c>
      <c r="C832" s="6" t="s">
        <v>2254</v>
      </c>
      <c r="D832" s="6" t="s">
        <v>363</v>
      </c>
      <c r="E832" s="7" t="s">
        <v>23</v>
      </c>
      <c r="F832" s="6">
        <v>85282</v>
      </c>
      <c r="G832" s="6" t="s">
        <v>364</v>
      </c>
      <c r="H832" s="6" t="s">
        <v>365</v>
      </c>
      <c r="J832" s="6" t="b">
        <v>0</v>
      </c>
      <c r="K832" s="6" t="s">
        <v>27</v>
      </c>
      <c r="L832" s="6">
        <v>0</v>
      </c>
      <c r="M832" s="6">
        <v>165</v>
      </c>
      <c r="N832" s="8" t="str">
        <f t="shared" si="84"/>
        <v>0</v>
      </c>
      <c r="O832" s="8">
        <f t="shared" si="85"/>
        <v>1980</v>
      </c>
      <c r="P832" s="8">
        <f t="shared" si="86"/>
        <v>1980</v>
      </c>
      <c r="Q832" s="8">
        <f t="shared" si="87"/>
        <v>0</v>
      </c>
      <c r="R832" s="9">
        <f t="shared" si="88"/>
        <v>1980</v>
      </c>
      <c r="S832" s="10">
        <f t="shared" si="89"/>
        <v>165</v>
      </c>
      <c r="T832">
        <v>165</v>
      </c>
      <c r="U832">
        <f t="shared" si="90"/>
        <v>0</v>
      </c>
    </row>
    <row r="833" spans="1:21" ht="14.25" customHeight="1" x14ac:dyDescent="0.35">
      <c r="A833" s="6" t="s">
        <v>2255</v>
      </c>
      <c r="B833" s="6" t="s">
        <v>2256</v>
      </c>
      <c r="C833" s="6" t="s">
        <v>2257</v>
      </c>
      <c r="D833" s="6" t="s">
        <v>77</v>
      </c>
      <c r="E833" s="7" t="s">
        <v>23</v>
      </c>
      <c r="F833" s="6">
        <v>85308</v>
      </c>
      <c r="G833" s="6" t="s">
        <v>78</v>
      </c>
      <c r="H833" s="6" t="s">
        <v>93</v>
      </c>
      <c r="I833" s="6" t="s">
        <v>26</v>
      </c>
      <c r="J833" s="6" t="b">
        <v>0</v>
      </c>
      <c r="K833" s="6" t="s">
        <v>27</v>
      </c>
      <c r="L833" s="6">
        <v>0</v>
      </c>
      <c r="M833" s="6">
        <v>165</v>
      </c>
      <c r="N833" s="8" t="str">
        <f t="shared" si="84"/>
        <v>0</v>
      </c>
      <c r="O833" s="8">
        <f t="shared" si="85"/>
        <v>1980</v>
      </c>
      <c r="P833" s="8">
        <f t="shared" si="86"/>
        <v>1980</v>
      </c>
      <c r="Q833" s="8">
        <f t="shared" si="87"/>
        <v>0</v>
      </c>
      <c r="R833" s="9">
        <f t="shared" si="88"/>
        <v>1980</v>
      </c>
      <c r="S833" s="10">
        <f t="shared" si="89"/>
        <v>165</v>
      </c>
      <c r="T833">
        <v>165</v>
      </c>
      <c r="U833">
        <f t="shared" si="90"/>
        <v>0</v>
      </c>
    </row>
    <row r="834" spans="1:21" ht="14.25" customHeight="1" x14ac:dyDescent="0.35">
      <c r="A834" s="6" t="s">
        <v>2258</v>
      </c>
      <c r="B834" s="6" t="s">
        <v>2259</v>
      </c>
      <c r="C834" s="6" t="s">
        <v>2260</v>
      </c>
      <c r="D834" s="6" t="s">
        <v>44</v>
      </c>
      <c r="E834" s="7" t="s">
        <v>23</v>
      </c>
      <c r="F834" s="6">
        <v>85015</v>
      </c>
      <c r="G834" s="6" t="s">
        <v>213</v>
      </c>
      <c r="H834" s="6" t="s">
        <v>202</v>
      </c>
      <c r="I834" s="6" t="s">
        <v>26</v>
      </c>
      <c r="J834" s="6" t="b">
        <v>0</v>
      </c>
      <c r="K834" s="6" t="s">
        <v>27</v>
      </c>
      <c r="L834" s="6">
        <v>0</v>
      </c>
      <c r="M834" s="6">
        <v>165</v>
      </c>
      <c r="N834" s="8" t="str">
        <f t="shared" ref="N834:N897" si="91">IF(J834=TRUE, 6.39*12, "0")</f>
        <v>0</v>
      </c>
      <c r="O834" s="8">
        <f t="shared" ref="O834:O897" si="92">L834+(M834*12)+N834</f>
        <v>1980</v>
      </c>
      <c r="P834" s="8">
        <f t="shared" ref="P834:P897" si="93">IF(OR(K834="Check",K834="ACH"), O834*0.97, O834)</f>
        <v>1980</v>
      </c>
      <c r="Q834" s="8">
        <f t="shared" ref="Q834:Q897" si="94">P834-O834</f>
        <v>0</v>
      </c>
      <c r="R834" s="9">
        <f t="shared" ref="R834:R897" si="95">O834-Q834</f>
        <v>1980</v>
      </c>
      <c r="S834" s="10">
        <f t="shared" ref="S834:S897" si="96">R834/12</f>
        <v>165</v>
      </c>
      <c r="T834">
        <v>165</v>
      </c>
      <c r="U834">
        <f t="shared" si="90"/>
        <v>0</v>
      </c>
    </row>
    <row r="835" spans="1:21" ht="14.25" customHeight="1" x14ac:dyDescent="0.35">
      <c r="A835" s="6" t="s">
        <v>2261</v>
      </c>
      <c r="B835" s="6" t="s">
        <v>2262</v>
      </c>
      <c r="C835" s="6" t="s">
        <v>2263</v>
      </c>
      <c r="D835" s="6" t="s">
        <v>363</v>
      </c>
      <c r="E835" s="7" t="s">
        <v>23</v>
      </c>
      <c r="F835" s="6">
        <v>85282</v>
      </c>
      <c r="G835" s="6" t="s">
        <v>364</v>
      </c>
      <c r="H835" s="6" t="s">
        <v>365</v>
      </c>
      <c r="I835" s="6" t="s">
        <v>26</v>
      </c>
      <c r="J835" s="6" t="b">
        <v>0</v>
      </c>
      <c r="K835" s="6" t="s">
        <v>27</v>
      </c>
      <c r="L835" s="6">
        <v>0</v>
      </c>
      <c r="M835" s="6">
        <v>165</v>
      </c>
      <c r="N835" s="8" t="str">
        <f t="shared" si="91"/>
        <v>0</v>
      </c>
      <c r="O835" s="8">
        <f t="shared" si="92"/>
        <v>1980</v>
      </c>
      <c r="P835" s="8">
        <f t="shared" si="93"/>
        <v>1980</v>
      </c>
      <c r="Q835" s="8">
        <f t="shared" si="94"/>
        <v>0</v>
      </c>
      <c r="R835" s="9">
        <f t="shared" si="95"/>
        <v>1980</v>
      </c>
      <c r="S835" s="10">
        <f t="shared" si="96"/>
        <v>165</v>
      </c>
      <c r="T835">
        <v>165</v>
      </c>
      <c r="U835">
        <f t="shared" si="90"/>
        <v>0</v>
      </c>
    </row>
    <row r="836" spans="1:21" ht="14.25" customHeight="1" x14ac:dyDescent="0.35">
      <c r="A836" s="6" t="s">
        <v>2264</v>
      </c>
      <c r="B836" s="6" t="s">
        <v>2265</v>
      </c>
      <c r="C836" s="6" t="s">
        <v>2266</v>
      </c>
      <c r="D836" s="6" t="s">
        <v>44</v>
      </c>
      <c r="E836" s="7" t="s">
        <v>23</v>
      </c>
      <c r="F836" s="6">
        <v>85020</v>
      </c>
      <c r="G836" s="6" t="s">
        <v>173</v>
      </c>
      <c r="H836" s="6" t="s">
        <v>79</v>
      </c>
      <c r="I836" s="6" t="s">
        <v>26</v>
      </c>
      <c r="J836" s="6" t="b">
        <v>0</v>
      </c>
      <c r="K836" s="6" t="s">
        <v>27</v>
      </c>
      <c r="L836" s="6">
        <v>0</v>
      </c>
      <c r="M836" s="6">
        <v>165</v>
      </c>
      <c r="N836" s="8" t="str">
        <f t="shared" si="91"/>
        <v>0</v>
      </c>
      <c r="O836" s="8">
        <f t="shared" si="92"/>
        <v>1980</v>
      </c>
      <c r="P836" s="8">
        <f t="shared" si="93"/>
        <v>1980</v>
      </c>
      <c r="Q836" s="8">
        <f t="shared" si="94"/>
        <v>0</v>
      </c>
      <c r="R836" s="9">
        <f t="shared" si="95"/>
        <v>1980</v>
      </c>
      <c r="S836" s="10">
        <f t="shared" si="96"/>
        <v>165</v>
      </c>
      <c r="T836">
        <v>165</v>
      </c>
      <c r="U836">
        <f t="shared" ref="U836:U899" si="97">SUM(T836-M836)</f>
        <v>0</v>
      </c>
    </row>
    <row r="837" spans="1:21" ht="14.25" customHeight="1" x14ac:dyDescent="0.35">
      <c r="A837" s="6" t="s">
        <v>2267</v>
      </c>
      <c r="B837" s="6" t="s">
        <v>2268</v>
      </c>
      <c r="C837" s="6" t="s">
        <v>2269</v>
      </c>
      <c r="D837" s="6" t="s">
        <v>65</v>
      </c>
      <c r="E837" s="7" t="s">
        <v>23</v>
      </c>
      <c r="F837" s="6">
        <v>85212</v>
      </c>
      <c r="G837" s="6" t="s">
        <v>125</v>
      </c>
      <c r="H837" s="6" t="s">
        <v>180</v>
      </c>
      <c r="I837" s="6" t="s">
        <v>26</v>
      </c>
      <c r="J837" s="6" t="b">
        <v>0</v>
      </c>
      <c r="K837" s="6" t="s">
        <v>27</v>
      </c>
      <c r="L837" s="6">
        <v>0</v>
      </c>
      <c r="M837" s="6">
        <v>165</v>
      </c>
      <c r="N837" s="8" t="str">
        <f t="shared" si="91"/>
        <v>0</v>
      </c>
      <c r="O837" s="8">
        <f t="shared" si="92"/>
        <v>1980</v>
      </c>
      <c r="P837" s="8">
        <f t="shared" si="93"/>
        <v>1980</v>
      </c>
      <c r="Q837" s="8">
        <f t="shared" si="94"/>
        <v>0</v>
      </c>
      <c r="R837" s="9">
        <f t="shared" si="95"/>
        <v>1980</v>
      </c>
      <c r="S837" s="10">
        <f t="shared" si="96"/>
        <v>165</v>
      </c>
      <c r="T837">
        <v>165</v>
      </c>
      <c r="U837">
        <f t="shared" si="97"/>
        <v>0</v>
      </c>
    </row>
    <row r="838" spans="1:21" ht="14.25" customHeight="1" x14ac:dyDescent="0.35">
      <c r="A838" s="6" t="s">
        <v>2270</v>
      </c>
      <c r="B838" s="6" t="s">
        <v>2271</v>
      </c>
      <c r="C838" s="6" t="s">
        <v>2272</v>
      </c>
      <c r="D838" s="6" t="s">
        <v>37</v>
      </c>
      <c r="E838" s="7" t="s">
        <v>23</v>
      </c>
      <c r="F838" s="6">
        <v>85323</v>
      </c>
      <c r="G838" s="6" t="s">
        <v>38</v>
      </c>
      <c r="H838" s="6" t="s">
        <v>378</v>
      </c>
      <c r="I838" s="6" t="s">
        <v>61</v>
      </c>
      <c r="J838" s="6" t="b">
        <v>0</v>
      </c>
      <c r="K838" s="6" t="s">
        <v>27</v>
      </c>
      <c r="L838" s="6">
        <v>0</v>
      </c>
      <c r="M838" s="6">
        <v>165</v>
      </c>
      <c r="N838" s="8" t="str">
        <f t="shared" si="91"/>
        <v>0</v>
      </c>
      <c r="O838" s="8">
        <f t="shared" si="92"/>
        <v>1980</v>
      </c>
      <c r="P838" s="8">
        <f t="shared" si="93"/>
        <v>1980</v>
      </c>
      <c r="Q838" s="8">
        <f t="shared" si="94"/>
        <v>0</v>
      </c>
      <c r="R838" s="9">
        <f t="shared" si="95"/>
        <v>1980</v>
      </c>
      <c r="S838" s="10">
        <f t="shared" si="96"/>
        <v>165</v>
      </c>
      <c r="T838">
        <v>165</v>
      </c>
      <c r="U838">
        <f t="shared" si="97"/>
        <v>0</v>
      </c>
    </row>
    <row r="839" spans="1:21" ht="14.25" customHeight="1" x14ac:dyDescent="0.35">
      <c r="A839" s="6" t="s">
        <v>2273</v>
      </c>
      <c r="B839" s="6" t="s">
        <v>2274</v>
      </c>
      <c r="C839" s="6" t="s">
        <v>2275</v>
      </c>
      <c r="D839" s="6" t="s">
        <v>31</v>
      </c>
      <c r="E839" s="7" t="s">
        <v>23</v>
      </c>
      <c r="F839" s="6">
        <v>85254</v>
      </c>
      <c r="G839" s="6" t="s">
        <v>45</v>
      </c>
      <c r="H839" s="6" t="s">
        <v>169</v>
      </c>
      <c r="I839" s="6" t="s">
        <v>26</v>
      </c>
      <c r="J839" s="6" t="b">
        <v>0</v>
      </c>
      <c r="K839" s="6" t="s">
        <v>27</v>
      </c>
      <c r="L839" s="6">
        <v>0</v>
      </c>
      <c r="M839" s="6">
        <v>165</v>
      </c>
      <c r="N839" s="8" t="str">
        <f t="shared" si="91"/>
        <v>0</v>
      </c>
      <c r="O839" s="8">
        <f t="shared" si="92"/>
        <v>1980</v>
      </c>
      <c r="P839" s="8">
        <f t="shared" si="93"/>
        <v>1980</v>
      </c>
      <c r="Q839" s="8">
        <f t="shared" si="94"/>
        <v>0</v>
      </c>
      <c r="R839" s="9">
        <f t="shared" si="95"/>
        <v>1980</v>
      </c>
      <c r="S839" s="10">
        <f t="shared" si="96"/>
        <v>165</v>
      </c>
      <c r="T839">
        <v>165</v>
      </c>
      <c r="U839">
        <f t="shared" si="97"/>
        <v>0</v>
      </c>
    </row>
    <row r="840" spans="1:21" ht="14.25" customHeight="1" x14ac:dyDescent="0.35">
      <c r="A840" s="6" t="s">
        <v>2276</v>
      </c>
      <c r="B840" s="6" t="s">
        <v>2277</v>
      </c>
      <c r="C840" s="6" t="s">
        <v>2278</v>
      </c>
      <c r="D840" s="6" t="s">
        <v>248</v>
      </c>
      <c r="E840" s="7" t="s">
        <v>23</v>
      </c>
      <c r="F840" s="6">
        <v>85339</v>
      </c>
      <c r="G840" s="6" t="s">
        <v>213</v>
      </c>
      <c r="H840" s="6" t="s">
        <v>39</v>
      </c>
      <c r="J840" s="6" t="b">
        <v>0</v>
      </c>
      <c r="K840" s="6" t="s">
        <v>27</v>
      </c>
      <c r="L840" s="6">
        <v>0</v>
      </c>
      <c r="M840" s="6">
        <v>165</v>
      </c>
      <c r="N840" s="8" t="str">
        <f t="shared" si="91"/>
        <v>0</v>
      </c>
      <c r="O840" s="8">
        <f t="shared" si="92"/>
        <v>1980</v>
      </c>
      <c r="P840" s="8">
        <f t="shared" si="93"/>
        <v>1980</v>
      </c>
      <c r="Q840" s="8">
        <f t="shared" si="94"/>
        <v>0</v>
      </c>
      <c r="R840" s="9">
        <f t="shared" si="95"/>
        <v>1980</v>
      </c>
      <c r="S840" s="10">
        <f t="shared" si="96"/>
        <v>165</v>
      </c>
      <c r="T840">
        <v>165</v>
      </c>
      <c r="U840">
        <f t="shared" si="97"/>
        <v>0</v>
      </c>
    </row>
    <row r="841" spans="1:21" ht="14.25" customHeight="1" x14ac:dyDescent="0.35">
      <c r="A841" s="6" t="s">
        <v>2279</v>
      </c>
      <c r="B841" s="6" t="s">
        <v>2280</v>
      </c>
      <c r="C841" s="6" t="s">
        <v>2281</v>
      </c>
      <c r="D841" s="6" t="s">
        <v>44</v>
      </c>
      <c r="E841" s="7" t="s">
        <v>23</v>
      </c>
      <c r="F841" s="6">
        <v>85032</v>
      </c>
      <c r="G841" s="6" t="s">
        <v>45</v>
      </c>
      <c r="H841" s="6" t="s">
        <v>169</v>
      </c>
      <c r="I841" s="6" t="s">
        <v>26</v>
      </c>
      <c r="J841" s="6" t="b">
        <v>0</v>
      </c>
      <c r="K841" s="6" t="s">
        <v>27</v>
      </c>
      <c r="L841" s="6">
        <v>0</v>
      </c>
      <c r="M841" s="6">
        <v>165</v>
      </c>
      <c r="N841" s="8" t="str">
        <f t="shared" si="91"/>
        <v>0</v>
      </c>
      <c r="O841" s="8">
        <f t="shared" si="92"/>
        <v>1980</v>
      </c>
      <c r="P841" s="8">
        <f t="shared" si="93"/>
        <v>1980</v>
      </c>
      <c r="Q841" s="8">
        <f t="shared" si="94"/>
        <v>0</v>
      </c>
      <c r="R841" s="9">
        <f t="shared" si="95"/>
        <v>1980</v>
      </c>
      <c r="S841" s="10">
        <f t="shared" si="96"/>
        <v>165</v>
      </c>
      <c r="T841">
        <v>165</v>
      </c>
      <c r="U841">
        <f t="shared" si="97"/>
        <v>0</v>
      </c>
    </row>
    <row r="842" spans="1:21" ht="14.25" customHeight="1" x14ac:dyDescent="0.35">
      <c r="A842" s="6" t="s">
        <v>2282</v>
      </c>
      <c r="B842" s="6" t="s">
        <v>2283</v>
      </c>
      <c r="C842" s="6" t="s">
        <v>2284</v>
      </c>
      <c r="D842" s="6" t="s">
        <v>77</v>
      </c>
      <c r="E842" s="7" t="s">
        <v>23</v>
      </c>
      <c r="F842" s="6">
        <v>85308</v>
      </c>
      <c r="G842" s="6" t="s">
        <v>78</v>
      </c>
      <c r="H842" s="6" t="s">
        <v>281</v>
      </c>
      <c r="J842" s="6" t="b">
        <v>0</v>
      </c>
      <c r="K842" s="6" t="s">
        <v>27</v>
      </c>
      <c r="L842" s="6">
        <v>0</v>
      </c>
      <c r="M842" s="6">
        <v>165</v>
      </c>
      <c r="N842" s="8" t="str">
        <f t="shared" si="91"/>
        <v>0</v>
      </c>
      <c r="O842" s="8">
        <f t="shared" si="92"/>
        <v>1980</v>
      </c>
      <c r="P842" s="8">
        <f t="shared" si="93"/>
        <v>1980</v>
      </c>
      <c r="Q842" s="8">
        <f t="shared" si="94"/>
        <v>0</v>
      </c>
      <c r="R842" s="9">
        <f t="shared" si="95"/>
        <v>1980</v>
      </c>
      <c r="S842" s="10">
        <f t="shared" si="96"/>
        <v>165</v>
      </c>
      <c r="T842">
        <v>165</v>
      </c>
      <c r="U842">
        <f t="shared" si="97"/>
        <v>0</v>
      </c>
    </row>
    <row r="843" spans="1:21" ht="14.25" customHeight="1" x14ac:dyDescent="0.35">
      <c r="A843" s="6" t="s">
        <v>2285</v>
      </c>
      <c r="B843" s="6" t="s">
        <v>2286</v>
      </c>
      <c r="C843" s="6" t="s">
        <v>2287</v>
      </c>
      <c r="D843" s="6" t="s">
        <v>31</v>
      </c>
      <c r="E843" s="7" t="s">
        <v>23</v>
      </c>
      <c r="F843" s="6">
        <v>85260</v>
      </c>
      <c r="G843" s="6" t="s">
        <v>45</v>
      </c>
      <c r="H843" s="6" t="s">
        <v>169</v>
      </c>
      <c r="I843" s="6" t="s">
        <v>26</v>
      </c>
      <c r="J843" s="6" t="b">
        <v>0</v>
      </c>
      <c r="K843" s="6" t="s">
        <v>27</v>
      </c>
      <c r="L843" s="6">
        <v>0</v>
      </c>
      <c r="M843" s="6">
        <v>165</v>
      </c>
      <c r="N843" s="8" t="str">
        <f t="shared" si="91"/>
        <v>0</v>
      </c>
      <c r="O843" s="8">
        <f t="shared" si="92"/>
        <v>1980</v>
      </c>
      <c r="P843" s="8">
        <f t="shared" si="93"/>
        <v>1980</v>
      </c>
      <c r="Q843" s="8">
        <f t="shared" si="94"/>
        <v>0</v>
      </c>
      <c r="R843" s="9">
        <f t="shared" si="95"/>
        <v>1980</v>
      </c>
      <c r="S843" s="10">
        <f t="shared" si="96"/>
        <v>165</v>
      </c>
      <c r="T843">
        <v>165</v>
      </c>
      <c r="U843">
        <f t="shared" si="97"/>
        <v>0</v>
      </c>
    </row>
    <row r="844" spans="1:21" ht="14.25" customHeight="1" x14ac:dyDescent="0.35">
      <c r="A844" s="6" t="s">
        <v>2288</v>
      </c>
      <c r="B844" s="6" t="s">
        <v>2289</v>
      </c>
      <c r="C844" s="6" t="s">
        <v>2290</v>
      </c>
      <c r="D844" s="6" t="s">
        <v>65</v>
      </c>
      <c r="E844" s="7" t="s">
        <v>23</v>
      </c>
      <c r="F844" s="6">
        <v>85213</v>
      </c>
      <c r="G844" s="6" t="s">
        <v>66</v>
      </c>
      <c r="H844" s="6" t="s">
        <v>1047</v>
      </c>
      <c r="I844" s="6" t="s">
        <v>61</v>
      </c>
      <c r="J844" s="6" t="b">
        <v>0</v>
      </c>
      <c r="K844" s="6" t="s">
        <v>27</v>
      </c>
      <c r="L844" s="6">
        <v>0</v>
      </c>
      <c r="M844" s="6">
        <v>165</v>
      </c>
      <c r="N844" s="8" t="str">
        <f t="shared" si="91"/>
        <v>0</v>
      </c>
      <c r="O844" s="8">
        <f t="shared" si="92"/>
        <v>1980</v>
      </c>
      <c r="P844" s="8">
        <f t="shared" si="93"/>
        <v>1980</v>
      </c>
      <c r="Q844" s="8">
        <f t="shared" si="94"/>
        <v>0</v>
      </c>
      <c r="R844" s="9">
        <f t="shared" si="95"/>
        <v>1980</v>
      </c>
      <c r="S844" s="10">
        <f t="shared" si="96"/>
        <v>165</v>
      </c>
      <c r="T844">
        <v>165</v>
      </c>
      <c r="U844">
        <f t="shared" si="97"/>
        <v>0</v>
      </c>
    </row>
    <row r="845" spans="1:21" ht="14.25" customHeight="1" x14ac:dyDescent="0.35">
      <c r="A845" s="6" t="s">
        <v>2291</v>
      </c>
      <c r="B845" s="6" t="s">
        <v>2292</v>
      </c>
      <c r="C845" s="6" t="s">
        <v>2293</v>
      </c>
      <c r="D845" s="6" t="s">
        <v>44</v>
      </c>
      <c r="E845" s="7" t="s">
        <v>23</v>
      </c>
      <c r="F845" s="6">
        <v>85022</v>
      </c>
      <c r="G845" s="6" t="s">
        <v>173</v>
      </c>
      <c r="H845" s="6" t="s">
        <v>79</v>
      </c>
      <c r="I845" s="6" t="s">
        <v>26</v>
      </c>
      <c r="J845" s="6" t="b">
        <v>0</v>
      </c>
      <c r="K845" s="6" t="s">
        <v>27</v>
      </c>
      <c r="L845" s="6">
        <v>0</v>
      </c>
      <c r="M845" s="6">
        <v>165</v>
      </c>
      <c r="N845" s="8" t="str">
        <f t="shared" si="91"/>
        <v>0</v>
      </c>
      <c r="O845" s="8">
        <f t="shared" si="92"/>
        <v>1980</v>
      </c>
      <c r="P845" s="8">
        <f t="shared" si="93"/>
        <v>1980</v>
      </c>
      <c r="Q845" s="8">
        <f t="shared" si="94"/>
        <v>0</v>
      </c>
      <c r="R845" s="9">
        <f t="shared" si="95"/>
        <v>1980</v>
      </c>
      <c r="S845" s="10">
        <f t="shared" si="96"/>
        <v>165</v>
      </c>
      <c r="T845">
        <v>165</v>
      </c>
      <c r="U845">
        <f t="shared" si="97"/>
        <v>0</v>
      </c>
    </row>
    <row r="846" spans="1:21" ht="14.25" customHeight="1" x14ac:dyDescent="0.35">
      <c r="A846" s="6" t="s">
        <v>2294</v>
      </c>
      <c r="B846" s="6" t="s">
        <v>2295</v>
      </c>
      <c r="C846" s="6" t="s">
        <v>2296</v>
      </c>
      <c r="D846" s="6" t="s">
        <v>267</v>
      </c>
      <c r="E846" s="7" t="s">
        <v>23</v>
      </c>
      <c r="F846" s="6">
        <v>85379</v>
      </c>
      <c r="G846" s="6" t="s">
        <v>78</v>
      </c>
      <c r="H846" s="6" t="s">
        <v>2297</v>
      </c>
      <c r="I846" s="6" t="s">
        <v>110</v>
      </c>
      <c r="J846" s="6" t="b">
        <v>0</v>
      </c>
      <c r="K846" s="6" t="s">
        <v>27</v>
      </c>
      <c r="L846" s="6">
        <v>0</v>
      </c>
      <c r="M846" s="6">
        <v>165</v>
      </c>
      <c r="N846" s="8" t="str">
        <f t="shared" si="91"/>
        <v>0</v>
      </c>
      <c r="O846" s="8">
        <f t="shared" si="92"/>
        <v>1980</v>
      </c>
      <c r="P846" s="8">
        <f t="shared" si="93"/>
        <v>1980</v>
      </c>
      <c r="Q846" s="8">
        <f t="shared" si="94"/>
        <v>0</v>
      </c>
      <c r="R846" s="9">
        <f t="shared" si="95"/>
        <v>1980</v>
      </c>
      <c r="S846" s="10">
        <f t="shared" si="96"/>
        <v>165</v>
      </c>
      <c r="T846">
        <v>165</v>
      </c>
      <c r="U846">
        <f t="shared" si="97"/>
        <v>0</v>
      </c>
    </row>
    <row r="847" spans="1:21" ht="14.25" customHeight="1" x14ac:dyDescent="0.35">
      <c r="A847" s="6" t="s">
        <v>2298</v>
      </c>
      <c r="B847" s="6" t="s">
        <v>2299</v>
      </c>
      <c r="C847" s="6" t="s">
        <v>2300</v>
      </c>
      <c r="D847" s="6" t="s">
        <v>165</v>
      </c>
      <c r="E847" s="7" t="s">
        <v>23</v>
      </c>
      <c r="F847" s="6">
        <v>85234</v>
      </c>
      <c r="G847" s="6" t="s">
        <v>125</v>
      </c>
      <c r="H847" s="6" t="s">
        <v>225</v>
      </c>
      <c r="I847" s="6" t="s">
        <v>26</v>
      </c>
      <c r="J847" s="6" t="b">
        <v>0</v>
      </c>
      <c r="K847" s="6" t="s">
        <v>27</v>
      </c>
      <c r="L847" s="6">
        <v>0</v>
      </c>
      <c r="M847" s="6">
        <v>165</v>
      </c>
      <c r="N847" s="8" t="str">
        <f t="shared" si="91"/>
        <v>0</v>
      </c>
      <c r="O847" s="8">
        <f t="shared" si="92"/>
        <v>1980</v>
      </c>
      <c r="P847" s="8">
        <f t="shared" si="93"/>
        <v>1980</v>
      </c>
      <c r="Q847" s="8">
        <f t="shared" si="94"/>
        <v>0</v>
      </c>
      <c r="R847" s="9">
        <f t="shared" si="95"/>
        <v>1980</v>
      </c>
      <c r="S847" s="10">
        <f t="shared" si="96"/>
        <v>165</v>
      </c>
      <c r="T847">
        <v>165</v>
      </c>
      <c r="U847">
        <f t="shared" si="97"/>
        <v>0</v>
      </c>
    </row>
    <row r="848" spans="1:21" ht="14.25" customHeight="1" x14ac:dyDescent="0.35">
      <c r="A848" s="6" t="s">
        <v>2301</v>
      </c>
      <c r="B848" s="6" t="s">
        <v>2302</v>
      </c>
      <c r="C848" s="6" t="s">
        <v>2303</v>
      </c>
      <c r="D848" s="6" t="s">
        <v>44</v>
      </c>
      <c r="E848" s="7" t="s">
        <v>23</v>
      </c>
      <c r="F848" s="6">
        <v>85048</v>
      </c>
      <c r="G848" s="6" t="s">
        <v>24</v>
      </c>
      <c r="H848" s="6" t="s">
        <v>161</v>
      </c>
      <c r="I848" s="6" t="s">
        <v>26</v>
      </c>
      <c r="J848" s="6" t="b">
        <v>0</v>
      </c>
      <c r="K848" s="6" t="s">
        <v>27</v>
      </c>
      <c r="L848" s="6">
        <v>0</v>
      </c>
      <c r="M848" s="6">
        <v>165</v>
      </c>
      <c r="N848" s="8" t="str">
        <f t="shared" si="91"/>
        <v>0</v>
      </c>
      <c r="O848" s="8">
        <f t="shared" si="92"/>
        <v>1980</v>
      </c>
      <c r="P848" s="8">
        <f t="shared" si="93"/>
        <v>1980</v>
      </c>
      <c r="Q848" s="8">
        <f t="shared" si="94"/>
        <v>0</v>
      </c>
      <c r="R848" s="9">
        <f t="shared" si="95"/>
        <v>1980</v>
      </c>
      <c r="S848" s="10">
        <f t="shared" si="96"/>
        <v>165</v>
      </c>
      <c r="T848">
        <v>165</v>
      </c>
      <c r="U848">
        <f t="shared" si="97"/>
        <v>0</v>
      </c>
    </row>
    <row r="849" spans="1:21" ht="14.25" customHeight="1" x14ac:dyDescent="0.35">
      <c r="A849" s="6" t="s">
        <v>2304</v>
      </c>
      <c r="B849" s="6" t="s">
        <v>2305</v>
      </c>
      <c r="C849" s="6" t="s">
        <v>2306</v>
      </c>
      <c r="D849" s="6" t="s">
        <v>165</v>
      </c>
      <c r="E849" s="7" t="s">
        <v>23</v>
      </c>
      <c r="F849" s="6">
        <v>85234</v>
      </c>
      <c r="G849" s="6" t="s">
        <v>125</v>
      </c>
      <c r="H849" s="6" t="s">
        <v>225</v>
      </c>
      <c r="I849" s="6" t="s">
        <v>26</v>
      </c>
      <c r="J849" s="6" t="b">
        <v>0</v>
      </c>
      <c r="K849" s="6" t="s">
        <v>27</v>
      </c>
      <c r="L849" s="6">
        <v>0</v>
      </c>
      <c r="M849" s="6">
        <v>165</v>
      </c>
      <c r="N849" s="8" t="str">
        <f t="shared" si="91"/>
        <v>0</v>
      </c>
      <c r="O849" s="8">
        <f t="shared" si="92"/>
        <v>1980</v>
      </c>
      <c r="P849" s="8">
        <f t="shared" si="93"/>
        <v>1980</v>
      </c>
      <c r="Q849" s="8">
        <f t="shared" si="94"/>
        <v>0</v>
      </c>
      <c r="R849" s="9">
        <f t="shared" si="95"/>
        <v>1980</v>
      </c>
      <c r="S849" s="10">
        <f t="shared" si="96"/>
        <v>165</v>
      </c>
      <c r="T849">
        <v>165</v>
      </c>
      <c r="U849">
        <f t="shared" si="97"/>
        <v>0</v>
      </c>
    </row>
    <row r="850" spans="1:21" ht="14.25" customHeight="1" x14ac:dyDescent="0.35">
      <c r="A850" s="6" t="s">
        <v>2307</v>
      </c>
      <c r="B850" s="6" t="s">
        <v>2308</v>
      </c>
      <c r="C850" s="6" t="s">
        <v>2309</v>
      </c>
      <c r="D850" s="6" t="s">
        <v>31</v>
      </c>
      <c r="E850" s="7" t="s">
        <v>23</v>
      </c>
      <c r="F850" s="6">
        <v>85259</v>
      </c>
      <c r="G850" s="6" t="s">
        <v>45</v>
      </c>
      <c r="H850" s="6" t="s">
        <v>169</v>
      </c>
      <c r="I850" s="6" t="s">
        <v>26</v>
      </c>
      <c r="J850" s="6" t="b">
        <v>0</v>
      </c>
      <c r="K850" s="6" t="s">
        <v>27</v>
      </c>
      <c r="L850" s="6">
        <v>0</v>
      </c>
      <c r="M850" s="6">
        <v>165</v>
      </c>
      <c r="N850" s="8" t="str">
        <f t="shared" si="91"/>
        <v>0</v>
      </c>
      <c r="O850" s="8">
        <f t="shared" si="92"/>
        <v>1980</v>
      </c>
      <c r="P850" s="8">
        <f t="shared" si="93"/>
        <v>1980</v>
      </c>
      <c r="Q850" s="8">
        <f t="shared" si="94"/>
        <v>0</v>
      </c>
      <c r="R850" s="9">
        <f t="shared" si="95"/>
        <v>1980</v>
      </c>
      <c r="S850" s="10">
        <f t="shared" si="96"/>
        <v>165</v>
      </c>
      <c r="T850">
        <v>165</v>
      </c>
      <c r="U850">
        <f t="shared" si="97"/>
        <v>0</v>
      </c>
    </row>
    <row r="851" spans="1:21" ht="14.25" customHeight="1" x14ac:dyDescent="0.35">
      <c r="A851" s="6" t="s">
        <v>2310</v>
      </c>
      <c r="B851" s="6" t="s">
        <v>2311</v>
      </c>
      <c r="C851" s="6" t="s">
        <v>2312</v>
      </c>
      <c r="D851" s="6" t="s">
        <v>31</v>
      </c>
      <c r="E851" s="7" t="s">
        <v>23</v>
      </c>
      <c r="F851" s="6">
        <v>85255</v>
      </c>
      <c r="G851" s="6" t="s">
        <v>32</v>
      </c>
      <c r="H851" s="6" t="s">
        <v>33</v>
      </c>
      <c r="I851" s="6" t="s">
        <v>26</v>
      </c>
      <c r="J851" s="6" t="b">
        <v>0</v>
      </c>
      <c r="K851" s="6" t="s">
        <v>27</v>
      </c>
      <c r="L851" s="6">
        <v>0</v>
      </c>
      <c r="M851" s="6">
        <v>165</v>
      </c>
      <c r="N851" s="8" t="str">
        <f t="shared" si="91"/>
        <v>0</v>
      </c>
      <c r="O851" s="8">
        <f t="shared" si="92"/>
        <v>1980</v>
      </c>
      <c r="P851" s="8">
        <f t="shared" si="93"/>
        <v>1980</v>
      </c>
      <c r="Q851" s="8">
        <f t="shared" si="94"/>
        <v>0</v>
      </c>
      <c r="R851" s="9">
        <f t="shared" si="95"/>
        <v>1980</v>
      </c>
      <c r="S851" s="10">
        <f t="shared" si="96"/>
        <v>165</v>
      </c>
      <c r="T851">
        <v>165</v>
      </c>
      <c r="U851">
        <f t="shared" si="97"/>
        <v>0</v>
      </c>
    </row>
    <row r="852" spans="1:21" ht="14.25" customHeight="1" x14ac:dyDescent="0.35">
      <c r="A852" s="6" t="s">
        <v>2313</v>
      </c>
      <c r="B852" s="6" t="s">
        <v>2314</v>
      </c>
      <c r="C852" s="6" t="s">
        <v>2315</v>
      </c>
      <c r="D852" s="6" t="s">
        <v>44</v>
      </c>
      <c r="E852" s="7" t="s">
        <v>23</v>
      </c>
      <c r="F852" s="6">
        <v>85029</v>
      </c>
      <c r="G852" s="6" t="s">
        <v>72</v>
      </c>
      <c r="H852" s="6" t="s">
        <v>93</v>
      </c>
      <c r="J852" s="6" t="b">
        <v>0</v>
      </c>
      <c r="K852" s="6" t="s">
        <v>27</v>
      </c>
      <c r="L852" s="6">
        <v>0</v>
      </c>
      <c r="M852" s="6">
        <v>165</v>
      </c>
      <c r="N852" s="8" t="str">
        <f t="shared" si="91"/>
        <v>0</v>
      </c>
      <c r="O852" s="8">
        <f t="shared" si="92"/>
        <v>1980</v>
      </c>
      <c r="P852" s="8">
        <f t="shared" si="93"/>
        <v>1980</v>
      </c>
      <c r="Q852" s="8">
        <f t="shared" si="94"/>
        <v>0</v>
      </c>
      <c r="R852" s="9">
        <f t="shared" si="95"/>
        <v>1980</v>
      </c>
      <c r="S852" s="10">
        <f t="shared" si="96"/>
        <v>165</v>
      </c>
      <c r="T852">
        <v>165</v>
      </c>
      <c r="U852">
        <f t="shared" si="97"/>
        <v>0</v>
      </c>
    </row>
    <row r="853" spans="1:21" ht="14.25" customHeight="1" x14ac:dyDescent="0.35">
      <c r="A853" s="6" t="s">
        <v>2316</v>
      </c>
      <c r="B853" s="6" t="s">
        <v>2317</v>
      </c>
      <c r="C853" s="6" t="s">
        <v>2318</v>
      </c>
      <c r="D853" s="6" t="s">
        <v>454</v>
      </c>
      <c r="E853" s="7" t="s">
        <v>23</v>
      </c>
      <c r="F853" s="6">
        <v>85338</v>
      </c>
      <c r="G853" s="6" t="s">
        <v>38</v>
      </c>
      <c r="H853" s="6" t="s">
        <v>378</v>
      </c>
      <c r="J853" s="6" t="b">
        <v>0</v>
      </c>
      <c r="K853" s="6" t="s">
        <v>27</v>
      </c>
      <c r="L853" s="6">
        <v>0</v>
      </c>
      <c r="M853" s="6">
        <v>165</v>
      </c>
      <c r="N853" s="8" t="str">
        <f t="shared" si="91"/>
        <v>0</v>
      </c>
      <c r="O853" s="8">
        <f t="shared" si="92"/>
        <v>1980</v>
      </c>
      <c r="P853" s="8">
        <f t="shared" si="93"/>
        <v>1980</v>
      </c>
      <c r="Q853" s="8">
        <f t="shared" si="94"/>
        <v>0</v>
      </c>
      <c r="R853" s="9">
        <f t="shared" si="95"/>
        <v>1980</v>
      </c>
      <c r="S853" s="10">
        <f t="shared" si="96"/>
        <v>165</v>
      </c>
      <c r="T853">
        <v>165</v>
      </c>
      <c r="U853">
        <f t="shared" si="97"/>
        <v>0</v>
      </c>
    </row>
    <row r="854" spans="1:21" ht="14.25" customHeight="1" x14ac:dyDescent="0.35">
      <c r="A854" s="6" t="s">
        <v>2319</v>
      </c>
      <c r="B854" s="6" t="s">
        <v>2320</v>
      </c>
      <c r="C854" s="6" t="s">
        <v>2321</v>
      </c>
      <c r="D854" s="6" t="s">
        <v>31</v>
      </c>
      <c r="E854" s="7" t="s">
        <v>23</v>
      </c>
      <c r="F854" s="6">
        <v>85255</v>
      </c>
      <c r="G854" s="6" t="s">
        <v>32</v>
      </c>
      <c r="H854" s="6" t="s">
        <v>33</v>
      </c>
      <c r="I854" s="6" t="s">
        <v>26</v>
      </c>
      <c r="J854" s="6" t="b">
        <v>0</v>
      </c>
      <c r="K854" s="6" t="s">
        <v>27</v>
      </c>
      <c r="L854" s="6">
        <v>0</v>
      </c>
      <c r="M854" s="6">
        <v>165</v>
      </c>
      <c r="N854" s="8" t="str">
        <f t="shared" si="91"/>
        <v>0</v>
      </c>
      <c r="O854" s="8">
        <f t="shared" si="92"/>
        <v>1980</v>
      </c>
      <c r="P854" s="8">
        <f t="shared" si="93"/>
        <v>1980</v>
      </c>
      <c r="Q854" s="8">
        <f t="shared" si="94"/>
        <v>0</v>
      </c>
      <c r="R854" s="9">
        <f t="shared" si="95"/>
        <v>1980</v>
      </c>
      <c r="S854" s="10">
        <f t="shared" si="96"/>
        <v>165</v>
      </c>
      <c r="T854">
        <v>165</v>
      </c>
      <c r="U854">
        <f t="shared" si="97"/>
        <v>0</v>
      </c>
    </row>
    <row r="855" spans="1:21" ht="14.25" customHeight="1" x14ac:dyDescent="0.35">
      <c r="A855" s="6" t="s">
        <v>2322</v>
      </c>
      <c r="B855" s="6" t="s">
        <v>2323</v>
      </c>
      <c r="C855" s="6" t="s">
        <v>2324</v>
      </c>
      <c r="D855" s="6" t="s">
        <v>241</v>
      </c>
      <c r="E855" s="7" t="s">
        <v>23</v>
      </c>
      <c r="F855" s="6">
        <v>85331</v>
      </c>
      <c r="G855" s="6" t="s">
        <v>32</v>
      </c>
      <c r="H855" s="6" t="s">
        <v>79</v>
      </c>
      <c r="I855" s="6" t="s">
        <v>40</v>
      </c>
      <c r="J855" s="6" t="b">
        <v>0</v>
      </c>
      <c r="K855" s="6" t="s">
        <v>27</v>
      </c>
      <c r="L855" s="6">
        <v>0</v>
      </c>
      <c r="M855" s="6">
        <v>165</v>
      </c>
      <c r="N855" s="8" t="str">
        <f t="shared" si="91"/>
        <v>0</v>
      </c>
      <c r="O855" s="8">
        <f t="shared" si="92"/>
        <v>1980</v>
      </c>
      <c r="P855" s="8">
        <f t="shared" si="93"/>
        <v>1980</v>
      </c>
      <c r="Q855" s="8">
        <f t="shared" si="94"/>
        <v>0</v>
      </c>
      <c r="R855" s="9">
        <f t="shared" si="95"/>
        <v>1980</v>
      </c>
      <c r="S855" s="10">
        <f t="shared" si="96"/>
        <v>165</v>
      </c>
      <c r="T855">
        <v>165</v>
      </c>
      <c r="U855">
        <f t="shared" si="97"/>
        <v>0</v>
      </c>
    </row>
    <row r="856" spans="1:21" ht="14.25" customHeight="1" x14ac:dyDescent="0.35">
      <c r="A856" s="6" t="s">
        <v>2325</v>
      </c>
      <c r="B856" s="6" t="s">
        <v>2326</v>
      </c>
      <c r="C856" s="6" t="s">
        <v>2327</v>
      </c>
      <c r="D856" s="6" t="s">
        <v>44</v>
      </c>
      <c r="E856" s="7" t="s">
        <v>23</v>
      </c>
      <c r="F856" s="6">
        <v>85022</v>
      </c>
      <c r="G856" s="6" t="s">
        <v>173</v>
      </c>
      <c r="H856" s="6" t="s">
        <v>169</v>
      </c>
      <c r="I856" s="6" t="s">
        <v>26</v>
      </c>
      <c r="J856" s="6" t="b">
        <v>0</v>
      </c>
      <c r="K856" s="6" t="s">
        <v>27</v>
      </c>
      <c r="L856" s="6">
        <v>0</v>
      </c>
      <c r="M856" s="6">
        <v>165</v>
      </c>
      <c r="N856" s="8" t="str">
        <f t="shared" si="91"/>
        <v>0</v>
      </c>
      <c r="O856" s="8">
        <f t="shared" si="92"/>
        <v>1980</v>
      </c>
      <c r="P856" s="8">
        <f t="shared" si="93"/>
        <v>1980</v>
      </c>
      <c r="Q856" s="8">
        <f t="shared" si="94"/>
        <v>0</v>
      </c>
      <c r="R856" s="9">
        <f t="shared" si="95"/>
        <v>1980</v>
      </c>
      <c r="S856" s="10">
        <f t="shared" si="96"/>
        <v>165</v>
      </c>
      <c r="T856">
        <v>165</v>
      </c>
      <c r="U856">
        <f t="shared" si="97"/>
        <v>0</v>
      </c>
    </row>
    <row r="857" spans="1:21" ht="14.25" customHeight="1" x14ac:dyDescent="0.35">
      <c r="A857" s="6" t="s">
        <v>2328</v>
      </c>
      <c r="B857" s="6" t="s">
        <v>2329</v>
      </c>
      <c r="C857" s="6" t="s">
        <v>2330</v>
      </c>
      <c r="D857" s="6" t="s">
        <v>65</v>
      </c>
      <c r="E857" s="7" t="s">
        <v>23</v>
      </c>
      <c r="F857" s="6">
        <v>85207</v>
      </c>
      <c r="G857" s="6" t="s">
        <v>66</v>
      </c>
      <c r="H857" s="6" t="s">
        <v>67</v>
      </c>
      <c r="I857" s="6" t="s">
        <v>40</v>
      </c>
      <c r="J857" s="6" t="b">
        <v>0</v>
      </c>
      <c r="K857" s="6" t="s">
        <v>27</v>
      </c>
      <c r="L857" s="6">
        <v>0</v>
      </c>
      <c r="M857" s="6">
        <v>165</v>
      </c>
      <c r="N857" s="8" t="str">
        <f t="shared" si="91"/>
        <v>0</v>
      </c>
      <c r="O857" s="8">
        <f t="shared" si="92"/>
        <v>1980</v>
      </c>
      <c r="P857" s="8">
        <f t="shared" si="93"/>
        <v>1980</v>
      </c>
      <c r="Q857" s="8">
        <f t="shared" si="94"/>
        <v>0</v>
      </c>
      <c r="R857" s="9">
        <f t="shared" si="95"/>
        <v>1980</v>
      </c>
      <c r="S857" s="10">
        <f t="shared" si="96"/>
        <v>165</v>
      </c>
      <c r="T857">
        <v>165</v>
      </c>
      <c r="U857">
        <f t="shared" si="97"/>
        <v>0</v>
      </c>
    </row>
    <row r="858" spans="1:21" ht="14.25" customHeight="1" x14ac:dyDescent="0.35">
      <c r="A858" s="6" t="s">
        <v>2331</v>
      </c>
      <c r="B858" s="6" t="s">
        <v>2332</v>
      </c>
      <c r="C858" s="6" t="s">
        <v>2333</v>
      </c>
      <c r="D858" s="6" t="s">
        <v>22</v>
      </c>
      <c r="E858" s="7" t="s">
        <v>23</v>
      </c>
      <c r="F858" s="6">
        <v>85226</v>
      </c>
      <c r="G858" s="6" t="s">
        <v>24</v>
      </c>
      <c r="H858" s="6" t="s">
        <v>161</v>
      </c>
      <c r="J858" s="6" t="b">
        <v>0</v>
      </c>
      <c r="K858" s="6" t="s">
        <v>27</v>
      </c>
      <c r="L858" s="6">
        <v>0</v>
      </c>
      <c r="M858" s="6">
        <v>165</v>
      </c>
      <c r="N858" s="8" t="str">
        <f t="shared" si="91"/>
        <v>0</v>
      </c>
      <c r="O858" s="8">
        <f t="shared" si="92"/>
        <v>1980</v>
      </c>
      <c r="P858" s="8">
        <f t="shared" si="93"/>
        <v>1980</v>
      </c>
      <c r="Q858" s="8">
        <f t="shared" si="94"/>
        <v>0</v>
      </c>
      <c r="R858" s="9">
        <f t="shared" si="95"/>
        <v>1980</v>
      </c>
      <c r="S858" s="10">
        <f t="shared" si="96"/>
        <v>165</v>
      </c>
      <c r="T858">
        <v>165</v>
      </c>
      <c r="U858">
        <f t="shared" si="97"/>
        <v>0</v>
      </c>
    </row>
    <row r="859" spans="1:21" ht="14.25" customHeight="1" x14ac:dyDescent="0.35">
      <c r="A859" s="6" t="s">
        <v>2334</v>
      </c>
      <c r="B859" s="6" t="s">
        <v>2335</v>
      </c>
      <c r="C859" s="6" t="s">
        <v>2336</v>
      </c>
      <c r="D859" s="6" t="s">
        <v>44</v>
      </c>
      <c r="E859" s="7" t="s">
        <v>23</v>
      </c>
      <c r="F859" s="6">
        <v>85027</v>
      </c>
      <c r="G859" s="6" t="s">
        <v>78</v>
      </c>
      <c r="H859" s="6" t="s">
        <v>268</v>
      </c>
      <c r="I859" s="6" t="s">
        <v>110</v>
      </c>
      <c r="J859" s="6" t="b">
        <v>0</v>
      </c>
      <c r="K859" s="6" t="s">
        <v>27</v>
      </c>
      <c r="L859" s="6">
        <v>0</v>
      </c>
      <c r="M859" s="6">
        <v>165</v>
      </c>
      <c r="N859" s="8" t="str">
        <f t="shared" si="91"/>
        <v>0</v>
      </c>
      <c r="O859" s="8">
        <f t="shared" si="92"/>
        <v>1980</v>
      </c>
      <c r="P859" s="8">
        <f t="shared" si="93"/>
        <v>1980</v>
      </c>
      <c r="Q859" s="8">
        <f t="shared" si="94"/>
        <v>0</v>
      </c>
      <c r="R859" s="9">
        <f t="shared" si="95"/>
        <v>1980</v>
      </c>
      <c r="S859" s="10">
        <f t="shared" si="96"/>
        <v>165</v>
      </c>
      <c r="T859">
        <v>165</v>
      </c>
      <c r="U859">
        <f t="shared" si="97"/>
        <v>0</v>
      </c>
    </row>
    <row r="860" spans="1:21" ht="14.25" customHeight="1" x14ac:dyDescent="0.35">
      <c r="A860" s="6" t="s">
        <v>2337</v>
      </c>
      <c r="B860" s="6" t="s">
        <v>2338</v>
      </c>
      <c r="C860" s="6" t="s">
        <v>2339</v>
      </c>
      <c r="D860" s="6" t="s">
        <v>44</v>
      </c>
      <c r="E860" s="7" t="s">
        <v>23</v>
      </c>
      <c r="F860" s="6">
        <v>85035</v>
      </c>
      <c r="G860" s="6" t="s">
        <v>72</v>
      </c>
      <c r="H860" s="6" t="s">
        <v>73</v>
      </c>
      <c r="J860" s="6" t="b">
        <v>0</v>
      </c>
      <c r="K860" s="6" t="s">
        <v>27</v>
      </c>
      <c r="L860" s="6">
        <v>0</v>
      </c>
      <c r="M860" s="6">
        <v>165</v>
      </c>
      <c r="N860" s="8" t="str">
        <f t="shared" si="91"/>
        <v>0</v>
      </c>
      <c r="O860" s="8">
        <f t="shared" si="92"/>
        <v>1980</v>
      </c>
      <c r="P860" s="8">
        <f t="shared" si="93"/>
        <v>1980</v>
      </c>
      <c r="Q860" s="8">
        <f t="shared" si="94"/>
        <v>0</v>
      </c>
      <c r="R860" s="9">
        <f t="shared" si="95"/>
        <v>1980</v>
      </c>
      <c r="S860" s="10">
        <f t="shared" si="96"/>
        <v>165</v>
      </c>
      <c r="T860">
        <v>165</v>
      </c>
      <c r="U860">
        <f t="shared" si="97"/>
        <v>0</v>
      </c>
    </row>
    <row r="861" spans="1:21" ht="14.25" customHeight="1" x14ac:dyDescent="0.35">
      <c r="A861" s="6" t="s">
        <v>2340</v>
      </c>
      <c r="B861" s="6" t="s">
        <v>2341</v>
      </c>
      <c r="C861" s="6" t="s">
        <v>2342</v>
      </c>
      <c r="D861" s="6" t="s">
        <v>1499</v>
      </c>
      <c r="E861" s="7" t="s">
        <v>23</v>
      </c>
      <c r="F861" s="6">
        <v>85086</v>
      </c>
      <c r="G861" s="6" t="s">
        <v>32</v>
      </c>
      <c r="H861" s="6" t="s">
        <v>79</v>
      </c>
      <c r="I861" s="6" t="s">
        <v>40</v>
      </c>
      <c r="J861" s="6" t="b">
        <v>0</v>
      </c>
      <c r="K861" s="6" t="s">
        <v>27</v>
      </c>
      <c r="L861" s="6">
        <v>0</v>
      </c>
      <c r="M861" s="6">
        <v>165</v>
      </c>
      <c r="N861" s="8" t="str">
        <f t="shared" si="91"/>
        <v>0</v>
      </c>
      <c r="O861" s="8">
        <f t="shared" si="92"/>
        <v>1980</v>
      </c>
      <c r="P861" s="8">
        <f t="shared" si="93"/>
        <v>1980</v>
      </c>
      <c r="Q861" s="8">
        <f t="shared" si="94"/>
        <v>0</v>
      </c>
      <c r="R861" s="9">
        <f t="shared" si="95"/>
        <v>1980</v>
      </c>
      <c r="S861" s="10">
        <f t="shared" si="96"/>
        <v>165</v>
      </c>
      <c r="T861">
        <v>165</v>
      </c>
      <c r="U861">
        <f t="shared" si="97"/>
        <v>0</v>
      </c>
    </row>
    <row r="862" spans="1:21" ht="14.25" customHeight="1" x14ac:dyDescent="0.35">
      <c r="A862" s="6" t="s">
        <v>2343</v>
      </c>
      <c r="B862" s="6" t="s">
        <v>2344</v>
      </c>
      <c r="C862" s="6" t="s">
        <v>2345</v>
      </c>
      <c r="D862" s="6" t="s">
        <v>44</v>
      </c>
      <c r="E862" s="7" t="s">
        <v>23</v>
      </c>
      <c r="F862" s="6">
        <v>85028</v>
      </c>
      <c r="G862" s="6" t="s">
        <v>45</v>
      </c>
      <c r="H862" s="6" t="s">
        <v>169</v>
      </c>
      <c r="I862" s="6" t="s">
        <v>26</v>
      </c>
      <c r="J862" s="6" t="b">
        <v>0</v>
      </c>
      <c r="K862" s="6" t="s">
        <v>27</v>
      </c>
      <c r="L862" s="6">
        <v>0</v>
      </c>
      <c r="M862" s="6">
        <v>165</v>
      </c>
      <c r="N862" s="8" t="str">
        <f t="shared" si="91"/>
        <v>0</v>
      </c>
      <c r="O862" s="8">
        <f t="shared" si="92"/>
        <v>1980</v>
      </c>
      <c r="P862" s="8">
        <f t="shared" si="93"/>
        <v>1980</v>
      </c>
      <c r="Q862" s="8">
        <f t="shared" si="94"/>
        <v>0</v>
      </c>
      <c r="R862" s="9">
        <f t="shared" si="95"/>
        <v>1980</v>
      </c>
      <c r="S862" s="10">
        <f t="shared" si="96"/>
        <v>165</v>
      </c>
      <c r="T862">
        <v>165</v>
      </c>
      <c r="U862">
        <f t="shared" si="97"/>
        <v>0</v>
      </c>
    </row>
    <row r="863" spans="1:21" ht="14.25" customHeight="1" x14ac:dyDescent="0.35">
      <c r="A863" s="6" t="s">
        <v>2346</v>
      </c>
      <c r="B863" s="6" t="s">
        <v>2347</v>
      </c>
      <c r="C863" s="6" t="s">
        <v>2348</v>
      </c>
      <c r="D863" s="6" t="s">
        <v>117</v>
      </c>
      <c r="E863" s="7" t="s">
        <v>23</v>
      </c>
      <c r="F863" s="6">
        <v>85138</v>
      </c>
      <c r="G863" s="6" t="s">
        <v>87</v>
      </c>
      <c r="H863" s="6" t="s">
        <v>88</v>
      </c>
      <c r="I863" s="6" t="s">
        <v>26</v>
      </c>
      <c r="J863" s="6" t="b">
        <v>0</v>
      </c>
      <c r="K863" s="6" t="s">
        <v>27</v>
      </c>
      <c r="L863" s="6">
        <v>0</v>
      </c>
      <c r="M863" s="6">
        <v>165</v>
      </c>
      <c r="N863" s="8" t="str">
        <f t="shared" si="91"/>
        <v>0</v>
      </c>
      <c r="O863" s="8">
        <f t="shared" si="92"/>
        <v>1980</v>
      </c>
      <c r="P863" s="8">
        <f t="shared" si="93"/>
        <v>1980</v>
      </c>
      <c r="Q863" s="8">
        <f t="shared" si="94"/>
        <v>0</v>
      </c>
      <c r="R863" s="9">
        <f t="shared" si="95"/>
        <v>1980</v>
      </c>
      <c r="S863" s="10">
        <f t="shared" si="96"/>
        <v>165</v>
      </c>
      <c r="T863">
        <v>165</v>
      </c>
      <c r="U863">
        <f t="shared" si="97"/>
        <v>0</v>
      </c>
    </row>
    <row r="864" spans="1:21" ht="14.25" customHeight="1" x14ac:dyDescent="0.35">
      <c r="A864" s="6" t="s">
        <v>2349</v>
      </c>
      <c r="B864" s="6" t="s">
        <v>2350</v>
      </c>
      <c r="C864" s="6" t="s">
        <v>2351</v>
      </c>
      <c r="D864" s="6" t="s">
        <v>130</v>
      </c>
      <c r="E864" s="7" t="s">
        <v>23</v>
      </c>
      <c r="F864" s="6">
        <v>85140</v>
      </c>
      <c r="G864" s="6" t="s">
        <v>125</v>
      </c>
      <c r="H864" s="6" t="s">
        <v>225</v>
      </c>
      <c r="I864" s="6" t="s">
        <v>110</v>
      </c>
      <c r="J864" s="6" t="b">
        <v>0</v>
      </c>
      <c r="K864" s="6" t="s">
        <v>27</v>
      </c>
      <c r="L864" s="6">
        <v>0</v>
      </c>
      <c r="M864" s="6">
        <v>165</v>
      </c>
      <c r="N864" s="8" t="str">
        <f t="shared" si="91"/>
        <v>0</v>
      </c>
      <c r="O864" s="8">
        <f t="shared" si="92"/>
        <v>1980</v>
      </c>
      <c r="P864" s="8">
        <f t="shared" si="93"/>
        <v>1980</v>
      </c>
      <c r="Q864" s="8">
        <f t="shared" si="94"/>
        <v>0</v>
      </c>
      <c r="R864" s="9">
        <f t="shared" si="95"/>
        <v>1980</v>
      </c>
      <c r="S864" s="10">
        <f t="shared" si="96"/>
        <v>165</v>
      </c>
      <c r="T864">
        <v>165</v>
      </c>
      <c r="U864">
        <f t="shared" si="97"/>
        <v>0</v>
      </c>
    </row>
    <row r="865" spans="1:21" ht="14.25" customHeight="1" x14ac:dyDescent="0.35">
      <c r="A865" s="6" t="s">
        <v>2352</v>
      </c>
      <c r="B865" s="6" t="s">
        <v>2353</v>
      </c>
      <c r="C865" s="6" t="s">
        <v>2354</v>
      </c>
      <c r="D865" s="6" t="s">
        <v>165</v>
      </c>
      <c r="E865" s="7" t="s">
        <v>23</v>
      </c>
      <c r="F865" s="6">
        <v>85297</v>
      </c>
      <c r="G865" s="6" t="s">
        <v>125</v>
      </c>
      <c r="H865" s="6" t="s">
        <v>126</v>
      </c>
      <c r="I865" s="6" t="s">
        <v>26</v>
      </c>
      <c r="J865" s="6" t="b">
        <v>0</v>
      </c>
      <c r="K865" s="6" t="s">
        <v>27</v>
      </c>
      <c r="L865" s="6">
        <v>0</v>
      </c>
      <c r="M865" s="6">
        <v>165</v>
      </c>
      <c r="N865" s="8" t="str">
        <f t="shared" si="91"/>
        <v>0</v>
      </c>
      <c r="O865" s="8">
        <f t="shared" si="92"/>
        <v>1980</v>
      </c>
      <c r="P865" s="8">
        <f t="shared" si="93"/>
        <v>1980</v>
      </c>
      <c r="Q865" s="8">
        <f t="shared" si="94"/>
        <v>0</v>
      </c>
      <c r="R865" s="9">
        <f t="shared" si="95"/>
        <v>1980</v>
      </c>
      <c r="S865" s="10">
        <f t="shared" si="96"/>
        <v>165</v>
      </c>
      <c r="T865">
        <v>165</v>
      </c>
      <c r="U865">
        <f t="shared" si="97"/>
        <v>0</v>
      </c>
    </row>
    <row r="866" spans="1:21" ht="14.25" customHeight="1" x14ac:dyDescent="0.35">
      <c r="A866" s="6" t="s">
        <v>2355</v>
      </c>
      <c r="B866" s="6" t="s">
        <v>2356</v>
      </c>
      <c r="C866" s="6" t="s">
        <v>2357</v>
      </c>
      <c r="D866" s="6" t="s">
        <v>77</v>
      </c>
      <c r="E866" s="7" t="s">
        <v>23</v>
      </c>
      <c r="F866" s="6">
        <v>85308</v>
      </c>
      <c r="G866" s="6" t="s">
        <v>78</v>
      </c>
      <c r="H866" s="6" t="s">
        <v>281</v>
      </c>
      <c r="I866" s="6" t="s">
        <v>26</v>
      </c>
      <c r="J866" s="6" t="b">
        <v>0</v>
      </c>
      <c r="K866" s="6" t="s">
        <v>27</v>
      </c>
      <c r="L866" s="6">
        <v>0</v>
      </c>
      <c r="M866" s="6">
        <v>165</v>
      </c>
      <c r="N866" s="8" t="str">
        <f t="shared" si="91"/>
        <v>0</v>
      </c>
      <c r="O866" s="8">
        <f t="shared" si="92"/>
        <v>1980</v>
      </c>
      <c r="P866" s="8">
        <f t="shared" si="93"/>
        <v>1980</v>
      </c>
      <c r="Q866" s="8">
        <f t="shared" si="94"/>
        <v>0</v>
      </c>
      <c r="R866" s="9">
        <f t="shared" si="95"/>
        <v>1980</v>
      </c>
      <c r="S866" s="10">
        <f t="shared" si="96"/>
        <v>165</v>
      </c>
      <c r="T866">
        <v>165</v>
      </c>
      <c r="U866">
        <f t="shared" si="97"/>
        <v>0</v>
      </c>
    </row>
    <row r="867" spans="1:21" ht="14.25" customHeight="1" x14ac:dyDescent="0.35">
      <c r="A867" s="6" t="s">
        <v>2358</v>
      </c>
      <c r="B867" s="6" t="s">
        <v>2359</v>
      </c>
      <c r="C867" s="6" t="s">
        <v>2360</v>
      </c>
      <c r="D867" s="6" t="s">
        <v>31</v>
      </c>
      <c r="E867" s="7" t="s">
        <v>23</v>
      </c>
      <c r="F867" s="6">
        <v>85254</v>
      </c>
      <c r="G867" s="6" t="s">
        <v>45</v>
      </c>
      <c r="H867" s="6" t="s">
        <v>291</v>
      </c>
      <c r="I867" s="6" t="s">
        <v>26</v>
      </c>
      <c r="J867" s="6" t="b">
        <v>0</v>
      </c>
      <c r="K867" s="6" t="s">
        <v>27</v>
      </c>
      <c r="L867" s="6">
        <v>0</v>
      </c>
      <c r="M867" s="6">
        <v>165</v>
      </c>
      <c r="N867" s="8" t="str">
        <f t="shared" si="91"/>
        <v>0</v>
      </c>
      <c r="O867" s="8">
        <f t="shared" si="92"/>
        <v>1980</v>
      </c>
      <c r="P867" s="8">
        <f t="shared" si="93"/>
        <v>1980</v>
      </c>
      <c r="Q867" s="8">
        <f t="shared" si="94"/>
        <v>0</v>
      </c>
      <c r="R867" s="9">
        <f t="shared" si="95"/>
        <v>1980</v>
      </c>
      <c r="S867" s="10">
        <f t="shared" si="96"/>
        <v>165</v>
      </c>
      <c r="T867">
        <v>165</v>
      </c>
      <c r="U867">
        <f t="shared" si="97"/>
        <v>0</v>
      </c>
    </row>
    <row r="868" spans="1:21" ht="14.25" customHeight="1" x14ac:dyDescent="0.35">
      <c r="A868" s="6" t="s">
        <v>2361</v>
      </c>
      <c r="B868" s="6" t="s">
        <v>2362</v>
      </c>
      <c r="C868" s="6" t="s">
        <v>2363</v>
      </c>
      <c r="D868" s="6" t="s">
        <v>482</v>
      </c>
      <c r="E868" s="7" t="s">
        <v>23</v>
      </c>
      <c r="F868" s="6">
        <v>85396</v>
      </c>
      <c r="G868" s="6" t="s">
        <v>38</v>
      </c>
      <c r="H868" s="6" t="s">
        <v>378</v>
      </c>
      <c r="I868" s="6" t="s">
        <v>26</v>
      </c>
      <c r="J868" s="6" t="b">
        <v>0</v>
      </c>
      <c r="K868" s="6" t="s">
        <v>27</v>
      </c>
      <c r="L868" s="6">
        <v>0</v>
      </c>
      <c r="M868" s="6">
        <v>165</v>
      </c>
      <c r="N868" s="8" t="str">
        <f t="shared" si="91"/>
        <v>0</v>
      </c>
      <c r="O868" s="8">
        <f t="shared" si="92"/>
        <v>1980</v>
      </c>
      <c r="P868" s="8">
        <f t="shared" si="93"/>
        <v>1980</v>
      </c>
      <c r="Q868" s="8">
        <f t="shared" si="94"/>
        <v>0</v>
      </c>
      <c r="R868" s="9">
        <f t="shared" si="95"/>
        <v>1980</v>
      </c>
      <c r="S868" s="10">
        <f t="shared" si="96"/>
        <v>165</v>
      </c>
      <c r="T868">
        <v>165</v>
      </c>
      <c r="U868">
        <f t="shared" si="97"/>
        <v>0</v>
      </c>
    </row>
    <row r="869" spans="1:21" ht="14.25" customHeight="1" x14ac:dyDescent="0.35">
      <c r="A869" s="6" t="s">
        <v>2364</v>
      </c>
      <c r="B869" s="6" t="s">
        <v>2365</v>
      </c>
      <c r="C869" s="6" t="s">
        <v>2366</v>
      </c>
      <c r="D869" s="6" t="s">
        <v>98</v>
      </c>
      <c r="E869" s="7" t="s">
        <v>23</v>
      </c>
      <c r="F869" s="6">
        <v>85122</v>
      </c>
      <c r="G869" s="6" t="s">
        <v>87</v>
      </c>
      <c r="H869" s="6" t="s">
        <v>109</v>
      </c>
      <c r="I869" s="6" t="s">
        <v>61</v>
      </c>
      <c r="J869" s="6" t="b">
        <v>0</v>
      </c>
      <c r="K869" s="6" t="s">
        <v>27</v>
      </c>
      <c r="L869" s="6">
        <v>0</v>
      </c>
      <c r="M869" s="6">
        <v>165</v>
      </c>
      <c r="N869" s="8" t="str">
        <f t="shared" si="91"/>
        <v>0</v>
      </c>
      <c r="O869" s="8">
        <f t="shared" si="92"/>
        <v>1980</v>
      </c>
      <c r="P869" s="8">
        <f t="shared" si="93"/>
        <v>1980</v>
      </c>
      <c r="Q869" s="8">
        <f t="shared" si="94"/>
        <v>0</v>
      </c>
      <c r="R869" s="9">
        <f t="shared" si="95"/>
        <v>1980</v>
      </c>
      <c r="S869" s="10">
        <f t="shared" si="96"/>
        <v>165</v>
      </c>
      <c r="T869">
        <v>165</v>
      </c>
      <c r="U869">
        <f t="shared" si="97"/>
        <v>0</v>
      </c>
    </row>
    <row r="870" spans="1:21" ht="14.25" customHeight="1" x14ac:dyDescent="0.35">
      <c r="A870" s="6" t="s">
        <v>2367</v>
      </c>
      <c r="B870" s="6" t="s">
        <v>2368</v>
      </c>
      <c r="C870" s="6" t="s">
        <v>2369</v>
      </c>
      <c r="D870" s="6" t="s">
        <v>65</v>
      </c>
      <c r="E870" s="7" t="s">
        <v>23</v>
      </c>
      <c r="F870" s="6">
        <v>85212</v>
      </c>
      <c r="G870" s="6" t="s">
        <v>125</v>
      </c>
      <c r="H870" s="6" t="s">
        <v>180</v>
      </c>
      <c r="I870" s="6" t="s">
        <v>26</v>
      </c>
      <c r="J870" s="6" t="b">
        <v>0</v>
      </c>
      <c r="K870" s="6" t="s">
        <v>27</v>
      </c>
      <c r="L870" s="6">
        <v>0</v>
      </c>
      <c r="M870" s="6">
        <v>165</v>
      </c>
      <c r="N870" s="8" t="str">
        <f t="shared" si="91"/>
        <v>0</v>
      </c>
      <c r="O870" s="8">
        <f t="shared" si="92"/>
        <v>1980</v>
      </c>
      <c r="P870" s="8">
        <f t="shared" si="93"/>
        <v>1980</v>
      </c>
      <c r="Q870" s="8">
        <f t="shared" si="94"/>
        <v>0</v>
      </c>
      <c r="R870" s="9">
        <f t="shared" si="95"/>
        <v>1980</v>
      </c>
      <c r="S870" s="10">
        <f t="shared" si="96"/>
        <v>165</v>
      </c>
      <c r="T870">
        <v>165</v>
      </c>
      <c r="U870">
        <f t="shared" si="97"/>
        <v>0</v>
      </c>
    </row>
    <row r="871" spans="1:21" ht="14.25" customHeight="1" x14ac:dyDescent="0.35">
      <c r="A871" s="6" t="s">
        <v>2370</v>
      </c>
      <c r="B871" s="6" t="s">
        <v>2371</v>
      </c>
      <c r="C871" s="6" t="s">
        <v>2372</v>
      </c>
      <c r="D871" s="6" t="s">
        <v>267</v>
      </c>
      <c r="E871" s="7" t="s">
        <v>23</v>
      </c>
      <c r="F871" s="6">
        <v>85387</v>
      </c>
      <c r="G871" s="6" t="s">
        <v>78</v>
      </c>
      <c r="H871" s="6" t="s">
        <v>281</v>
      </c>
      <c r="I871" s="6" t="s">
        <v>57</v>
      </c>
      <c r="J871" s="6" t="b">
        <v>0</v>
      </c>
      <c r="K871" s="6" t="s">
        <v>27</v>
      </c>
      <c r="L871" s="6">
        <v>0</v>
      </c>
      <c r="M871" s="6">
        <v>165</v>
      </c>
      <c r="N871" s="8" t="str">
        <f t="shared" si="91"/>
        <v>0</v>
      </c>
      <c r="O871" s="8">
        <f t="shared" si="92"/>
        <v>1980</v>
      </c>
      <c r="P871" s="8">
        <f t="shared" si="93"/>
        <v>1980</v>
      </c>
      <c r="Q871" s="8">
        <f t="shared" si="94"/>
        <v>0</v>
      </c>
      <c r="R871" s="9">
        <f t="shared" si="95"/>
        <v>1980</v>
      </c>
      <c r="S871" s="10">
        <f t="shared" si="96"/>
        <v>165</v>
      </c>
      <c r="T871">
        <v>165</v>
      </c>
      <c r="U871">
        <f t="shared" si="97"/>
        <v>0</v>
      </c>
    </row>
    <row r="872" spans="1:21" ht="14.25" customHeight="1" x14ac:dyDescent="0.35">
      <c r="A872" s="6" t="s">
        <v>2373</v>
      </c>
      <c r="B872" s="6" t="s">
        <v>2374</v>
      </c>
      <c r="C872" s="6" t="s">
        <v>2375</v>
      </c>
      <c r="D872" s="6" t="s">
        <v>363</v>
      </c>
      <c r="E872" s="7" t="s">
        <v>23</v>
      </c>
      <c r="F872" s="6">
        <v>85283</v>
      </c>
      <c r="G872" s="6" t="s">
        <v>364</v>
      </c>
      <c r="H872" s="6" t="s">
        <v>365</v>
      </c>
      <c r="J872" s="6" t="b">
        <v>0</v>
      </c>
      <c r="K872" s="6" t="s">
        <v>27</v>
      </c>
      <c r="L872" s="6">
        <v>0</v>
      </c>
      <c r="M872" s="6">
        <v>165</v>
      </c>
      <c r="N872" s="8" t="str">
        <f t="shared" si="91"/>
        <v>0</v>
      </c>
      <c r="O872" s="8">
        <f t="shared" si="92"/>
        <v>1980</v>
      </c>
      <c r="P872" s="8">
        <f t="shared" si="93"/>
        <v>1980</v>
      </c>
      <c r="Q872" s="8">
        <f t="shared" si="94"/>
        <v>0</v>
      </c>
      <c r="R872" s="9">
        <f t="shared" si="95"/>
        <v>1980</v>
      </c>
      <c r="S872" s="10">
        <f t="shared" si="96"/>
        <v>165</v>
      </c>
      <c r="T872">
        <v>165</v>
      </c>
      <c r="U872">
        <f t="shared" si="97"/>
        <v>0</v>
      </c>
    </row>
    <row r="873" spans="1:21" ht="14.25" customHeight="1" x14ac:dyDescent="0.35">
      <c r="A873" s="6" t="s">
        <v>2376</v>
      </c>
      <c r="B873" s="6" t="s">
        <v>2377</v>
      </c>
      <c r="C873" s="6" t="s">
        <v>2378</v>
      </c>
      <c r="D873" s="6" t="s">
        <v>44</v>
      </c>
      <c r="E873" s="7" t="s">
        <v>23</v>
      </c>
      <c r="F873" s="6">
        <v>85050</v>
      </c>
      <c r="G873" s="6" t="s">
        <v>32</v>
      </c>
      <c r="H873" s="6" t="s">
        <v>169</v>
      </c>
      <c r="I873" s="6" t="s">
        <v>26</v>
      </c>
      <c r="J873" s="6" t="b">
        <v>0</v>
      </c>
      <c r="K873" s="6" t="s">
        <v>27</v>
      </c>
      <c r="L873" s="6">
        <v>0</v>
      </c>
      <c r="M873" s="6">
        <v>165</v>
      </c>
      <c r="N873" s="8" t="str">
        <f t="shared" si="91"/>
        <v>0</v>
      </c>
      <c r="O873" s="8">
        <f t="shared" si="92"/>
        <v>1980</v>
      </c>
      <c r="P873" s="8">
        <f t="shared" si="93"/>
        <v>1980</v>
      </c>
      <c r="Q873" s="8">
        <f t="shared" si="94"/>
        <v>0</v>
      </c>
      <c r="R873" s="9">
        <f t="shared" si="95"/>
        <v>1980</v>
      </c>
      <c r="S873" s="10">
        <f t="shared" si="96"/>
        <v>165</v>
      </c>
      <c r="T873">
        <v>165</v>
      </c>
      <c r="U873">
        <f t="shared" si="97"/>
        <v>0</v>
      </c>
    </row>
    <row r="874" spans="1:21" ht="14.25" customHeight="1" x14ac:dyDescent="0.35">
      <c r="A874" s="6" t="s">
        <v>2379</v>
      </c>
      <c r="B874" s="6" t="s">
        <v>2380</v>
      </c>
      <c r="C874" s="6" t="s">
        <v>2381</v>
      </c>
      <c r="D874" s="6" t="s">
        <v>44</v>
      </c>
      <c r="E874" s="7" t="s">
        <v>23</v>
      </c>
      <c r="F874" s="6">
        <v>85053</v>
      </c>
      <c r="G874" s="6" t="s">
        <v>72</v>
      </c>
      <c r="H874" s="6" t="s">
        <v>93</v>
      </c>
      <c r="I874" s="6" t="s">
        <v>26</v>
      </c>
      <c r="J874" s="6" t="b">
        <v>0</v>
      </c>
      <c r="K874" s="6" t="s">
        <v>27</v>
      </c>
      <c r="L874" s="6">
        <v>0</v>
      </c>
      <c r="M874" s="6">
        <v>165</v>
      </c>
      <c r="N874" s="8" t="str">
        <f t="shared" si="91"/>
        <v>0</v>
      </c>
      <c r="O874" s="8">
        <f t="shared" si="92"/>
        <v>1980</v>
      </c>
      <c r="P874" s="8">
        <f t="shared" si="93"/>
        <v>1980</v>
      </c>
      <c r="Q874" s="8">
        <f t="shared" si="94"/>
        <v>0</v>
      </c>
      <c r="R874" s="9">
        <f t="shared" si="95"/>
        <v>1980</v>
      </c>
      <c r="S874" s="10">
        <f t="shared" si="96"/>
        <v>165</v>
      </c>
      <c r="T874">
        <v>165</v>
      </c>
      <c r="U874">
        <f t="shared" si="97"/>
        <v>0</v>
      </c>
    </row>
    <row r="875" spans="1:21" ht="14.25" customHeight="1" x14ac:dyDescent="0.35">
      <c r="A875" s="6" t="s">
        <v>2382</v>
      </c>
      <c r="B875" s="6" t="s">
        <v>2383</v>
      </c>
      <c r="C875" s="6" t="s">
        <v>2384</v>
      </c>
      <c r="D875" s="6" t="s">
        <v>267</v>
      </c>
      <c r="E875" s="7" t="s">
        <v>23</v>
      </c>
      <c r="F875" s="6">
        <v>85388</v>
      </c>
      <c r="G875" s="6" t="s">
        <v>78</v>
      </c>
      <c r="H875" s="6" t="s">
        <v>281</v>
      </c>
      <c r="I875" s="6" t="s">
        <v>26</v>
      </c>
      <c r="J875" s="6" t="b">
        <v>0</v>
      </c>
      <c r="K875" s="6" t="s">
        <v>27</v>
      </c>
      <c r="L875" s="6">
        <v>0</v>
      </c>
      <c r="M875" s="6">
        <v>165</v>
      </c>
      <c r="N875" s="8" t="str">
        <f t="shared" si="91"/>
        <v>0</v>
      </c>
      <c r="O875" s="8">
        <f t="shared" si="92"/>
        <v>1980</v>
      </c>
      <c r="P875" s="8">
        <f t="shared" si="93"/>
        <v>1980</v>
      </c>
      <c r="Q875" s="8">
        <f t="shared" si="94"/>
        <v>0</v>
      </c>
      <c r="R875" s="9">
        <f t="shared" si="95"/>
        <v>1980</v>
      </c>
      <c r="S875" s="10">
        <f t="shared" si="96"/>
        <v>165</v>
      </c>
      <c r="T875">
        <v>165</v>
      </c>
      <c r="U875">
        <f t="shared" si="97"/>
        <v>0</v>
      </c>
    </row>
    <row r="876" spans="1:21" ht="14.25" customHeight="1" x14ac:dyDescent="0.35">
      <c r="A876" s="6" t="s">
        <v>2385</v>
      </c>
      <c r="B876" s="6" t="s">
        <v>2386</v>
      </c>
      <c r="C876" s="6" t="s">
        <v>2387</v>
      </c>
      <c r="D876" s="6" t="s">
        <v>98</v>
      </c>
      <c r="E876" s="7" t="s">
        <v>23</v>
      </c>
      <c r="F876" s="6">
        <v>85122</v>
      </c>
      <c r="G876" s="6" t="s">
        <v>87</v>
      </c>
      <c r="H876" s="6" t="s">
        <v>88</v>
      </c>
      <c r="I876" s="6" t="s">
        <v>61</v>
      </c>
      <c r="J876" s="6" t="b">
        <v>0</v>
      </c>
      <c r="K876" s="6" t="s">
        <v>27</v>
      </c>
      <c r="L876" s="6">
        <v>0</v>
      </c>
      <c r="M876" s="6">
        <v>165</v>
      </c>
      <c r="N876" s="8" t="str">
        <f t="shared" si="91"/>
        <v>0</v>
      </c>
      <c r="O876" s="8">
        <f t="shared" si="92"/>
        <v>1980</v>
      </c>
      <c r="P876" s="8">
        <f t="shared" si="93"/>
        <v>1980</v>
      </c>
      <c r="Q876" s="8">
        <f t="shared" si="94"/>
        <v>0</v>
      </c>
      <c r="R876" s="9">
        <f t="shared" si="95"/>
        <v>1980</v>
      </c>
      <c r="S876" s="10">
        <f t="shared" si="96"/>
        <v>165</v>
      </c>
      <c r="T876">
        <v>165</v>
      </c>
      <c r="U876">
        <f t="shared" si="97"/>
        <v>0</v>
      </c>
    </row>
    <row r="877" spans="1:21" ht="14.25" customHeight="1" x14ac:dyDescent="0.35">
      <c r="A877" s="6" t="s">
        <v>2388</v>
      </c>
      <c r="B877" s="6" t="s">
        <v>2389</v>
      </c>
      <c r="C877" s="6" t="s">
        <v>2390</v>
      </c>
      <c r="D877" s="6" t="s">
        <v>44</v>
      </c>
      <c r="E877" s="7" t="s">
        <v>23</v>
      </c>
      <c r="F877" s="6">
        <v>85035</v>
      </c>
      <c r="G877" s="6" t="s">
        <v>38</v>
      </c>
      <c r="H877" s="6" t="s">
        <v>73</v>
      </c>
      <c r="I877" s="6" t="s">
        <v>26</v>
      </c>
      <c r="J877" s="6" t="b">
        <v>0</v>
      </c>
      <c r="K877" s="6" t="s">
        <v>27</v>
      </c>
      <c r="L877" s="6">
        <v>0</v>
      </c>
      <c r="M877" s="6">
        <v>165</v>
      </c>
      <c r="N877" s="8" t="str">
        <f t="shared" si="91"/>
        <v>0</v>
      </c>
      <c r="O877" s="8">
        <f t="shared" si="92"/>
        <v>1980</v>
      </c>
      <c r="P877" s="8">
        <f t="shared" si="93"/>
        <v>1980</v>
      </c>
      <c r="Q877" s="8">
        <f t="shared" si="94"/>
        <v>0</v>
      </c>
      <c r="R877" s="9">
        <f t="shared" si="95"/>
        <v>1980</v>
      </c>
      <c r="S877" s="10">
        <f t="shared" si="96"/>
        <v>165</v>
      </c>
      <c r="T877">
        <v>165</v>
      </c>
      <c r="U877">
        <f t="shared" si="97"/>
        <v>0</v>
      </c>
    </row>
    <row r="878" spans="1:21" ht="14.25" customHeight="1" x14ac:dyDescent="0.35">
      <c r="A878" s="6" t="s">
        <v>2391</v>
      </c>
      <c r="B878" s="6" t="s">
        <v>2392</v>
      </c>
      <c r="C878" s="6" t="s">
        <v>2393</v>
      </c>
      <c r="D878" s="6" t="s">
        <v>65</v>
      </c>
      <c r="E878" s="7" t="s">
        <v>23</v>
      </c>
      <c r="F878" s="6">
        <v>85203</v>
      </c>
      <c r="G878" s="6" t="s">
        <v>66</v>
      </c>
      <c r="H878" s="6" t="s">
        <v>67</v>
      </c>
      <c r="I878" s="6" t="s">
        <v>26</v>
      </c>
      <c r="J878" s="6" t="b">
        <v>0</v>
      </c>
      <c r="K878" s="6" t="s">
        <v>27</v>
      </c>
      <c r="L878" s="6">
        <v>0</v>
      </c>
      <c r="M878" s="6">
        <v>165</v>
      </c>
      <c r="N878" s="8" t="str">
        <f t="shared" si="91"/>
        <v>0</v>
      </c>
      <c r="O878" s="8">
        <f t="shared" si="92"/>
        <v>1980</v>
      </c>
      <c r="P878" s="8">
        <f t="shared" si="93"/>
        <v>1980</v>
      </c>
      <c r="Q878" s="8">
        <f t="shared" si="94"/>
        <v>0</v>
      </c>
      <c r="R878" s="9">
        <f t="shared" si="95"/>
        <v>1980</v>
      </c>
      <c r="S878" s="10">
        <f t="shared" si="96"/>
        <v>165</v>
      </c>
      <c r="T878">
        <v>165</v>
      </c>
      <c r="U878">
        <f t="shared" si="97"/>
        <v>0</v>
      </c>
    </row>
    <row r="879" spans="1:21" ht="14.25" customHeight="1" x14ac:dyDescent="0.35">
      <c r="A879" s="6" t="s">
        <v>2394</v>
      </c>
      <c r="B879" s="6" t="s">
        <v>2395</v>
      </c>
      <c r="C879" s="6" t="s">
        <v>2396</v>
      </c>
      <c r="D879" s="6" t="s">
        <v>44</v>
      </c>
      <c r="E879" s="7" t="s">
        <v>23</v>
      </c>
      <c r="F879" s="6">
        <v>85051</v>
      </c>
      <c r="G879" s="6" t="s">
        <v>72</v>
      </c>
      <c r="H879" s="6" t="s">
        <v>93</v>
      </c>
      <c r="I879" s="6" t="s">
        <v>26</v>
      </c>
      <c r="J879" s="6" t="b">
        <v>0</v>
      </c>
      <c r="K879" s="6" t="s">
        <v>27</v>
      </c>
      <c r="L879" s="6">
        <v>0</v>
      </c>
      <c r="M879" s="6">
        <v>165</v>
      </c>
      <c r="N879" s="8" t="str">
        <f t="shared" si="91"/>
        <v>0</v>
      </c>
      <c r="O879" s="8">
        <f t="shared" si="92"/>
        <v>1980</v>
      </c>
      <c r="P879" s="8">
        <f t="shared" si="93"/>
        <v>1980</v>
      </c>
      <c r="Q879" s="8">
        <f t="shared" si="94"/>
        <v>0</v>
      </c>
      <c r="R879" s="9">
        <f t="shared" si="95"/>
        <v>1980</v>
      </c>
      <c r="S879" s="10">
        <f t="shared" si="96"/>
        <v>165</v>
      </c>
      <c r="T879">
        <v>165</v>
      </c>
      <c r="U879">
        <f t="shared" si="97"/>
        <v>0</v>
      </c>
    </row>
    <row r="880" spans="1:21" ht="14.25" customHeight="1" x14ac:dyDescent="0.35">
      <c r="A880" s="6" t="s">
        <v>2397</v>
      </c>
      <c r="B880" s="6" t="s">
        <v>2398</v>
      </c>
      <c r="C880" s="6" t="s">
        <v>2399</v>
      </c>
      <c r="D880" s="6" t="s">
        <v>44</v>
      </c>
      <c r="E880" s="7" t="s">
        <v>23</v>
      </c>
      <c r="F880" s="6">
        <v>85014</v>
      </c>
      <c r="G880" s="6" t="s">
        <v>213</v>
      </c>
      <c r="H880" s="6" t="s">
        <v>202</v>
      </c>
      <c r="J880" s="6" t="b">
        <v>0</v>
      </c>
      <c r="K880" s="6" t="s">
        <v>27</v>
      </c>
      <c r="L880" s="6">
        <v>0</v>
      </c>
      <c r="M880" s="6">
        <v>165</v>
      </c>
      <c r="N880" s="8" t="str">
        <f t="shared" si="91"/>
        <v>0</v>
      </c>
      <c r="O880" s="8">
        <f t="shared" si="92"/>
        <v>1980</v>
      </c>
      <c r="P880" s="8">
        <f t="shared" si="93"/>
        <v>1980</v>
      </c>
      <c r="Q880" s="8">
        <f t="shared" si="94"/>
        <v>0</v>
      </c>
      <c r="R880" s="9">
        <f t="shared" si="95"/>
        <v>1980</v>
      </c>
      <c r="S880" s="10">
        <f t="shared" si="96"/>
        <v>165</v>
      </c>
      <c r="T880">
        <v>165</v>
      </c>
      <c r="U880">
        <f t="shared" si="97"/>
        <v>0</v>
      </c>
    </row>
    <row r="881" spans="1:21" ht="14.25" customHeight="1" x14ac:dyDescent="0.35">
      <c r="A881" s="6" t="s">
        <v>2400</v>
      </c>
      <c r="B881" s="6" t="s">
        <v>2401</v>
      </c>
      <c r="C881" s="6" t="s">
        <v>2402</v>
      </c>
      <c r="D881" s="6" t="s">
        <v>206</v>
      </c>
      <c r="E881" s="7" t="s">
        <v>23</v>
      </c>
      <c r="F881" s="6">
        <v>85120</v>
      </c>
      <c r="G881" s="6" t="s">
        <v>66</v>
      </c>
      <c r="H881" s="6" t="s">
        <v>67</v>
      </c>
      <c r="I881" s="6" t="s">
        <v>26</v>
      </c>
      <c r="J881" s="6" t="b">
        <v>0</v>
      </c>
      <c r="K881" s="6" t="s">
        <v>27</v>
      </c>
      <c r="L881" s="6">
        <v>0</v>
      </c>
      <c r="M881" s="6">
        <v>165</v>
      </c>
      <c r="N881" s="8" t="str">
        <f t="shared" si="91"/>
        <v>0</v>
      </c>
      <c r="O881" s="8">
        <f t="shared" si="92"/>
        <v>1980</v>
      </c>
      <c r="P881" s="8">
        <f t="shared" si="93"/>
        <v>1980</v>
      </c>
      <c r="Q881" s="8">
        <f t="shared" si="94"/>
        <v>0</v>
      </c>
      <c r="R881" s="9">
        <f t="shared" si="95"/>
        <v>1980</v>
      </c>
      <c r="S881" s="10">
        <f t="shared" si="96"/>
        <v>165</v>
      </c>
      <c r="T881">
        <v>165</v>
      </c>
      <c r="U881">
        <f t="shared" si="97"/>
        <v>0</v>
      </c>
    </row>
    <row r="882" spans="1:21" ht="14.25" customHeight="1" x14ac:dyDescent="0.35">
      <c r="A882" s="6" t="s">
        <v>2403</v>
      </c>
      <c r="B882" s="6" t="s">
        <v>2404</v>
      </c>
      <c r="C882" s="6" t="s">
        <v>2405</v>
      </c>
      <c r="D882" s="6" t="s">
        <v>44</v>
      </c>
      <c r="E882" s="7" t="s">
        <v>23</v>
      </c>
      <c r="F882" s="6">
        <v>85043</v>
      </c>
      <c r="G882" s="6" t="s">
        <v>213</v>
      </c>
      <c r="H882" s="6" t="s">
        <v>39</v>
      </c>
      <c r="I882" s="6" t="s">
        <v>26</v>
      </c>
      <c r="J882" s="6" t="b">
        <v>0</v>
      </c>
      <c r="K882" s="6" t="s">
        <v>27</v>
      </c>
      <c r="L882" s="6">
        <v>0</v>
      </c>
      <c r="M882" s="6">
        <v>165</v>
      </c>
      <c r="N882" s="8" t="str">
        <f t="shared" si="91"/>
        <v>0</v>
      </c>
      <c r="O882" s="8">
        <f t="shared" si="92"/>
        <v>1980</v>
      </c>
      <c r="P882" s="8">
        <f t="shared" si="93"/>
        <v>1980</v>
      </c>
      <c r="Q882" s="8">
        <f t="shared" si="94"/>
        <v>0</v>
      </c>
      <c r="R882" s="9">
        <f t="shared" si="95"/>
        <v>1980</v>
      </c>
      <c r="S882" s="10">
        <f t="shared" si="96"/>
        <v>165</v>
      </c>
      <c r="T882">
        <v>165</v>
      </c>
      <c r="U882">
        <f t="shared" si="97"/>
        <v>0</v>
      </c>
    </row>
    <row r="883" spans="1:21" ht="14.25" customHeight="1" x14ac:dyDescent="0.35">
      <c r="A883" s="6" t="s">
        <v>2406</v>
      </c>
      <c r="B883" s="6" t="s">
        <v>2407</v>
      </c>
      <c r="C883" s="6" t="s">
        <v>2408</v>
      </c>
      <c r="D883" s="6" t="s">
        <v>77</v>
      </c>
      <c r="E883" s="7" t="s">
        <v>23</v>
      </c>
      <c r="F883" s="6">
        <v>85308</v>
      </c>
      <c r="G883" s="6" t="s">
        <v>78</v>
      </c>
      <c r="H883" s="6" t="s">
        <v>79</v>
      </c>
      <c r="I883" s="6" t="s">
        <v>61</v>
      </c>
      <c r="J883" s="6" t="b">
        <v>0</v>
      </c>
      <c r="K883" s="6" t="s">
        <v>27</v>
      </c>
      <c r="L883" s="6">
        <v>0</v>
      </c>
      <c r="M883" s="6">
        <v>165</v>
      </c>
      <c r="N883" s="8" t="str">
        <f t="shared" si="91"/>
        <v>0</v>
      </c>
      <c r="O883" s="8">
        <f t="shared" si="92"/>
        <v>1980</v>
      </c>
      <c r="P883" s="8">
        <f t="shared" si="93"/>
        <v>1980</v>
      </c>
      <c r="Q883" s="8">
        <f t="shared" si="94"/>
        <v>0</v>
      </c>
      <c r="R883" s="9">
        <f t="shared" si="95"/>
        <v>1980</v>
      </c>
      <c r="S883" s="10">
        <f t="shared" si="96"/>
        <v>165</v>
      </c>
      <c r="T883">
        <v>165</v>
      </c>
      <c r="U883">
        <f t="shared" si="97"/>
        <v>0</v>
      </c>
    </row>
    <row r="884" spans="1:21" ht="14.25" customHeight="1" x14ac:dyDescent="0.35">
      <c r="A884" s="6" t="s">
        <v>2409</v>
      </c>
      <c r="B884" s="6" t="s">
        <v>2410</v>
      </c>
      <c r="C884" s="6" t="s">
        <v>2411</v>
      </c>
      <c r="D884" s="6" t="s">
        <v>44</v>
      </c>
      <c r="E884" s="7" t="s">
        <v>23</v>
      </c>
      <c r="F884" s="6">
        <v>85022</v>
      </c>
      <c r="G884" s="6" t="s">
        <v>173</v>
      </c>
      <c r="H884" s="6" t="s">
        <v>79</v>
      </c>
      <c r="I884" s="6" t="s">
        <v>26</v>
      </c>
      <c r="J884" s="6" t="b">
        <v>0</v>
      </c>
      <c r="K884" s="6" t="s">
        <v>27</v>
      </c>
      <c r="L884" s="6">
        <v>0</v>
      </c>
      <c r="M884" s="6">
        <v>165</v>
      </c>
      <c r="N884" s="8" t="str">
        <f t="shared" si="91"/>
        <v>0</v>
      </c>
      <c r="O884" s="8">
        <f t="shared" si="92"/>
        <v>1980</v>
      </c>
      <c r="P884" s="8">
        <f t="shared" si="93"/>
        <v>1980</v>
      </c>
      <c r="Q884" s="8">
        <f t="shared" si="94"/>
        <v>0</v>
      </c>
      <c r="R884" s="9">
        <f t="shared" si="95"/>
        <v>1980</v>
      </c>
      <c r="S884" s="10">
        <f t="shared" si="96"/>
        <v>165</v>
      </c>
      <c r="T884">
        <v>165</v>
      </c>
      <c r="U884">
        <f t="shared" si="97"/>
        <v>0</v>
      </c>
    </row>
    <row r="885" spans="1:21" ht="14.25" customHeight="1" x14ac:dyDescent="0.35">
      <c r="A885" s="6" t="s">
        <v>2412</v>
      </c>
      <c r="B885" s="6" t="s">
        <v>2413</v>
      </c>
      <c r="C885" s="6" t="s">
        <v>2414</v>
      </c>
      <c r="D885" s="6" t="s">
        <v>54</v>
      </c>
      <c r="E885" s="7" t="s">
        <v>23</v>
      </c>
      <c r="F885" s="6">
        <v>85704</v>
      </c>
      <c r="G885" s="6" t="s">
        <v>55</v>
      </c>
      <c r="H885" s="6" t="s">
        <v>56</v>
      </c>
      <c r="I885" s="6" t="s">
        <v>57</v>
      </c>
      <c r="J885" s="6" t="b">
        <v>0</v>
      </c>
      <c r="K885" s="6" t="s">
        <v>27</v>
      </c>
      <c r="L885" s="6">
        <v>0</v>
      </c>
      <c r="M885" s="6">
        <v>165</v>
      </c>
      <c r="N885" s="8" t="str">
        <f t="shared" si="91"/>
        <v>0</v>
      </c>
      <c r="O885" s="8">
        <f t="shared" si="92"/>
        <v>1980</v>
      </c>
      <c r="P885" s="8">
        <f t="shared" si="93"/>
        <v>1980</v>
      </c>
      <c r="Q885" s="8">
        <f t="shared" si="94"/>
        <v>0</v>
      </c>
      <c r="R885" s="9">
        <f t="shared" si="95"/>
        <v>1980</v>
      </c>
      <c r="S885" s="10">
        <f t="shared" si="96"/>
        <v>165</v>
      </c>
      <c r="T885">
        <v>165</v>
      </c>
      <c r="U885">
        <f t="shared" si="97"/>
        <v>0</v>
      </c>
    </row>
    <row r="886" spans="1:21" ht="14.25" customHeight="1" x14ac:dyDescent="0.35">
      <c r="A886" s="6" t="s">
        <v>2415</v>
      </c>
      <c r="B886" s="6" t="s">
        <v>2416</v>
      </c>
      <c r="C886" s="6" t="s">
        <v>2417</v>
      </c>
      <c r="D886" s="6" t="s">
        <v>165</v>
      </c>
      <c r="E886" s="7" t="s">
        <v>23</v>
      </c>
      <c r="F886" s="6">
        <v>85233</v>
      </c>
      <c r="G886" s="6" t="s">
        <v>24</v>
      </c>
      <c r="H886" s="6" t="s">
        <v>25</v>
      </c>
      <c r="I886" s="6" t="s">
        <v>26</v>
      </c>
      <c r="J886" s="6" t="b">
        <v>0</v>
      </c>
      <c r="K886" s="6" t="s">
        <v>27</v>
      </c>
      <c r="L886" s="6">
        <v>0</v>
      </c>
      <c r="M886" s="6">
        <v>165</v>
      </c>
      <c r="N886" s="8" t="str">
        <f t="shared" si="91"/>
        <v>0</v>
      </c>
      <c r="O886" s="8">
        <f t="shared" si="92"/>
        <v>1980</v>
      </c>
      <c r="P886" s="8">
        <f t="shared" si="93"/>
        <v>1980</v>
      </c>
      <c r="Q886" s="8">
        <f t="shared" si="94"/>
        <v>0</v>
      </c>
      <c r="R886" s="9">
        <f t="shared" si="95"/>
        <v>1980</v>
      </c>
      <c r="S886" s="10">
        <f t="shared" si="96"/>
        <v>165</v>
      </c>
      <c r="T886">
        <v>165</v>
      </c>
      <c r="U886">
        <f t="shared" si="97"/>
        <v>0</v>
      </c>
    </row>
    <row r="887" spans="1:21" ht="14.25" customHeight="1" x14ac:dyDescent="0.35">
      <c r="A887" s="6" t="s">
        <v>2418</v>
      </c>
      <c r="B887" s="6" t="s">
        <v>2419</v>
      </c>
      <c r="C887" s="6" t="s">
        <v>2420</v>
      </c>
      <c r="D887" s="6" t="s">
        <v>267</v>
      </c>
      <c r="E887" s="7" t="s">
        <v>23</v>
      </c>
      <c r="F887" s="6">
        <v>85379</v>
      </c>
      <c r="G887" s="6" t="s">
        <v>78</v>
      </c>
      <c r="H887" s="6" t="s">
        <v>268</v>
      </c>
      <c r="I887" s="6" t="s">
        <v>57</v>
      </c>
      <c r="J887" s="6" t="b">
        <v>0</v>
      </c>
      <c r="K887" s="6" t="s">
        <v>27</v>
      </c>
      <c r="L887" s="6">
        <v>0</v>
      </c>
      <c r="M887" s="6">
        <v>165</v>
      </c>
      <c r="N887" s="8" t="str">
        <f t="shared" si="91"/>
        <v>0</v>
      </c>
      <c r="O887" s="8">
        <f t="shared" si="92"/>
        <v>1980</v>
      </c>
      <c r="P887" s="8">
        <f t="shared" si="93"/>
        <v>1980</v>
      </c>
      <c r="Q887" s="8">
        <f t="shared" si="94"/>
        <v>0</v>
      </c>
      <c r="R887" s="9">
        <f t="shared" si="95"/>
        <v>1980</v>
      </c>
      <c r="S887" s="10">
        <f t="shared" si="96"/>
        <v>165</v>
      </c>
      <c r="T887">
        <v>165</v>
      </c>
      <c r="U887">
        <f t="shared" si="97"/>
        <v>0</v>
      </c>
    </row>
    <row r="888" spans="1:21" ht="14.25" customHeight="1" x14ac:dyDescent="0.35">
      <c r="A888" s="6" t="s">
        <v>2421</v>
      </c>
      <c r="B888" s="6" t="s">
        <v>2422</v>
      </c>
      <c r="C888" s="6" t="s">
        <v>2423</v>
      </c>
      <c r="D888" s="6" t="s">
        <v>454</v>
      </c>
      <c r="E888" s="7" t="s">
        <v>23</v>
      </c>
      <c r="F888" s="6">
        <v>85395</v>
      </c>
      <c r="G888" s="6" t="s">
        <v>38</v>
      </c>
      <c r="H888" s="6" t="s">
        <v>378</v>
      </c>
      <c r="I888" s="6" t="s">
        <v>26</v>
      </c>
      <c r="J888" s="6" t="b">
        <v>0</v>
      </c>
      <c r="K888" s="6" t="s">
        <v>27</v>
      </c>
      <c r="L888" s="6">
        <v>0</v>
      </c>
      <c r="M888" s="6">
        <v>165</v>
      </c>
      <c r="N888" s="8" t="str">
        <f t="shared" si="91"/>
        <v>0</v>
      </c>
      <c r="O888" s="8">
        <f t="shared" si="92"/>
        <v>1980</v>
      </c>
      <c r="P888" s="8">
        <f t="shared" si="93"/>
        <v>1980</v>
      </c>
      <c r="Q888" s="8">
        <f t="shared" si="94"/>
        <v>0</v>
      </c>
      <c r="R888" s="9">
        <f t="shared" si="95"/>
        <v>1980</v>
      </c>
      <c r="S888" s="10">
        <f t="shared" si="96"/>
        <v>165</v>
      </c>
      <c r="T888">
        <v>165</v>
      </c>
      <c r="U888">
        <f t="shared" si="97"/>
        <v>0</v>
      </c>
    </row>
    <row r="889" spans="1:21" ht="14.25" customHeight="1" x14ac:dyDescent="0.35">
      <c r="A889" s="6" t="s">
        <v>2424</v>
      </c>
      <c r="B889" s="6" t="s">
        <v>2425</v>
      </c>
      <c r="C889" s="6" t="s">
        <v>2426</v>
      </c>
      <c r="D889" s="6" t="s">
        <v>363</v>
      </c>
      <c r="E889" s="7" t="s">
        <v>23</v>
      </c>
      <c r="F889" s="6">
        <v>85282</v>
      </c>
      <c r="G889" s="6" t="s">
        <v>364</v>
      </c>
      <c r="H889" s="6" t="s">
        <v>365</v>
      </c>
      <c r="I889" s="6" t="s">
        <v>26</v>
      </c>
      <c r="J889" s="6" t="b">
        <v>0</v>
      </c>
      <c r="K889" s="6" t="s">
        <v>27</v>
      </c>
      <c r="L889" s="6">
        <v>0</v>
      </c>
      <c r="M889" s="6">
        <v>165</v>
      </c>
      <c r="N889" s="8" t="str">
        <f t="shared" si="91"/>
        <v>0</v>
      </c>
      <c r="O889" s="8">
        <f t="shared" si="92"/>
        <v>1980</v>
      </c>
      <c r="P889" s="8">
        <f t="shared" si="93"/>
        <v>1980</v>
      </c>
      <c r="Q889" s="8">
        <f t="shared" si="94"/>
        <v>0</v>
      </c>
      <c r="R889" s="9">
        <f t="shared" si="95"/>
        <v>1980</v>
      </c>
      <c r="S889" s="10">
        <f t="shared" si="96"/>
        <v>165</v>
      </c>
      <c r="T889">
        <v>165</v>
      </c>
      <c r="U889">
        <f t="shared" si="97"/>
        <v>0</v>
      </c>
    </row>
    <row r="890" spans="1:21" ht="14.25" customHeight="1" x14ac:dyDescent="0.35">
      <c r="A890" s="6" t="s">
        <v>2427</v>
      </c>
      <c r="B890" s="6" t="s">
        <v>2428</v>
      </c>
      <c r="C890" s="6" t="s">
        <v>2429</v>
      </c>
      <c r="D890" s="6" t="s">
        <v>31</v>
      </c>
      <c r="E890" s="7" t="s">
        <v>23</v>
      </c>
      <c r="F890" s="6">
        <v>85262</v>
      </c>
      <c r="G890" s="6" t="s">
        <v>32</v>
      </c>
      <c r="H890" s="6" t="s">
        <v>33</v>
      </c>
      <c r="I890" s="6" t="s">
        <v>26</v>
      </c>
      <c r="J890" s="6" t="b">
        <v>0</v>
      </c>
      <c r="K890" s="6" t="s">
        <v>27</v>
      </c>
      <c r="L890" s="6">
        <v>0</v>
      </c>
      <c r="M890" s="6">
        <v>165</v>
      </c>
      <c r="N890" s="8" t="str">
        <f t="shared" si="91"/>
        <v>0</v>
      </c>
      <c r="O890" s="8">
        <f t="shared" si="92"/>
        <v>1980</v>
      </c>
      <c r="P890" s="8">
        <f t="shared" si="93"/>
        <v>1980</v>
      </c>
      <c r="Q890" s="8">
        <f t="shared" si="94"/>
        <v>0</v>
      </c>
      <c r="R890" s="9">
        <f t="shared" si="95"/>
        <v>1980</v>
      </c>
      <c r="S890" s="10">
        <f t="shared" si="96"/>
        <v>165</v>
      </c>
      <c r="T890">
        <v>165</v>
      </c>
      <c r="U890">
        <f t="shared" si="97"/>
        <v>0</v>
      </c>
    </row>
    <row r="891" spans="1:21" ht="14.25" customHeight="1" x14ac:dyDescent="0.35">
      <c r="A891" s="6" t="s">
        <v>2430</v>
      </c>
      <c r="B891" s="6" t="s">
        <v>2431</v>
      </c>
      <c r="C891" s="6" t="s">
        <v>2432</v>
      </c>
      <c r="D891" s="6" t="s">
        <v>892</v>
      </c>
      <c r="E891" s="7" t="s">
        <v>23</v>
      </c>
      <c r="F891" s="6">
        <v>85142</v>
      </c>
      <c r="G891" s="6" t="s">
        <v>125</v>
      </c>
      <c r="H891" s="6" t="s">
        <v>1047</v>
      </c>
      <c r="I891" s="6" t="s">
        <v>26</v>
      </c>
      <c r="J891" s="6" t="b">
        <v>0</v>
      </c>
      <c r="K891" s="6" t="s">
        <v>27</v>
      </c>
      <c r="L891" s="6">
        <v>0</v>
      </c>
      <c r="M891" s="6">
        <v>165</v>
      </c>
      <c r="N891" s="8" t="str">
        <f t="shared" si="91"/>
        <v>0</v>
      </c>
      <c r="O891" s="8">
        <f t="shared" si="92"/>
        <v>1980</v>
      </c>
      <c r="P891" s="8">
        <f t="shared" si="93"/>
        <v>1980</v>
      </c>
      <c r="Q891" s="8">
        <f t="shared" si="94"/>
        <v>0</v>
      </c>
      <c r="R891" s="9">
        <f t="shared" si="95"/>
        <v>1980</v>
      </c>
      <c r="S891" s="10">
        <f t="shared" si="96"/>
        <v>165</v>
      </c>
      <c r="T891">
        <v>165</v>
      </c>
      <c r="U891">
        <f t="shared" si="97"/>
        <v>0</v>
      </c>
    </row>
    <row r="892" spans="1:21" ht="14.25" customHeight="1" x14ac:dyDescent="0.35">
      <c r="A892" s="6" t="s">
        <v>2433</v>
      </c>
      <c r="B892" s="6" t="s">
        <v>2434</v>
      </c>
      <c r="C892" s="6" t="s">
        <v>2435</v>
      </c>
      <c r="D892" s="6" t="s">
        <v>489</v>
      </c>
      <c r="E892" s="7" t="s">
        <v>23</v>
      </c>
      <c r="F892" s="6">
        <v>85087</v>
      </c>
      <c r="G892" s="6" t="s">
        <v>32</v>
      </c>
      <c r="H892" s="6" t="s">
        <v>79</v>
      </c>
      <c r="I892" s="6" t="s">
        <v>40</v>
      </c>
      <c r="J892" s="6" t="b">
        <v>0</v>
      </c>
      <c r="K892" s="6" t="s">
        <v>27</v>
      </c>
      <c r="L892" s="6">
        <v>0</v>
      </c>
      <c r="M892" s="6">
        <v>165</v>
      </c>
      <c r="N892" s="8" t="str">
        <f t="shared" si="91"/>
        <v>0</v>
      </c>
      <c r="O892" s="8">
        <f t="shared" si="92"/>
        <v>1980</v>
      </c>
      <c r="P892" s="8">
        <f t="shared" si="93"/>
        <v>1980</v>
      </c>
      <c r="Q892" s="8">
        <f t="shared" si="94"/>
        <v>0</v>
      </c>
      <c r="R892" s="9">
        <f t="shared" si="95"/>
        <v>1980</v>
      </c>
      <c r="S892" s="10">
        <f t="shared" si="96"/>
        <v>165</v>
      </c>
      <c r="T892">
        <v>165</v>
      </c>
      <c r="U892">
        <f t="shared" si="97"/>
        <v>0</v>
      </c>
    </row>
    <row r="893" spans="1:21" ht="14.25" customHeight="1" x14ac:dyDescent="0.35">
      <c r="A893" s="6" t="s">
        <v>2436</v>
      </c>
      <c r="B893" s="6" t="s">
        <v>2437</v>
      </c>
      <c r="C893" s="6" t="s">
        <v>2438</v>
      </c>
      <c r="D893" s="6" t="s">
        <v>482</v>
      </c>
      <c r="E893" s="7" t="s">
        <v>23</v>
      </c>
      <c r="F893" s="6">
        <v>85396</v>
      </c>
      <c r="G893" s="6" t="s">
        <v>38</v>
      </c>
      <c r="H893" s="6" t="s">
        <v>378</v>
      </c>
      <c r="I893" s="6" t="s">
        <v>26</v>
      </c>
      <c r="J893" s="6" t="b">
        <v>0</v>
      </c>
      <c r="K893" s="6" t="s">
        <v>27</v>
      </c>
      <c r="L893" s="6">
        <v>0</v>
      </c>
      <c r="M893" s="6">
        <v>165</v>
      </c>
      <c r="N893" s="8" t="str">
        <f t="shared" si="91"/>
        <v>0</v>
      </c>
      <c r="O893" s="8">
        <f t="shared" si="92"/>
        <v>1980</v>
      </c>
      <c r="P893" s="8">
        <f t="shared" si="93"/>
        <v>1980</v>
      </c>
      <c r="Q893" s="8">
        <f t="shared" si="94"/>
        <v>0</v>
      </c>
      <c r="R893" s="9">
        <f t="shared" si="95"/>
        <v>1980</v>
      </c>
      <c r="S893" s="10">
        <f t="shared" si="96"/>
        <v>165</v>
      </c>
      <c r="T893">
        <v>165</v>
      </c>
      <c r="U893">
        <f t="shared" si="97"/>
        <v>0</v>
      </c>
    </row>
    <row r="894" spans="1:21" ht="14.25" customHeight="1" x14ac:dyDescent="0.35">
      <c r="A894" s="6" t="s">
        <v>2439</v>
      </c>
      <c r="B894" s="6" t="s">
        <v>2440</v>
      </c>
      <c r="C894" s="6" t="s">
        <v>2441</v>
      </c>
      <c r="D894" s="6" t="s">
        <v>44</v>
      </c>
      <c r="E894" s="7" t="s">
        <v>23</v>
      </c>
      <c r="F894" s="6">
        <v>85021</v>
      </c>
      <c r="G894" s="6" t="s">
        <v>72</v>
      </c>
      <c r="H894" s="6" t="s">
        <v>73</v>
      </c>
      <c r="I894" s="6" t="s">
        <v>26</v>
      </c>
      <c r="J894" s="6" t="b">
        <v>0</v>
      </c>
      <c r="K894" s="6" t="s">
        <v>27</v>
      </c>
      <c r="L894" s="6">
        <v>0</v>
      </c>
      <c r="M894" s="6">
        <v>165</v>
      </c>
      <c r="N894" s="8" t="str">
        <f t="shared" si="91"/>
        <v>0</v>
      </c>
      <c r="O894" s="8">
        <f t="shared" si="92"/>
        <v>1980</v>
      </c>
      <c r="P894" s="8">
        <f t="shared" si="93"/>
        <v>1980</v>
      </c>
      <c r="Q894" s="8">
        <f t="shared" si="94"/>
        <v>0</v>
      </c>
      <c r="R894" s="9">
        <f t="shared" si="95"/>
        <v>1980</v>
      </c>
      <c r="S894" s="10">
        <f t="shared" si="96"/>
        <v>165</v>
      </c>
      <c r="T894">
        <v>165</v>
      </c>
      <c r="U894">
        <f t="shared" si="97"/>
        <v>0</v>
      </c>
    </row>
    <row r="895" spans="1:21" ht="14.25" customHeight="1" x14ac:dyDescent="0.35">
      <c r="A895" s="6" t="s">
        <v>2442</v>
      </c>
      <c r="B895" s="6" t="s">
        <v>2443</v>
      </c>
      <c r="C895" s="6" t="s">
        <v>2444</v>
      </c>
      <c r="D895" s="6" t="s">
        <v>454</v>
      </c>
      <c r="E895" s="7" t="s">
        <v>23</v>
      </c>
      <c r="F895" s="6">
        <v>85338</v>
      </c>
      <c r="G895" s="6" t="s">
        <v>38</v>
      </c>
      <c r="H895" s="6" t="s">
        <v>378</v>
      </c>
      <c r="I895" s="6" t="s">
        <v>57</v>
      </c>
      <c r="J895" s="6" t="b">
        <v>0</v>
      </c>
      <c r="K895" s="6" t="s">
        <v>27</v>
      </c>
      <c r="L895" s="6">
        <v>0</v>
      </c>
      <c r="M895" s="6">
        <v>165</v>
      </c>
      <c r="N895" s="8" t="str">
        <f t="shared" si="91"/>
        <v>0</v>
      </c>
      <c r="O895" s="8">
        <f t="shared" si="92"/>
        <v>1980</v>
      </c>
      <c r="P895" s="8">
        <f t="shared" si="93"/>
        <v>1980</v>
      </c>
      <c r="Q895" s="8">
        <f t="shared" si="94"/>
        <v>0</v>
      </c>
      <c r="R895" s="9">
        <f t="shared" si="95"/>
        <v>1980</v>
      </c>
      <c r="S895" s="10">
        <f t="shared" si="96"/>
        <v>165</v>
      </c>
      <c r="T895">
        <v>165</v>
      </c>
      <c r="U895">
        <f t="shared" si="97"/>
        <v>0</v>
      </c>
    </row>
    <row r="896" spans="1:21" ht="14.25" customHeight="1" x14ac:dyDescent="0.35">
      <c r="A896" s="6" t="s">
        <v>2445</v>
      </c>
      <c r="B896" s="6" t="s">
        <v>2446</v>
      </c>
      <c r="C896" s="6" t="s">
        <v>2447</v>
      </c>
      <c r="D896" s="6" t="s">
        <v>165</v>
      </c>
      <c r="E896" s="7" t="s">
        <v>23</v>
      </c>
      <c r="F896" s="6">
        <v>85297</v>
      </c>
      <c r="G896" s="6" t="s">
        <v>125</v>
      </c>
      <c r="H896" s="6" t="s">
        <v>225</v>
      </c>
      <c r="I896" s="6" t="s">
        <v>26</v>
      </c>
      <c r="J896" s="6" t="b">
        <v>0</v>
      </c>
      <c r="K896" s="6" t="s">
        <v>27</v>
      </c>
      <c r="L896" s="6">
        <v>0</v>
      </c>
      <c r="M896" s="6">
        <v>165</v>
      </c>
      <c r="N896" s="8" t="str">
        <f t="shared" si="91"/>
        <v>0</v>
      </c>
      <c r="O896" s="8">
        <f t="shared" si="92"/>
        <v>1980</v>
      </c>
      <c r="P896" s="8">
        <f t="shared" si="93"/>
        <v>1980</v>
      </c>
      <c r="Q896" s="8">
        <f t="shared" si="94"/>
        <v>0</v>
      </c>
      <c r="R896" s="9">
        <f t="shared" si="95"/>
        <v>1980</v>
      </c>
      <c r="S896" s="10">
        <f t="shared" si="96"/>
        <v>165</v>
      </c>
      <c r="T896">
        <v>165</v>
      </c>
      <c r="U896">
        <f t="shared" si="97"/>
        <v>0</v>
      </c>
    </row>
    <row r="897" spans="1:21" ht="14.25" customHeight="1" x14ac:dyDescent="0.35">
      <c r="A897" s="6" t="s">
        <v>2448</v>
      </c>
      <c r="B897" s="6" t="s">
        <v>2449</v>
      </c>
      <c r="C897" s="6" t="s">
        <v>2450</v>
      </c>
      <c r="D897" s="6" t="s">
        <v>65</v>
      </c>
      <c r="E897" s="7" t="s">
        <v>23</v>
      </c>
      <c r="F897" s="6">
        <v>85213</v>
      </c>
      <c r="G897" s="6" t="s">
        <v>66</v>
      </c>
      <c r="H897" s="6" t="s">
        <v>67</v>
      </c>
      <c r="I897" s="6" t="s">
        <v>26</v>
      </c>
      <c r="J897" s="6" t="b">
        <v>0</v>
      </c>
      <c r="K897" s="6" t="s">
        <v>27</v>
      </c>
      <c r="L897" s="6">
        <v>0</v>
      </c>
      <c r="M897" s="6">
        <v>165</v>
      </c>
      <c r="N897" s="8" t="str">
        <f t="shared" si="91"/>
        <v>0</v>
      </c>
      <c r="O897" s="8">
        <f t="shared" si="92"/>
        <v>1980</v>
      </c>
      <c r="P897" s="8">
        <f t="shared" si="93"/>
        <v>1980</v>
      </c>
      <c r="Q897" s="8">
        <f t="shared" si="94"/>
        <v>0</v>
      </c>
      <c r="R897" s="9">
        <f t="shared" si="95"/>
        <v>1980</v>
      </c>
      <c r="S897" s="10">
        <f t="shared" si="96"/>
        <v>165</v>
      </c>
      <c r="T897">
        <v>165</v>
      </c>
      <c r="U897">
        <f t="shared" si="97"/>
        <v>0</v>
      </c>
    </row>
    <row r="898" spans="1:21" ht="14.25" customHeight="1" x14ac:dyDescent="0.35">
      <c r="A898" s="6" t="s">
        <v>2451</v>
      </c>
      <c r="B898" s="6" t="s">
        <v>2452</v>
      </c>
      <c r="C898" s="6" t="s">
        <v>2453</v>
      </c>
      <c r="D898" s="6" t="s">
        <v>65</v>
      </c>
      <c r="E898" s="7" t="s">
        <v>23</v>
      </c>
      <c r="F898" s="6">
        <v>85215</v>
      </c>
      <c r="G898" s="6" t="s">
        <v>66</v>
      </c>
      <c r="H898" s="6" t="s">
        <v>67</v>
      </c>
      <c r="I898" s="6" t="s">
        <v>26</v>
      </c>
      <c r="J898" s="6" t="b">
        <v>0</v>
      </c>
      <c r="K898" s="6" t="s">
        <v>27</v>
      </c>
      <c r="L898" s="6">
        <v>0</v>
      </c>
      <c r="M898" s="6">
        <v>165</v>
      </c>
      <c r="N898" s="8" t="str">
        <f t="shared" ref="N898:N961" si="98">IF(J898=TRUE, 6.39*12, "0")</f>
        <v>0</v>
      </c>
      <c r="O898" s="8">
        <f t="shared" ref="O898:O961" si="99">L898+(M898*12)+N898</f>
        <v>1980</v>
      </c>
      <c r="P898" s="8">
        <f t="shared" ref="P898:P961" si="100">IF(OR(K898="Check",K898="ACH"), O898*0.97, O898)</f>
        <v>1980</v>
      </c>
      <c r="Q898" s="8">
        <f t="shared" ref="Q898:Q961" si="101">P898-O898</f>
        <v>0</v>
      </c>
      <c r="R898" s="9">
        <f t="shared" ref="R898:R961" si="102">O898-Q898</f>
        <v>1980</v>
      </c>
      <c r="S898" s="10">
        <f t="shared" ref="S898:S961" si="103">R898/12</f>
        <v>165</v>
      </c>
      <c r="T898">
        <v>165</v>
      </c>
      <c r="U898">
        <f t="shared" si="97"/>
        <v>0</v>
      </c>
    </row>
    <row r="899" spans="1:21" ht="14.25" customHeight="1" x14ac:dyDescent="0.35">
      <c r="A899" s="6" t="s">
        <v>2454</v>
      </c>
      <c r="B899" s="6" t="s">
        <v>2455</v>
      </c>
      <c r="C899" s="6" t="s">
        <v>2456</v>
      </c>
      <c r="D899" s="6" t="s">
        <v>44</v>
      </c>
      <c r="E899" s="7" t="s">
        <v>23</v>
      </c>
      <c r="F899" s="6">
        <v>85021</v>
      </c>
      <c r="G899" s="6" t="s">
        <v>72</v>
      </c>
      <c r="H899" s="6" t="s">
        <v>93</v>
      </c>
      <c r="I899" s="6" t="s">
        <v>26</v>
      </c>
      <c r="J899" s="6" t="b">
        <v>0</v>
      </c>
      <c r="K899" s="6" t="s">
        <v>27</v>
      </c>
      <c r="L899" s="6">
        <v>0</v>
      </c>
      <c r="M899" s="6">
        <v>165</v>
      </c>
      <c r="N899" s="8" t="str">
        <f t="shared" si="98"/>
        <v>0</v>
      </c>
      <c r="O899" s="8">
        <f t="shared" si="99"/>
        <v>1980</v>
      </c>
      <c r="P899" s="8">
        <f t="shared" si="100"/>
        <v>1980</v>
      </c>
      <c r="Q899" s="8">
        <f t="shared" si="101"/>
        <v>0</v>
      </c>
      <c r="R899" s="9">
        <f t="shared" si="102"/>
        <v>1980</v>
      </c>
      <c r="S899" s="10">
        <f t="shared" si="103"/>
        <v>165</v>
      </c>
      <c r="T899">
        <v>165</v>
      </c>
      <c r="U899">
        <f t="shared" si="97"/>
        <v>0</v>
      </c>
    </row>
    <row r="900" spans="1:21" ht="14.25" customHeight="1" x14ac:dyDescent="0.35">
      <c r="A900" s="6" t="s">
        <v>2457</v>
      </c>
      <c r="B900" s="6" t="s">
        <v>2458</v>
      </c>
      <c r="C900" s="6" t="s">
        <v>2459</v>
      </c>
      <c r="D900" s="6" t="s">
        <v>44</v>
      </c>
      <c r="E900" s="7" t="s">
        <v>23</v>
      </c>
      <c r="F900" s="6">
        <v>85028</v>
      </c>
      <c r="G900" s="6" t="s">
        <v>173</v>
      </c>
      <c r="H900" s="6" t="s">
        <v>79</v>
      </c>
      <c r="I900" s="6" t="s">
        <v>26</v>
      </c>
      <c r="J900" s="6" t="b">
        <v>0</v>
      </c>
      <c r="K900" s="6" t="s">
        <v>27</v>
      </c>
      <c r="L900" s="6">
        <v>0</v>
      </c>
      <c r="M900" s="6">
        <v>165</v>
      </c>
      <c r="N900" s="8" t="str">
        <f t="shared" si="98"/>
        <v>0</v>
      </c>
      <c r="O900" s="8">
        <f t="shared" si="99"/>
        <v>1980</v>
      </c>
      <c r="P900" s="8">
        <f t="shared" si="100"/>
        <v>1980</v>
      </c>
      <c r="Q900" s="8">
        <f t="shared" si="101"/>
        <v>0</v>
      </c>
      <c r="R900" s="9">
        <f t="shared" si="102"/>
        <v>1980</v>
      </c>
      <c r="S900" s="10">
        <f t="shared" si="103"/>
        <v>165</v>
      </c>
      <c r="T900">
        <v>165</v>
      </c>
      <c r="U900">
        <f t="shared" ref="U900:U963" si="104">SUM(T900-M900)</f>
        <v>0</v>
      </c>
    </row>
    <row r="901" spans="1:21" ht="14.25" customHeight="1" x14ac:dyDescent="0.35">
      <c r="A901" s="6" t="s">
        <v>2460</v>
      </c>
      <c r="B901" s="6" t="s">
        <v>2461</v>
      </c>
      <c r="C901" s="6" t="s">
        <v>2462</v>
      </c>
      <c r="D901" s="6" t="s">
        <v>31</v>
      </c>
      <c r="E901" s="7" t="s">
        <v>23</v>
      </c>
      <c r="F901" s="6">
        <v>85257</v>
      </c>
      <c r="G901" s="6" t="s">
        <v>49</v>
      </c>
      <c r="H901" s="6" t="s">
        <v>202</v>
      </c>
      <c r="I901" s="6" t="s">
        <v>26</v>
      </c>
      <c r="J901" s="6" t="b">
        <v>0</v>
      </c>
      <c r="K901" s="6" t="s">
        <v>27</v>
      </c>
      <c r="L901" s="6">
        <v>0</v>
      </c>
      <c r="M901" s="6">
        <v>165</v>
      </c>
      <c r="N901" s="8" t="str">
        <f t="shared" si="98"/>
        <v>0</v>
      </c>
      <c r="O901" s="8">
        <f t="shared" si="99"/>
        <v>1980</v>
      </c>
      <c r="P901" s="8">
        <f t="shared" si="100"/>
        <v>1980</v>
      </c>
      <c r="Q901" s="8">
        <f t="shared" si="101"/>
        <v>0</v>
      </c>
      <c r="R901" s="9">
        <f t="shared" si="102"/>
        <v>1980</v>
      </c>
      <c r="S901" s="10">
        <f t="shared" si="103"/>
        <v>165</v>
      </c>
      <c r="T901">
        <v>165</v>
      </c>
      <c r="U901">
        <f t="shared" si="104"/>
        <v>0</v>
      </c>
    </row>
    <row r="902" spans="1:21" ht="14.25" customHeight="1" x14ac:dyDescent="0.35">
      <c r="A902" s="6" t="s">
        <v>2463</v>
      </c>
      <c r="B902" s="6" t="s">
        <v>2464</v>
      </c>
      <c r="C902" s="6" t="s">
        <v>2465</v>
      </c>
      <c r="D902" s="6" t="s">
        <v>22</v>
      </c>
      <c r="E902" s="7" t="s">
        <v>23</v>
      </c>
      <c r="F902" s="6">
        <v>85224</v>
      </c>
      <c r="G902" s="6" t="s">
        <v>24</v>
      </c>
      <c r="H902" s="6" t="s">
        <v>25</v>
      </c>
      <c r="I902" s="6" t="s">
        <v>26</v>
      </c>
      <c r="J902" s="6" t="b">
        <v>0</v>
      </c>
      <c r="K902" s="6" t="s">
        <v>27</v>
      </c>
      <c r="L902" s="6">
        <v>0</v>
      </c>
      <c r="M902" s="6">
        <v>165</v>
      </c>
      <c r="N902" s="8" t="str">
        <f t="shared" si="98"/>
        <v>0</v>
      </c>
      <c r="O902" s="8">
        <f t="shared" si="99"/>
        <v>1980</v>
      </c>
      <c r="P902" s="8">
        <f t="shared" si="100"/>
        <v>1980</v>
      </c>
      <c r="Q902" s="8">
        <f t="shared" si="101"/>
        <v>0</v>
      </c>
      <c r="R902" s="9">
        <f t="shared" si="102"/>
        <v>1980</v>
      </c>
      <c r="S902" s="10">
        <f t="shared" si="103"/>
        <v>165</v>
      </c>
      <c r="T902">
        <v>165</v>
      </c>
      <c r="U902">
        <f t="shared" si="104"/>
        <v>0</v>
      </c>
    </row>
    <row r="903" spans="1:21" ht="14.25" customHeight="1" x14ac:dyDescent="0.35">
      <c r="A903" s="6" t="s">
        <v>2466</v>
      </c>
      <c r="B903" s="6" t="s">
        <v>2467</v>
      </c>
      <c r="C903" s="6" t="s">
        <v>2468</v>
      </c>
      <c r="D903" s="6" t="s">
        <v>44</v>
      </c>
      <c r="E903" s="7" t="s">
        <v>23</v>
      </c>
      <c r="F903" s="6">
        <v>85028</v>
      </c>
      <c r="G903" s="6" t="s">
        <v>45</v>
      </c>
      <c r="H903" s="6" t="s">
        <v>79</v>
      </c>
      <c r="I903" s="6" t="s">
        <v>26</v>
      </c>
      <c r="J903" s="6" t="b">
        <v>0</v>
      </c>
      <c r="K903" s="6" t="s">
        <v>27</v>
      </c>
      <c r="L903" s="6">
        <v>0</v>
      </c>
      <c r="M903" s="6">
        <v>165</v>
      </c>
      <c r="N903" s="8" t="str">
        <f t="shared" si="98"/>
        <v>0</v>
      </c>
      <c r="O903" s="8">
        <f t="shared" si="99"/>
        <v>1980</v>
      </c>
      <c r="P903" s="8">
        <f t="shared" si="100"/>
        <v>1980</v>
      </c>
      <c r="Q903" s="8">
        <f t="shared" si="101"/>
        <v>0</v>
      </c>
      <c r="R903" s="9">
        <f t="shared" si="102"/>
        <v>1980</v>
      </c>
      <c r="S903" s="10">
        <f t="shared" si="103"/>
        <v>165</v>
      </c>
      <c r="T903">
        <v>165</v>
      </c>
      <c r="U903">
        <f t="shared" si="104"/>
        <v>0</v>
      </c>
    </row>
    <row r="904" spans="1:21" ht="14.25" customHeight="1" x14ac:dyDescent="0.35">
      <c r="A904" s="6" t="s">
        <v>2469</v>
      </c>
      <c r="B904" s="6" t="s">
        <v>2470</v>
      </c>
      <c r="C904" s="6" t="s">
        <v>2471</v>
      </c>
      <c r="D904" s="6" t="s">
        <v>1551</v>
      </c>
      <c r="E904" s="7" t="s">
        <v>23</v>
      </c>
      <c r="F904" s="6">
        <v>85351</v>
      </c>
      <c r="G904" s="6" t="s">
        <v>78</v>
      </c>
      <c r="H904" s="6" t="s">
        <v>268</v>
      </c>
      <c r="I904" s="6" t="s">
        <v>40</v>
      </c>
      <c r="J904" s="6" t="b">
        <v>0</v>
      </c>
      <c r="K904" s="6" t="s">
        <v>27</v>
      </c>
      <c r="L904" s="6">
        <v>0</v>
      </c>
      <c r="M904" s="6">
        <v>165</v>
      </c>
      <c r="N904" s="8" t="str">
        <f t="shared" si="98"/>
        <v>0</v>
      </c>
      <c r="O904" s="8">
        <f t="shared" si="99"/>
        <v>1980</v>
      </c>
      <c r="P904" s="8">
        <f t="shared" si="100"/>
        <v>1980</v>
      </c>
      <c r="Q904" s="8">
        <f t="shared" si="101"/>
        <v>0</v>
      </c>
      <c r="R904" s="9">
        <f t="shared" si="102"/>
        <v>1980</v>
      </c>
      <c r="S904" s="10">
        <f t="shared" si="103"/>
        <v>165</v>
      </c>
      <c r="T904">
        <v>165</v>
      </c>
      <c r="U904">
        <f t="shared" si="104"/>
        <v>0</v>
      </c>
    </row>
    <row r="905" spans="1:21" ht="14.25" customHeight="1" x14ac:dyDescent="0.35">
      <c r="A905" s="6" t="s">
        <v>2472</v>
      </c>
      <c r="B905" s="6" t="s">
        <v>2473</v>
      </c>
      <c r="C905" s="6" t="s">
        <v>2474</v>
      </c>
      <c r="D905" s="6" t="s">
        <v>65</v>
      </c>
      <c r="E905" s="7" t="s">
        <v>23</v>
      </c>
      <c r="F905" s="6">
        <v>85209</v>
      </c>
      <c r="G905" s="6" t="s">
        <v>125</v>
      </c>
      <c r="H905" s="6" t="s">
        <v>180</v>
      </c>
      <c r="J905" s="6" t="b">
        <v>0</v>
      </c>
      <c r="K905" s="6" t="s">
        <v>27</v>
      </c>
      <c r="L905" s="6">
        <v>0</v>
      </c>
      <c r="M905" s="6">
        <v>165</v>
      </c>
      <c r="N905" s="8" t="str">
        <f t="shared" si="98"/>
        <v>0</v>
      </c>
      <c r="O905" s="8">
        <f t="shared" si="99"/>
        <v>1980</v>
      </c>
      <c r="P905" s="8">
        <f t="shared" si="100"/>
        <v>1980</v>
      </c>
      <c r="Q905" s="8">
        <f t="shared" si="101"/>
        <v>0</v>
      </c>
      <c r="R905" s="9">
        <f t="shared" si="102"/>
        <v>1980</v>
      </c>
      <c r="S905" s="10">
        <f t="shared" si="103"/>
        <v>165</v>
      </c>
      <c r="T905">
        <v>165</v>
      </c>
      <c r="U905">
        <f t="shared" si="104"/>
        <v>0</v>
      </c>
    </row>
    <row r="906" spans="1:21" ht="14.25" customHeight="1" x14ac:dyDescent="0.35">
      <c r="A906" s="6" t="s">
        <v>2475</v>
      </c>
      <c r="B906" s="6" t="s">
        <v>2476</v>
      </c>
      <c r="C906" s="6" t="s">
        <v>2477</v>
      </c>
      <c r="D906" s="6" t="s">
        <v>31</v>
      </c>
      <c r="E906" s="7" t="s">
        <v>23</v>
      </c>
      <c r="F906" s="6">
        <v>85260</v>
      </c>
      <c r="G906" s="6" t="s">
        <v>45</v>
      </c>
      <c r="H906" s="6" t="s">
        <v>291</v>
      </c>
      <c r="I906" s="6" t="s">
        <v>26</v>
      </c>
      <c r="J906" s="6" t="b">
        <v>0</v>
      </c>
      <c r="K906" s="6" t="s">
        <v>27</v>
      </c>
      <c r="L906" s="6">
        <v>0</v>
      </c>
      <c r="M906" s="6">
        <v>165</v>
      </c>
      <c r="N906" s="8" t="str">
        <f t="shared" si="98"/>
        <v>0</v>
      </c>
      <c r="O906" s="8">
        <f t="shared" si="99"/>
        <v>1980</v>
      </c>
      <c r="P906" s="8">
        <f t="shared" si="100"/>
        <v>1980</v>
      </c>
      <c r="Q906" s="8">
        <f t="shared" si="101"/>
        <v>0</v>
      </c>
      <c r="R906" s="9">
        <f t="shared" si="102"/>
        <v>1980</v>
      </c>
      <c r="S906" s="10">
        <f t="shared" si="103"/>
        <v>165</v>
      </c>
      <c r="T906">
        <v>165</v>
      </c>
      <c r="U906">
        <f t="shared" si="104"/>
        <v>0</v>
      </c>
    </row>
    <row r="907" spans="1:21" ht="14.25" customHeight="1" x14ac:dyDescent="0.35">
      <c r="A907" s="6" t="s">
        <v>2478</v>
      </c>
      <c r="B907" s="6" t="s">
        <v>2479</v>
      </c>
      <c r="C907" s="6" t="s">
        <v>2480</v>
      </c>
      <c r="D907" s="6" t="s">
        <v>31</v>
      </c>
      <c r="E907" s="7" t="s">
        <v>23</v>
      </c>
      <c r="F907" s="6">
        <v>85262</v>
      </c>
      <c r="G907" s="6" t="s">
        <v>32</v>
      </c>
      <c r="H907" s="6" t="s">
        <v>33</v>
      </c>
      <c r="I907" s="6" t="s">
        <v>26</v>
      </c>
      <c r="J907" s="6" t="b">
        <v>0</v>
      </c>
      <c r="K907" s="6" t="s">
        <v>27</v>
      </c>
      <c r="L907" s="6">
        <v>0</v>
      </c>
      <c r="M907" s="6">
        <v>165</v>
      </c>
      <c r="N907" s="8" t="str">
        <f t="shared" si="98"/>
        <v>0</v>
      </c>
      <c r="O907" s="8">
        <f t="shared" si="99"/>
        <v>1980</v>
      </c>
      <c r="P907" s="8">
        <f t="shared" si="100"/>
        <v>1980</v>
      </c>
      <c r="Q907" s="8">
        <f t="shared" si="101"/>
        <v>0</v>
      </c>
      <c r="R907" s="9">
        <f t="shared" si="102"/>
        <v>1980</v>
      </c>
      <c r="S907" s="10">
        <f t="shared" si="103"/>
        <v>165</v>
      </c>
      <c r="T907">
        <v>165</v>
      </c>
      <c r="U907">
        <f t="shared" si="104"/>
        <v>0</v>
      </c>
    </row>
    <row r="908" spans="1:21" ht="14.25" customHeight="1" x14ac:dyDescent="0.35">
      <c r="A908" s="6" t="s">
        <v>2481</v>
      </c>
      <c r="B908" s="6" t="s">
        <v>2482</v>
      </c>
      <c r="C908" s="6" t="s">
        <v>2483</v>
      </c>
      <c r="D908" s="6" t="s">
        <v>65</v>
      </c>
      <c r="E908" s="7" t="s">
        <v>23</v>
      </c>
      <c r="F908" s="6">
        <v>85212</v>
      </c>
      <c r="G908" s="6" t="s">
        <v>125</v>
      </c>
      <c r="H908" s="6" t="s">
        <v>180</v>
      </c>
      <c r="I908" s="6" t="s">
        <v>26</v>
      </c>
      <c r="J908" s="6" t="b">
        <v>0</v>
      </c>
      <c r="K908" s="6" t="s">
        <v>27</v>
      </c>
      <c r="L908" s="6">
        <v>0</v>
      </c>
      <c r="M908" s="6">
        <v>165</v>
      </c>
      <c r="N908" s="8" t="str">
        <f t="shared" si="98"/>
        <v>0</v>
      </c>
      <c r="O908" s="8">
        <f t="shared" si="99"/>
        <v>1980</v>
      </c>
      <c r="P908" s="8">
        <f t="shared" si="100"/>
        <v>1980</v>
      </c>
      <c r="Q908" s="8">
        <f t="shared" si="101"/>
        <v>0</v>
      </c>
      <c r="R908" s="9">
        <f t="shared" si="102"/>
        <v>1980</v>
      </c>
      <c r="S908" s="10">
        <f t="shared" si="103"/>
        <v>165</v>
      </c>
      <c r="T908">
        <v>165</v>
      </c>
      <c r="U908">
        <f t="shared" si="104"/>
        <v>0</v>
      </c>
    </row>
    <row r="909" spans="1:21" ht="14.25" customHeight="1" x14ac:dyDescent="0.35">
      <c r="A909" s="6" t="s">
        <v>2484</v>
      </c>
      <c r="B909" s="6" t="s">
        <v>2485</v>
      </c>
      <c r="C909" s="6" t="s">
        <v>2486</v>
      </c>
      <c r="D909" s="6" t="s">
        <v>44</v>
      </c>
      <c r="E909" s="7" t="s">
        <v>23</v>
      </c>
      <c r="F909" s="6">
        <v>85085</v>
      </c>
      <c r="G909" s="6" t="s">
        <v>32</v>
      </c>
      <c r="H909" s="6" t="s">
        <v>50</v>
      </c>
      <c r="J909" s="6" t="b">
        <v>0</v>
      </c>
      <c r="K909" s="6" t="s">
        <v>27</v>
      </c>
      <c r="L909" s="6">
        <v>0</v>
      </c>
      <c r="M909" s="6">
        <v>165</v>
      </c>
      <c r="N909" s="8" t="str">
        <f t="shared" si="98"/>
        <v>0</v>
      </c>
      <c r="O909" s="8">
        <f t="shared" si="99"/>
        <v>1980</v>
      </c>
      <c r="P909" s="8">
        <f t="shared" si="100"/>
        <v>1980</v>
      </c>
      <c r="Q909" s="8">
        <f t="shared" si="101"/>
        <v>0</v>
      </c>
      <c r="R909" s="9">
        <f t="shared" si="102"/>
        <v>1980</v>
      </c>
      <c r="S909" s="10">
        <f t="shared" si="103"/>
        <v>165</v>
      </c>
      <c r="T909">
        <v>165</v>
      </c>
      <c r="U909">
        <f t="shared" si="104"/>
        <v>0</v>
      </c>
    </row>
    <row r="910" spans="1:21" ht="14.25" customHeight="1" x14ac:dyDescent="0.35">
      <c r="A910" s="6" t="s">
        <v>2487</v>
      </c>
      <c r="B910" s="6" t="s">
        <v>2488</v>
      </c>
      <c r="C910" s="6" t="s">
        <v>2489</v>
      </c>
      <c r="D910" s="6" t="s">
        <v>482</v>
      </c>
      <c r="E910" s="7" t="s">
        <v>23</v>
      </c>
      <c r="F910" s="6">
        <v>85396</v>
      </c>
      <c r="G910" s="6" t="s">
        <v>38</v>
      </c>
      <c r="H910" s="6" t="s">
        <v>378</v>
      </c>
      <c r="I910" s="6" t="s">
        <v>26</v>
      </c>
      <c r="J910" s="6" t="b">
        <v>0</v>
      </c>
      <c r="K910" s="6" t="s">
        <v>27</v>
      </c>
      <c r="L910" s="6">
        <v>0</v>
      </c>
      <c r="M910" s="6">
        <v>165</v>
      </c>
      <c r="N910" s="8" t="str">
        <f t="shared" si="98"/>
        <v>0</v>
      </c>
      <c r="O910" s="8">
        <f t="shared" si="99"/>
        <v>1980</v>
      </c>
      <c r="P910" s="8">
        <f t="shared" si="100"/>
        <v>1980</v>
      </c>
      <c r="Q910" s="8">
        <f t="shared" si="101"/>
        <v>0</v>
      </c>
      <c r="R910" s="9">
        <f t="shared" si="102"/>
        <v>1980</v>
      </c>
      <c r="S910" s="10">
        <f t="shared" si="103"/>
        <v>165</v>
      </c>
      <c r="T910">
        <v>165</v>
      </c>
      <c r="U910">
        <f t="shared" si="104"/>
        <v>0</v>
      </c>
    </row>
    <row r="911" spans="1:21" ht="14.25" customHeight="1" x14ac:dyDescent="0.35">
      <c r="A911" s="6" t="s">
        <v>2490</v>
      </c>
      <c r="B911" s="6" t="s">
        <v>2491</v>
      </c>
      <c r="C911" s="6" t="s">
        <v>2492</v>
      </c>
      <c r="D911" s="6" t="s">
        <v>44</v>
      </c>
      <c r="E911" s="7" t="s">
        <v>23</v>
      </c>
      <c r="F911" s="6">
        <v>85028</v>
      </c>
      <c r="G911" s="6" t="s">
        <v>173</v>
      </c>
      <c r="H911" s="6" t="s">
        <v>79</v>
      </c>
      <c r="I911" s="6" t="s">
        <v>26</v>
      </c>
      <c r="J911" s="6" t="b">
        <v>0</v>
      </c>
      <c r="K911" s="6" t="s">
        <v>27</v>
      </c>
      <c r="L911" s="6">
        <v>0</v>
      </c>
      <c r="M911" s="6">
        <v>165</v>
      </c>
      <c r="N911" s="8" t="str">
        <f t="shared" si="98"/>
        <v>0</v>
      </c>
      <c r="O911" s="8">
        <f t="shared" si="99"/>
        <v>1980</v>
      </c>
      <c r="P911" s="8">
        <f t="shared" si="100"/>
        <v>1980</v>
      </c>
      <c r="Q911" s="8">
        <f t="shared" si="101"/>
        <v>0</v>
      </c>
      <c r="R911" s="9">
        <f t="shared" si="102"/>
        <v>1980</v>
      </c>
      <c r="S911" s="10">
        <f t="shared" si="103"/>
        <v>165</v>
      </c>
      <c r="T911">
        <v>165</v>
      </c>
      <c r="U911">
        <f t="shared" si="104"/>
        <v>0</v>
      </c>
    </row>
    <row r="912" spans="1:21" ht="14.25" customHeight="1" x14ac:dyDescent="0.35">
      <c r="A912" s="6" t="s">
        <v>2493</v>
      </c>
      <c r="B912" s="6" t="s">
        <v>2494</v>
      </c>
      <c r="C912" s="6" t="s">
        <v>2495</v>
      </c>
      <c r="D912" s="6" t="s">
        <v>44</v>
      </c>
      <c r="E912" s="7" t="s">
        <v>23</v>
      </c>
      <c r="F912" s="6">
        <v>85018</v>
      </c>
      <c r="G912" s="6" t="s">
        <v>49</v>
      </c>
      <c r="I912" s="6" t="s">
        <v>26</v>
      </c>
      <c r="J912" s="6" t="b">
        <v>0</v>
      </c>
      <c r="K912" s="6" t="s">
        <v>27</v>
      </c>
      <c r="L912" s="6">
        <v>0</v>
      </c>
      <c r="M912" s="6">
        <v>165</v>
      </c>
      <c r="N912" s="8" t="str">
        <f t="shared" si="98"/>
        <v>0</v>
      </c>
      <c r="O912" s="8">
        <f t="shared" si="99"/>
        <v>1980</v>
      </c>
      <c r="P912" s="8">
        <f t="shared" si="100"/>
        <v>1980</v>
      </c>
      <c r="Q912" s="8">
        <f t="shared" si="101"/>
        <v>0</v>
      </c>
      <c r="R912" s="9">
        <f t="shared" si="102"/>
        <v>1980</v>
      </c>
      <c r="S912" s="10">
        <f t="shared" si="103"/>
        <v>165</v>
      </c>
      <c r="T912">
        <v>165</v>
      </c>
      <c r="U912">
        <f t="shared" si="104"/>
        <v>0</v>
      </c>
    </row>
    <row r="913" spans="1:21" ht="14.25" customHeight="1" x14ac:dyDescent="0.35">
      <c r="A913" s="6" t="s">
        <v>2496</v>
      </c>
      <c r="B913" s="6" t="s">
        <v>2497</v>
      </c>
      <c r="C913" s="6" t="s">
        <v>2498</v>
      </c>
      <c r="D913" s="6" t="s">
        <v>65</v>
      </c>
      <c r="E913" s="7" t="s">
        <v>23</v>
      </c>
      <c r="F913" s="6">
        <v>85202</v>
      </c>
      <c r="G913" s="6" t="s">
        <v>364</v>
      </c>
      <c r="H913" s="6" t="s">
        <v>365</v>
      </c>
      <c r="J913" s="6" t="b">
        <v>0</v>
      </c>
      <c r="K913" s="6" t="s">
        <v>27</v>
      </c>
      <c r="L913" s="6">
        <v>0</v>
      </c>
      <c r="M913" s="6">
        <v>165</v>
      </c>
      <c r="N913" s="8" t="str">
        <f t="shared" si="98"/>
        <v>0</v>
      </c>
      <c r="O913" s="8">
        <f t="shared" si="99"/>
        <v>1980</v>
      </c>
      <c r="P913" s="8">
        <f t="shared" si="100"/>
        <v>1980</v>
      </c>
      <c r="Q913" s="8">
        <f t="shared" si="101"/>
        <v>0</v>
      </c>
      <c r="R913" s="9">
        <f t="shared" si="102"/>
        <v>1980</v>
      </c>
      <c r="S913" s="10">
        <f t="shared" si="103"/>
        <v>165</v>
      </c>
      <c r="T913">
        <v>165</v>
      </c>
      <c r="U913">
        <f t="shared" si="104"/>
        <v>0</v>
      </c>
    </row>
    <row r="914" spans="1:21" ht="14.25" customHeight="1" x14ac:dyDescent="0.35">
      <c r="A914" s="6" t="s">
        <v>2499</v>
      </c>
      <c r="B914" s="6" t="s">
        <v>2500</v>
      </c>
      <c r="C914" s="6" t="s">
        <v>2501</v>
      </c>
      <c r="D914" s="6" t="s">
        <v>2002</v>
      </c>
      <c r="E914" s="7" t="s">
        <v>23</v>
      </c>
      <c r="F914" s="6">
        <v>85355</v>
      </c>
      <c r="G914" s="6" t="s">
        <v>78</v>
      </c>
      <c r="H914" s="6" t="s">
        <v>281</v>
      </c>
      <c r="I914" s="6" t="s">
        <v>26</v>
      </c>
      <c r="J914" s="6" t="b">
        <v>0</v>
      </c>
      <c r="K914" s="6" t="s">
        <v>27</v>
      </c>
      <c r="L914" s="6">
        <v>0</v>
      </c>
      <c r="M914" s="6">
        <v>165</v>
      </c>
      <c r="N914" s="8" t="str">
        <f t="shared" si="98"/>
        <v>0</v>
      </c>
      <c r="O914" s="8">
        <f t="shared" si="99"/>
        <v>1980</v>
      </c>
      <c r="P914" s="8">
        <f t="shared" si="100"/>
        <v>1980</v>
      </c>
      <c r="Q914" s="8">
        <f t="shared" si="101"/>
        <v>0</v>
      </c>
      <c r="R914" s="9">
        <f t="shared" si="102"/>
        <v>1980</v>
      </c>
      <c r="S914" s="10">
        <f t="shared" si="103"/>
        <v>165</v>
      </c>
      <c r="T914">
        <v>165</v>
      </c>
      <c r="U914">
        <f t="shared" si="104"/>
        <v>0</v>
      </c>
    </row>
    <row r="915" spans="1:21" ht="14.25" customHeight="1" x14ac:dyDescent="0.35">
      <c r="A915" s="6" t="s">
        <v>2502</v>
      </c>
      <c r="B915" s="6" t="s">
        <v>2503</v>
      </c>
      <c r="C915" s="6" t="s">
        <v>2504</v>
      </c>
      <c r="D915" s="6" t="s">
        <v>65</v>
      </c>
      <c r="E915" s="7" t="s">
        <v>23</v>
      </c>
      <c r="F915" s="6">
        <v>85203</v>
      </c>
      <c r="G915" s="6" t="s">
        <v>66</v>
      </c>
      <c r="H915" s="6" t="s">
        <v>67</v>
      </c>
      <c r="J915" s="6" t="b">
        <v>0</v>
      </c>
      <c r="K915" s="6" t="s">
        <v>27</v>
      </c>
      <c r="L915" s="6">
        <v>0</v>
      </c>
      <c r="M915" s="6">
        <v>165</v>
      </c>
      <c r="N915" s="8" t="str">
        <f t="shared" si="98"/>
        <v>0</v>
      </c>
      <c r="O915" s="8">
        <f t="shared" si="99"/>
        <v>1980</v>
      </c>
      <c r="P915" s="8">
        <f t="shared" si="100"/>
        <v>1980</v>
      </c>
      <c r="Q915" s="8">
        <f t="shared" si="101"/>
        <v>0</v>
      </c>
      <c r="R915" s="9">
        <f t="shared" si="102"/>
        <v>1980</v>
      </c>
      <c r="S915" s="10">
        <f t="shared" si="103"/>
        <v>165</v>
      </c>
      <c r="T915">
        <v>165</v>
      </c>
      <c r="U915">
        <f t="shared" si="104"/>
        <v>0</v>
      </c>
    </row>
    <row r="916" spans="1:21" ht="14.25" customHeight="1" x14ac:dyDescent="0.35">
      <c r="A916" s="6" t="s">
        <v>2505</v>
      </c>
      <c r="B916" s="6" t="s">
        <v>2506</v>
      </c>
      <c r="C916" s="6" t="s">
        <v>2507</v>
      </c>
      <c r="D916" s="6" t="s">
        <v>54</v>
      </c>
      <c r="E916" s="7" t="s">
        <v>23</v>
      </c>
      <c r="F916" s="6">
        <v>85757</v>
      </c>
      <c r="G916" s="6" t="s">
        <v>55</v>
      </c>
      <c r="H916" s="6" t="s">
        <v>56</v>
      </c>
      <c r="I916" s="6" t="s">
        <v>40</v>
      </c>
      <c r="J916" s="6" t="b">
        <v>0</v>
      </c>
      <c r="K916" s="6" t="s">
        <v>27</v>
      </c>
      <c r="L916" s="6">
        <v>0</v>
      </c>
      <c r="M916" s="6">
        <v>165</v>
      </c>
      <c r="N916" s="8" t="str">
        <f t="shared" si="98"/>
        <v>0</v>
      </c>
      <c r="O916" s="8">
        <f t="shared" si="99"/>
        <v>1980</v>
      </c>
      <c r="P916" s="8">
        <f t="shared" si="100"/>
        <v>1980</v>
      </c>
      <c r="Q916" s="8">
        <f t="shared" si="101"/>
        <v>0</v>
      </c>
      <c r="R916" s="9">
        <f t="shared" si="102"/>
        <v>1980</v>
      </c>
      <c r="S916" s="10">
        <f t="shared" si="103"/>
        <v>165</v>
      </c>
      <c r="T916">
        <v>165</v>
      </c>
      <c r="U916">
        <f t="shared" si="104"/>
        <v>0</v>
      </c>
    </row>
    <row r="917" spans="1:21" ht="14.25" customHeight="1" x14ac:dyDescent="0.35">
      <c r="A917" s="6" t="s">
        <v>2508</v>
      </c>
      <c r="B917" s="6" t="s">
        <v>2509</v>
      </c>
      <c r="C917" s="6" t="s">
        <v>2510</v>
      </c>
      <c r="D917" s="6" t="s">
        <v>77</v>
      </c>
      <c r="E917" s="7" t="s">
        <v>23</v>
      </c>
      <c r="F917" s="6">
        <v>85308</v>
      </c>
      <c r="G917" s="6" t="s">
        <v>78</v>
      </c>
      <c r="H917" s="6" t="s">
        <v>281</v>
      </c>
      <c r="I917" s="6" t="s">
        <v>26</v>
      </c>
      <c r="J917" s="6" t="b">
        <v>0</v>
      </c>
      <c r="K917" s="6" t="s">
        <v>27</v>
      </c>
      <c r="L917" s="6">
        <v>0</v>
      </c>
      <c r="M917" s="6">
        <v>165</v>
      </c>
      <c r="N917" s="8" t="str">
        <f t="shared" si="98"/>
        <v>0</v>
      </c>
      <c r="O917" s="8">
        <f t="shared" si="99"/>
        <v>1980</v>
      </c>
      <c r="P917" s="8">
        <f t="shared" si="100"/>
        <v>1980</v>
      </c>
      <c r="Q917" s="8">
        <f t="shared" si="101"/>
        <v>0</v>
      </c>
      <c r="R917" s="9">
        <f t="shared" si="102"/>
        <v>1980</v>
      </c>
      <c r="S917" s="10">
        <f t="shared" si="103"/>
        <v>165</v>
      </c>
      <c r="T917">
        <v>165</v>
      </c>
      <c r="U917">
        <f t="shared" si="104"/>
        <v>0</v>
      </c>
    </row>
    <row r="918" spans="1:21" ht="14.25" customHeight="1" x14ac:dyDescent="0.35">
      <c r="A918" s="6" t="s">
        <v>2511</v>
      </c>
      <c r="B918" s="6" t="s">
        <v>2512</v>
      </c>
      <c r="C918" s="6" t="s">
        <v>2513</v>
      </c>
      <c r="D918" s="6" t="s">
        <v>44</v>
      </c>
      <c r="E918" s="7" t="s">
        <v>23</v>
      </c>
      <c r="F918" s="6">
        <v>85024</v>
      </c>
      <c r="G918" s="6" t="s">
        <v>32</v>
      </c>
      <c r="H918" s="6" t="s">
        <v>33</v>
      </c>
      <c r="J918" s="6" t="b">
        <v>0</v>
      </c>
      <c r="K918" s="6" t="s">
        <v>27</v>
      </c>
      <c r="L918" s="6">
        <v>0</v>
      </c>
      <c r="M918" s="6">
        <v>165</v>
      </c>
      <c r="N918" s="8" t="str">
        <f t="shared" si="98"/>
        <v>0</v>
      </c>
      <c r="O918" s="8">
        <f t="shared" si="99"/>
        <v>1980</v>
      </c>
      <c r="P918" s="8">
        <f t="shared" si="100"/>
        <v>1980</v>
      </c>
      <c r="Q918" s="8">
        <f t="shared" si="101"/>
        <v>0</v>
      </c>
      <c r="R918" s="9">
        <f t="shared" si="102"/>
        <v>1980</v>
      </c>
      <c r="S918" s="10">
        <f t="shared" si="103"/>
        <v>165</v>
      </c>
      <c r="T918">
        <v>165</v>
      </c>
      <c r="U918">
        <f t="shared" si="104"/>
        <v>0</v>
      </c>
    </row>
    <row r="919" spans="1:21" ht="14.25" customHeight="1" x14ac:dyDescent="0.35">
      <c r="A919" s="6" t="s">
        <v>2514</v>
      </c>
      <c r="B919" s="6" t="s">
        <v>2515</v>
      </c>
      <c r="C919" s="6" t="s">
        <v>2516</v>
      </c>
      <c r="D919" s="6" t="s">
        <v>267</v>
      </c>
      <c r="E919" s="7" t="s">
        <v>23</v>
      </c>
      <c r="F919" s="6">
        <v>85388</v>
      </c>
      <c r="G919" s="6" t="s">
        <v>78</v>
      </c>
      <c r="H919" s="6" t="s">
        <v>281</v>
      </c>
      <c r="I919" s="6" t="s">
        <v>26</v>
      </c>
      <c r="J919" s="6" t="b">
        <v>0</v>
      </c>
      <c r="K919" s="6" t="s">
        <v>27</v>
      </c>
      <c r="L919" s="6">
        <v>0</v>
      </c>
      <c r="M919" s="6">
        <v>165</v>
      </c>
      <c r="N919" s="8" t="str">
        <f t="shared" si="98"/>
        <v>0</v>
      </c>
      <c r="O919" s="8">
        <f t="shared" si="99"/>
        <v>1980</v>
      </c>
      <c r="P919" s="8">
        <f t="shared" si="100"/>
        <v>1980</v>
      </c>
      <c r="Q919" s="8">
        <f t="shared" si="101"/>
        <v>0</v>
      </c>
      <c r="R919" s="9">
        <f t="shared" si="102"/>
        <v>1980</v>
      </c>
      <c r="S919" s="10">
        <f t="shared" si="103"/>
        <v>165</v>
      </c>
      <c r="T919">
        <v>165</v>
      </c>
      <c r="U919">
        <f t="shared" si="104"/>
        <v>0</v>
      </c>
    </row>
    <row r="920" spans="1:21" ht="14.25" customHeight="1" x14ac:dyDescent="0.35">
      <c r="A920" s="6" t="s">
        <v>2517</v>
      </c>
      <c r="B920" s="6" t="s">
        <v>2518</v>
      </c>
      <c r="C920" s="6" t="s">
        <v>2519</v>
      </c>
      <c r="D920" s="6" t="s">
        <v>44</v>
      </c>
      <c r="E920" s="7" t="s">
        <v>23</v>
      </c>
      <c r="F920" s="6">
        <v>85086</v>
      </c>
      <c r="G920" s="6" t="s">
        <v>32</v>
      </c>
      <c r="H920" s="6" t="s">
        <v>50</v>
      </c>
      <c r="I920" s="6" t="s">
        <v>61</v>
      </c>
      <c r="J920" s="6" t="b">
        <v>0</v>
      </c>
      <c r="K920" s="6" t="s">
        <v>27</v>
      </c>
      <c r="L920" s="6">
        <v>0</v>
      </c>
      <c r="M920" s="6">
        <v>165</v>
      </c>
      <c r="N920" s="8" t="str">
        <f t="shared" si="98"/>
        <v>0</v>
      </c>
      <c r="O920" s="8">
        <f t="shared" si="99"/>
        <v>1980</v>
      </c>
      <c r="P920" s="8">
        <f t="shared" si="100"/>
        <v>1980</v>
      </c>
      <c r="Q920" s="8">
        <f t="shared" si="101"/>
        <v>0</v>
      </c>
      <c r="R920" s="9">
        <f t="shared" si="102"/>
        <v>1980</v>
      </c>
      <c r="S920" s="10">
        <f t="shared" si="103"/>
        <v>165</v>
      </c>
      <c r="T920">
        <v>165</v>
      </c>
      <c r="U920">
        <f t="shared" si="104"/>
        <v>0</v>
      </c>
    </row>
    <row r="921" spans="1:21" ht="14.25" customHeight="1" x14ac:dyDescent="0.35">
      <c r="A921" s="6" t="s">
        <v>2520</v>
      </c>
      <c r="B921" s="6" t="s">
        <v>2521</v>
      </c>
      <c r="C921" s="6" t="s">
        <v>2522</v>
      </c>
      <c r="D921" s="6" t="s">
        <v>44</v>
      </c>
      <c r="E921" s="7" t="s">
        <v>23</v>
      </c>
      <c r="F921" s="6">
        <v>85043</v>
      </c>
      <c r="G921" s="6" t="s">
        <v>38</v>
      </c>
      <c r="H921" s="6" t="s">
        <v>73</v>
      </c>
      <c r="J921" s="6" t="b">
        <v>0</v>
      </c>
      <c r="K921" s="6" t="s">
        <v>27</v>
      </c>
      <c r="L921" s="6">
        <v>0</v>
      </c>
      <c r="M921" s="6">
        <v>165</v>
      </c>
      <c r="N921" s="8" t="str">
        <f t="shared" si="98"/>
        <v>0</v>
      </c>
      <c r="O921" s="8">
        <f t="shared" si="99"/>
        <v>1980</v>
      </c>
      <c r="P921" s="8">
        <f t="shared" si="100"/>
        <v>1980</v>
      </c>
      <c r="Q921" s="8">
        <f t="shared" si="101"/>
        <v>0</v>
      </c>
      <c r="R921" s="9">
        <f t="shared" si="102"/>
        <v>1980</v>
      </c>
      <c r="S921" s="10">
        <f t="shared" si="103"/>
        <v>165</v>
      </c>
      <c r="T921">
        <v>165</v>
      </c>
      <c r="U921">
        <f t="shared" si="104"/>
        <v>0</v>
      </c>
    </row>
    <row r="922" spans="1:21" ht="14.25" customHeight="1" x14ac:dyDescent="0.35">
      <c r="A922" s="6" t="s">
        <v>2523</v>
      </c>
      <c r="B922" s="6" t="s">
        <v>2524</v>
      </c>
      <c r="C922" s="6" t="s">
        <v>2525</v>
      </c>
      <c r="D922" s="6" t="s">
        <v>165</v>
      </c>
      <c r="E922" s="7" t="s">
        <v>23</v>
      </c>
      <c r="F922" s="6">
        <v>85295</v>
      </c>
      <c r="G922" s="6" t="s">
        <v>125</v>
      </c>
      <c r="H922" s="6" t="s">
        <v>180</v>
      </c>
      <c r="J922" s="6" t="b">
        <v>0</v>
      </c>
      <c r="K922" s="6" t="s">
        <v>27</v>
      </c>
      <c r="L922" s="6">
        <v>0</v>
      </c>
      <c r="M922" s="6">
        <v>165</v>
      </c>
      <c r="N922" s="8" t="str">
        <f t="shared" si="98"/>
        <v>0</v>
      </c>
      <c r="O922" s="8">
        <f t="shared" si="99"/>
        <v>1980</v>
      </c>
      <c r="P922" s="8">
        <f t="shared" si="100"/>
        <v>1980</v>
      </c>
      <c r="Q922" s="8">
        <f t="shared" si="101"/>
        <v>0</v>
      </c>
      <c r="R922" s="9">
        <f t="shared" si="102"/>
        <v>1980</v>
      </c>
      <c r="S922" s="10">
        <f t="shared" si="103"/>
        <v>165</v>
      </c>
      <c r="T922">
        <v>165</v>
      </c>
      <c r="U922">
        <f t="shared" si="104"/>
        <v>0</v>
      </c>
    </row>
    <row r="923" spans="1:21" ht="14.25" customHeight="1" x14ac:dyDescent="0.35">
      <c r="A923" s="6" t="s">
        <v>2526</v>
      </c>
      <c r="B923" s="6" t="s">
        <v>2527</v>
      </c>
      <c r="C923" s="6" t="s">
        <v>2528</v>
      </c>
      <c r="D923" s="6" t="s">
        <v>165</v>
      </c>
      <c r="E923" s="7" t="s">
        <v>23</v>
      </c>
      <c r="F923" s="6">
        <v>85295</v>
      </c>
      <c r="G923" s="6" t="s">
        <v>125</v>
      </c>
      <c r="H923" s="6" t="s">
        <v>126</v>
      </c>
      <c r="I923" s="6" t="s">
        <v>26</v>
      </c>
      <c r="J923" s="6" t="b">
        <v>0</v>
      </c>
      <c r="K923" s="6" t="s">
        <v>27</v>
      </c>
      <c r="L923" s="6">
        <v>0</v>
      </c>
      <c r="M923" s="6">
        <v>165</v>
      </c>
      <c r="N923" s="8" t="str">
        <f t="shared" si="98"/>
        <v>0</v>
      </c>
      <c r="O923" s="8">
        <f t="shared" si="99"/>
        <v>1980</v>
      </c>
      <c r="P923" s="8">
        <f t="shared" si="100"/>
        <v>1980</v>
      </c>
      <c r="Q923" s="8">
        <f t="shared" si="101"/>
        <v>0</v>
      </c>
      <c r="R923" s="9">
        <f t="shared" si="102"/>
        <v>1980</v>
      </c>
      <c r="S923" s="10">
        <f t="shared" si="103"/>
        <v>165</v>
      </c>
      <c r="T923">
        <v>165</v>
      </c>
      <c r="U923">
        <f t="shared" si="104"/>
        <v>0</v>
      </c>
    </row>
    <row r="924" spans="1:21" ht="14.25" customHeight="1" x14ac:dyDescent="0.35">
      <c r="A924" s="6" t="s">
        <v>2529</v>
      </c>
      <c r="B924" s="6" t="s">
        <v>2530</v>
      </c>
      <c r="C924" s="6" t="s">
        <v>2531</v>
      </c>
      <c r="D924" s="6" t="s">
        <v>22</v>
      </c>
      <c r="E924" s="7" t="s">
        <v>23</v>
      </c>
      <c r="F924" s="6">
        <v>85225</v>
      </c>
      <c r="G924" s="6" t="s">
        <v>24</v>
      </c>
      <c r="H924" s="6" t="s">
        <v>25</v>
      </c>
      <c r="J924" s="6" t="b">
        <v>0</v>
      </c>
      <c r="K924" s="6" t="s">
        <v>27</v>
      </c>
      <c r="L924" s="6">
        <v>0</v>
      </c>
      <c r="M924" s="6">
        <v>165</v>
      </c>
      <c r="N924" s="8" t="str">
        <f t="shared" si="98"/>
        <v>0</v>
      </c>
      <c r="O924" s="8">
        <f t="shared" si="99"/>
        <v>1980</v>
      </c>
      <c r="P924" s="8">
        <f t="shared" si="100"/>
        <v>1980</v>
      </c>
      <c r="Q924" s="8">
        <f t="shared" si="101"/>
        <v>0</v>
      </c>
      <c r="R924" s="9">
        <f t="shared" si="102"/>
        <v>1980</v>
      </c>
      <c r="S924" s="10">
        <f t="shared" si="103"/>
        <v>165</v>
      </c>
      <c r="T924">
        <v>165</v>
      </c>
      <c r="U924">
        <f t="shared" si="104"/>
        <v>0</v>
      </c>
    </row>
    <row r="925" spans="1:21" ht="14.25" customHeight="1" x14ac:dyDescent="0.35">
      <c r="A925" s="6" t="s">
        <v>2532</v>
      </c>
      <c r="B925" s="6" t="s">
        <v>2533</v>
      </c>
      <c r="C925" s="6" t="s">
        <v>2534</v>
      </c>
      <c r="D925" s="6" t="s">
        <v>241</v>
      </c>
      <c r="E925" s="7" t="s">
        <v>23</v>
      </c>
      <c r="F925" s="6">
        <v>85331</v>
      </c>
      <c r="G925" s="6" t="s">
        <v>32</v>
      </c>
      <c r="H925" s="6" t="s">
        <v>169</v>
      </c>
      <c r="I925" s="6" t="s">
        <v>26</v>
      </c>
      <c r="J925" s="6" t="b">
        <v>0</v>
      </c>
      <c r="K925" s="6" t="s">
        <v>27</v>
      </c>
      <c r="L925" s="6">
        <v>0</v>
      </c>
      <c r="M925" s="6">
        <v>165</v>
      </c>
      <c r="N925" s="8" t="str">
        <f t="shared" si="98"/>
        <v>0</v>
      </c>
      <c r="O925" s="8">
        <f t="shared" si="99"/>
        <v>1980</v>
      </c>
      <c r="P925" s="8">
        <f t="shared" si="100"/>
        <v>1980</v>
      </c>
      <c r="Q925" s="8">
        <f t="shared" si="101"/>
        <v>0</v>
      </c>
      <c r="R925" s="9">
        <f t="shared" si="102"/>
        <v>1980</v>
      </c>
      <c r="S925" s="10">
        <f t="shared" si="103"/>
        <v>165</v>
      </c>
      <c r="T925">
        <v>165</v>
      </c>
      <c r="U925">
        <f t="shared" si="104"/>
        <v>0</v>
      </c>
    </row>
    <row r="926" spans="1:21" ht="14.25" customHeight="1" x14ac:dyDescent="0.35">
      <c r="A926" s="6" t="s">
        <v>2535</v>
      </c>
      <c r="B926" s="6" t="s">
        <v>2536</v>
      </c>
      <c r="C926" s="6" t="s">
        <v>2537</v>
      </c>
      <c r="D926" s="6" t="s">
        <v>31</v>
      </c>
      <c r="E926" s="7" t="s">
        <v>23</v>
      </c>
      <c r="F926" s="6">
        <v>85254</v>
      </c>
      <c r="G926" s="6" t="s">
        <v>45</v>
      </c>
      <c r="H926" s="6" t="s">
        <v>169</v>
      </c>
      <c r="J926" s="6" t="b">
        <v>0</v>
      </c>
      <c r="K926" s="6" t="s">
        <v>27</v>
      </c>
      <c r="L926" s="6">
        <v>0</v>
      </c>
      <c r="M926" s="6">
        <v>165</v>
      </c>
      <c r="N926" s="8" t="str">
        <f t="shared" si="98"/>
        <v>0</v>
      </c>
      <c r="O926" s="8">
        <f t="shared" si="99"/>
        <v>1980</v>
      </c>
      <c r="P926" s="8">
        <f t="shared" si="100"/>
        <v>1980</v>
      </c>
      <c r="Q926" s="8">
        <f t="shared" si="101"/>
        <v>0</v>
      </c>
      <c r="R926" s="9">
        <f t="shared" si="102"/>
        <v>1980</v>
      </c>
      <c r="S926" s="10">
        <f t="shared" si="103"/>
        <v>165</v>
      </c>
      <c r="T926">
        <v>165</v>
      </c>
      <c r="U926">
        <f t="shared" si="104"/>
        <v>0</v>
      </c>
    </row>
    <row r="927" spans="1:21" ht="14.25" customHeight="1" x14ac:dyDescent="0.35">
      <c r="A927" s="6" t="s">
        <v>2538</v>
      </c>
      <c r="B927" s="6" t="s">
        <v>2539</v>
      </c>
      <c r="C927" s="6" t="s">
        <v>2540</v>
      </c>
      <c r="D927" s="6" t="s">
        <v>31</v>
      </c>
      <c r="E927" s="7" t="s">
        <v>23</v>
      </c>
      <c r="F927" s="6">
        <v>85251</v>
      </c>
      <c r="G927" s="6" t="s">
        <v>49</v>
      </c>
      <c r="H927" s="6" t="s">
        <v>50</v>
      </c>
      <c r="I927" s="6" t="s">
        <v>110</v>
      </c>
      <c r="J927" s="6" t="b">
        <v>0</v>
      </c>
      <c r="K927" s="6" t="s">
        <v>27</v>
      </c>
      <c r="L927" s="6">
        <v>0</v>
      </c>
      <c r="M927" s="6">
        <v>165</v>
      </c>
      <c r="N927" s="8" t="str">
        <f t="shared" si="98"/>
        <v>0</v>
      </c>
      <c r="O927" s="8">
        <f t="shared" si="99"/>
        <v>1980</v>
      </c>
      <c r="P927" s="8">
        <f t="shared" si="100"/>
        <v>1980</v>
      </c>
      <c r="Q927" s="8">
        <f t="shared" si="101"/>
        <v>0</v>
      </c>
      <c r="R927" s="9">
        <f t="shared" si="102"/>
        <v>1980</v>
      </c>
      <c r="S927" s="10">
        <f t="shared" si="103"/>
        <v>165</v>
      </c>
      <c r="T927">
        <v>165</v>
      </c>
      <c r="U927">
        <f t="shared" si="104"/>
        <v>0</v>
      </c>
    </row>
    <row r="928" spans="1:21" ht="14.25" customHeight="1" x14ac:dyDescent="0.35">
      <c r="A928" s="6" t="s">
        <v>2541</v>
      </c>
      <c r="B928" s="6" t="s">
        <v>2542</v>
      </c>
      <c r="C928" s="6" t="s">
        <v>2543</v>
      </c>
      <c r="D928" s="6" t="s">
        <v>44</v>
      </c>
      <c r="E928" s="7" t="s">
        <v>23</v>
      </c>
      <c r="F928" s="6">
        <v>85042</v>
      </c>
      <c r="G928" s="6" t="s">
        <v>213</v>
      </c>
      <c r="H928" s="6" t="s">
        <v>39</v>
      </c>
      <c r="I928" s="6" t="s">
        <v>26</v>
      </c>
      <c r="J928" s="6" t="b">
        <v>0</v>
      </c>
      <c r="K928" s="6" t="s">
        <v>27</v>
      </c>
      <c r="L928" s="6">
        <v>0</v>
      </c>
      <c r="M928" s="6">
        <v>165</v>
      </c>
      <c r="N928" s="8" t="str">
        <f t="shared" si="98"/>
        <v>0</v>
      </c>
      <c r="O928" s="8">
        <f t="shared" si="99"/>
        <v>1980</v>
      </c>
      <c r="P928" s="8">
        <f t="shared" si="100"/>
        <v>1980</v>
      </c>
      <c r="Q928" s="8">
        <f t="shared" si="101"/>
        <v>0</v>
      </c>
      <c r="R928" s="9">
        <f t="shared" si="102"/>
        <v>1980</v>
      </c>
      <c r="S928" s="10">
        <f t="shared" si="103"/>
        <v>165</v>
      </c>
      <c r="T928">
        <v>165</v>
      </c>
      <c r="U928">
        <f t="shared" si="104"/>
        <v>0</v>
      </c>
    </row>
    <row r="929" spans="1:21" ht="14.25" customHeight="1" x14ac:dyDescent="0.35">
      <c r="A929" s="6" t="s">
        <v>2544</v>
      </c>
      <c r="B929" s="6" t="s">
        <v>2545</v>
      </c>
      <c r="C929" s="6" t="s">
        <v>2546</v>
      </c>
      <c r="D929" s="6" t="s">
        <v>44</v>
      </c>
      <c r="E929" s="7" t="s">
        <v>23</v>
      </c>
      <c r="F929" s="6">
        <v>85042</v>
      </c>
      <c r="G929" s="6" t="s">
        <v>213</v>
      </c>
      <c r="H929" s="6" t="s">
        <v>39</v>
      </c>
      <c r="I929" s="6" t="s">
        <v>26</v>
      </c>
      <c r="J929" s="6" t="b">
        <v>0</v>
      </c>
      <c r="K929" s="6" t="s">
        <v>27</v>
      </c>
      <c r="L929" s="6">
        <v>0</v>
      </c>
      <c r="M929" s="6">
        <v>165</v>
      </c>
      <c r="N929" s="8" t="str">
        <f t="shared" si="98"/>
        <v>0</v>
      </c>
      <c r="O929" s="8">
        <f t="shared" si="99"/>
        <v>1980</v>
      </c>
      <c r="P929" s="8">
        <f t="shared" si="100"/>
        <v>1980</v>
      </c>
      <c r="Q929" s="8">
        <f t="shared" si="101"/>
        <v>0</v>
      </c>
      <c r="R929" s="9">
        <f t="shared" si="102"/>
        <v>1980</v>
      </c>
      <c r="S929" s="10">
        <f t="shared" si="103"/>
        <v>165</v>
      </c>
      <c r="T929">
        <v>165</v>
      </c>
      <c r="U929">
        <f t="shared" si="104"/>
        <v>0</v>
      </c>
    </row>
    <row r="930" spans="1:21" ht="14.25" customHeight="1" x14ac:dyDescent="0.35">
      <c r="A930" s="6" t="s">
        <v>2547</v>
      </c>
      <c r="B930" s="6" t="s">
        <v>2548</v>
      </c>
      <c r="C930" s="6" t="s">
        <v>2549</v>
      </c>
      <c r="D930" s="6" t="s">
        <v>44</v>
      </c>
      <c r="E930" s="7" t="s">
        <v>23</v>
      </c>
      <c r="F930" s="6">
        <v>85028</v>
      </c>
      <c r="G930" s="6" t="s">
        <v>45</v>
      </c>
      <c r="H930" s="6" t="s">
        <v>169</v>
      </c>
      <c r="I930" s="6" t="s">
        <v>26</v>
      </c>
      <c r="J930" s="6" t="b">
        <v>0</v>
      </c>
      <c r="K930" s="6" t="s">
        <v>27</v>
      </c>
      <c r="L930" s="6">
        <v>0</v>
      </c>
      <c r="M930" s="6">
        <v>165</v>
      </c>
      <c r="N930" s="8" t="str">
        <f t="shared" si="98"/>
        <v>0</v>
      </c>
      <c r="O930" s="8">
        <f t="shared" si="99"/>
        <v>1980</v>
      </c>
      <c r="P930" s="8">
        <f t="shared" si="100"/>
        <v>1980</v>
      </c>
      <c r="Q930" s="8">
        <f t="shared" si="101"/>
        <v>0</v>
      </c>
      <c r="R930" s="9">
        <f t="shared" si="102"/>
        <v>1980</v>
      </c>
      <c r="S930" s="10">
        <f t="shared" si="103"/>
        <v>165</v>
      </c>
      <c r="T930">
        <v>165</v>
      </c>
      <c r="U930">
        <f t="shared" si="104"/>
        <v>0</v>
      </c>
    </row>
    <row r="931" spans="1:21" ht="14.25" customHeight="1" x14ac:dyDescent="0.35">
      <c r="A931" s="6" t="s">
        <v>2550</v>
      </c>
      <c r="B931" s="6" t="s">
        <v>2551</v>
      </c>
      <c r="C931" s="6" t="s">
        <v>2552</v>
      </c>
      <c r="D931" s="6" t="s">
        <v>44</v>
      </c>
      <c r="E931" s="7" t="s">
        <v>23</v>
      </c>
      <c r="F931" s="6">
        <v>85053</v>
      </c>
      <c r="G931" s="6" t="s">
        <v>72</v>
      </c>
      <c r="H931" s="6" t="s">
        <v>93</v>
      </c>
      <c r="I931" s="6" t="s">
        <v>26</v>
      </c>
      <c r="J931" s="6" t="b">
        <v>0</v>
      </c>
      <c r="K931" s="6" t="s">
        <v>27</v>
      </c>
      <c r="L931" s="6">
        <v>0</v>
      </c>
      <c r="M931" s="6">
        <v>165</v>
      </c>
      <c r="N931" s="8" t="str">
        <f t="shared" si="98"/>
        <v>0</v>
      </c>
      <c r="O931" s="8">
        <f t="shared" si="99"/>
        <v>1980</v>
      </c>
      <c r="P931" s="8">
        <f t="shared" si="100"/>
        <v>1980</v>
      </c>
      <c r="Q931" s="8">
        <f t="shared" si="101"/>
        <v>0</v>
      </c>
      <c r="R931" s="9">
        <f t="shared" si="102"/>
        <v>1980</v>
      </c>
      <c r="S931" s="10">
        <f t="shared" si="103"/>
        <v>165</v>
      </c>
      <c r="T931">
        <v>165</v>
      </c>
      <c r="U931">
        <f t="shared" si="104"/>
        <v>0</v>
      </c>
    </row>
    <row r="932" spans="1:21" ht="14.25" customHeight="1" x14ac:dyDescent="0.35">
      <c r="A932" s="6" t="s">
        <v>2553</v>
      </c>
      <c r="B932" s="6" t="s">
        <v>2554</v>
      </c>
      <c r="C932" s="6" t="s">
        <v>2555</v>
      </c>
      <c r="D932" s="6" t="s">
        <v>65</v>
      </c>
      <c r="E932" s="7" t="s">
        <v>23</v>
      </c>
      <c r="F932" s="6">
        <v>85213</v>
      </c>
      <c r="G932" s="6" t="s">
        <v>66</v>
      </c>
      <c r="H932" s="6" t="s">
        <v>67</v>
      </c>
      <c r="I932" s="6" t="s">
        <v>26</v>
      </c>
      <c r="J932" s="6" t="b">
        <v>0</v>
      </c>
      <c r="K932" s="6" t="s">
        <v>27</v>
      </c>
      <c r="L932" s="6">
        <v>0</v>
      </c>
      <c r="M932" s="6">
        <v>165</v>
      </c>
      <c r="N932" s="8" t="str">
        <f t="shared" si="98"/>
        <v>0</v>
      </c>
      <c r="O932" s="8">
        <f t="shared" si="99"/>
        <v>1980</v>
      </c>
      <c r="P932" s="8">
        <f t="shared" si="100"/>
        <v>1980</v>
      </c>
      <c r="Q932" s="8">
        <f t="shared" si="101"/>
        <v>0</v>
      </c>
      <c r="R932" s="9">
        <f t="shared" si="102"/>
        <v>1980</v>
      </c>
      <c r="S932" s="10">
        <f t="shared" si="103"/>
        <v>165</v>
      </c>
      <c r="T932">
        <v>165</v>
      </c>
      <c r="U932">
        <f t="shared" si="104"/>
        <v>0</v>
      </c>
    </row>
    <row r="933" spans="1:21" ht="14.25" customHeight="1" x14ac:dyDescent="0.35">
      <c r="A933" s="6" t="s">
        <v>2556</v>
      </c>
      <c r="B933" s="6" t="s">
        <v>2557</v>
      </c>
      <c r="C933" s="6" t="s">
        <v>2558</v>
      </c>
      <c r="D933" s="6" t="s">
        <v>71</v>
      </c>
      <c r="E933" s="7" t="s">
        <v>23</v>
      </c>
      <c r="F933" s="6">
        <v>85382</v>
      </c>
      <c r="G933" s="6" t="s">
        <v>78</v>
      </c>
      <c r="H933" s="6" t="s">
        <v>281</v>
      </c>
      <c r="I933" s="6" t="s">
        <v>26</v>
      </c>
      <c r="J933" s="6" t="b">
        <v>0</v>
      </c>
      <c r="K933" s="6" t="s">
        <v>27</v>
      </c>
      <c r="L933" s="6">
        <v>0</v>
      </c>
      <c r="M933" s="6">
        <v>165</v>
      </c>
      <c r="N933" s="8" t="str">
        <f t="shared" si="98"/>
        <v>0</v>
      </c>
      <c r="O933" s="8">
        <f t="shared" si="99"/>
        <v>1980</v>
      </c>
      <c r="P933" s="8">
        <f t="shared" si="100"/>
        <v>1980</v>
      </c>
      <c r="Q933" s="8">
        <f t="shared" si="101"/>
        <v>0</v>
      </c>
      <c r="R933" s="9">
        <f t="shared" si="102"/>
        <v>1980</v>
      </c>
      <c r="S933" s="10">
        <f t="shared" si="103"/>
        <v>165</v>
      </c>
      <c r="T933">
        <v>165</v>
      </c>
      <c r="U933">
        <f t="shared" si="104"/>
        <v>0</v>
      </c>
    </row>
    <row r="934" spans="1:21" ht="14.25" customHeight="1" x14ac:dyDescent="0.35">
      <c r="A934" s="6" t="s">
        <v>2559</v>
      </c>
      <c r="B934" s="6" t="s">
        <v>2560</v>
      </c>
      <c r="C934" s="6" t="s">
        <v>2561</v>
      </c>
      <c r="D934" s="6" t="s">
        <v>44</v>
      </c>
      <c r="E934" s="7" t="s">
        <v>23</v>
      </c>
      <c r="F934" s="6">
        <v>85048</v>
      </c>
      <c r="G934" s="6" t="s">
        <v>24</v>
      </c>
      <c r="H934" s="6" t="s">
        <v>161</v>
      </c>
      <c r="I934" s="6" t="s">
        <v>57</v>
      </c>
      <c r="J934" s="6" t="b">
        <v>0</v>
      </c>
      <c r="K934" s="6" t="s">
        <v>27</v>
      </c>
      <c r="L934" s="6">
        <v>0</v>
      </c>
      <c r="M934" s="6">
        <v>165</v>
      </c>
      <c r="N934" s="8" t="str">
        <f t="shared" si="98"/>
        <v>0</v>
      </c>
      <c r="O934" s="8">
        <f t="shared" si="99"/>
        <v>1980</v>
      </c>
      <c r="P934" s="8">
        <f t="shared" si="100"/>
        <v>1980</v>
      </c>
      <c r="Q934" s="8">
        <f t="shared" si="101"/>
        <v>0</v>
      </c>
      <c r="R934" s="9">
        <f t="shared" si="102"/>
        <v>1980</v>
      </c>
      <c r="S934" s="10">
        <f t="shared" si="103"/>
        <v>165</v>
      </c>
      <c r="T934">
        <v>165</v>
      </c>
      <c r="U934">
        <f t="shared" si="104"/>
        <v>0</v>
      </c>
    </row>
    <row r="935" spans="1:21" ht="14.25" customHeight="1" x14ac:dyDescent="0.35">
      <c r="A935" s="6" t="s">
        <v>2562</v>
      </c>
      <c r="B935" s="6" t="s">
        <v>2563</v>
      </c>
      <c r="C935" s="6" t="s">
        <v>2564</v>
      </c>
      <c r="D935" s="6" t="s">
        <v>37</v>
      </c>
      <c r="E935" s="7" t="s">
        <v>23</v>
      </c>
      <c r="F935" s="6">
        <v>85392</v>
      </c>
      <c r="G935" s="6" t="s">
        <v>38</v>
      </c>
      <c r="H935" s="6" t="s">
        <v>378</v>
      </c>
      <c r="J935" s="6" t="b">
        <v>0</v>
      </c>
      <c r="K935" s="6" t="s">
        <v>27</v>
      </c>
      <c r="L935" s="6">
        <v>0</v>
      </c>
      <c r="M935" s="6">
        <v>165</v>
      </c>
      <c r="N935" s="8" t="str">
        <f t="shared" si="98"/>
        <v>0</v>
      </c>
      <c r="O935" s="8">
        <f t="shared" si="99"/>
        <v>1980</v>
      </c>
      <c r="P935" s="8">
        <f t="shared" si="100"/>
        <v>1980</v>
      </c>
      <c r="Q935" s="8">
        <f t="shared" si="101"/>
        <v>0</v>
      </c>
      <c r="R935" s="9">
        <f t="shared" si="102"/>
        <v>1980</v>
      </c>
      <c r="S935" s="10">
        <f t="shared" si="103"/>
        <v>165</v>
      </c>
      <c r="T935">
        <v>165</v>
      </c>
      <c r="U935">
        <f t="shared" si="104"/>
        <v>0</v>
      </c>
    </row>
    <row r="936" spans="1:21" ht="14.25" customHeight="1" x14ac:dyDescent="0.35">
      <c r="A936" s="6" t="s">
        <v>2565</v>
      </c>
      <c r="B936" s="6" t="s">
        <v>2566</v>
      </c>
      <c r="C936" s="6" t="s">
        <v>2567</v>
      </c>
      <c r="D936" s="6" t="s">
        <v>482</v>
      </c>
      <c r="E936" s="7" t="s">
        <v>23</v>
      </c>
      <c r="F936" s="6">
        <v>85326</v>
      </c>
      <c r="G936" s="6" t="s">
        <v>38</v>
      </c>
      <c r="H936" s="6" t="s">
        <v>378</v>
      </c>
      <c r="I936" s="6" t="s">
        <v>26</v>
      </c>
      <c r="J936" s="6" t="b">
        <v>0</v>
      </c>
      <c r="K936" s="6" t="s">
        <v>27</v>
      </c>
      <c r="L936" s="6">
        <v>0</v>
      </c>
      <c r="M936" s="6">
        <v>165</v>
      </c>
      <c r="N936" s="8" t="str">
        <f t="shared" si="98"/>
        <v>0</v>
      </c>
      <c r="O936" s="8">
        <f t="shared" si="99"/>
        <v>1980</v>
      </c>
      <c r="P936" s="8">
        <f t="shared" si="100"/>
        <v>1980</v>
      </c>
      <c r="Q936" s="8">
        <f t="shared" si="101"/>
        <v>0</v>
      </c>
      <c r="R936" s="9">
        <f t="shared" si="102"/>
        <v>1980</v>
      </c>
      <c r="S936" s="10">
        <f t="shared" si="103"/>
        <v>165</v>
      </c>
      <c r="T936">
        <v>165</v>
      </c>
      <c r="U936">
        <f t="shared" si="104"/>
        <v>0</v>
      </c>
    </row>
    <row r="937" spans="1:21" ht="14.25" customHeight="1" x14ac:dyDescent="0.35">
      <c r="A937" s="6" t="s">
        <v>2568</v>
      </c>
      <c r="B937" s="6" t="s">
        <v>2569</v>
      </c>
      <c r="C937" s="6" t="s">
        <v>2570</v>
      </c>
      <c r="D937" s="6" t="s">
        <v>31</v>
      </c>
      <c r="E937" s="7" t="s">
        <v>23</v>
      </c>
      <c r="F937" s="6">
        <v>85257</v>
      </c>
      <c r="G937" s="6" t="s">
        <v>49</v>
      </c>
      <c r="H937" s="6" t="s">
        <v>202</v>
      </c>
      <c r="J937" s="6" t="b">
        <v>0</v>
      </c>
      <c r="K937" s="6" t="s">
        <v>27</v>
      </c>
      <c r="L937" s="6">
        <v>0</v>
      </c>
      <c r="M937" s="6">
        <v>165</v>
      </c>
      <c r="N937" s="8" t="str">
        <f t="shared" si="98"/>
        <v>0</v>
      </c>
      <c r="O937" s="8">
        <f t="shared" si="99"/>
        <v>1980</v>
      </c>
      <c r="P937" s="8">
        <f t="shared" si="100"/>
        <v>1980</v>
      </c>
      <c r="Q937" s="8">
        <f t="shared" si="101"/>
        <v>0</v>
      </c>
      <c r="R937" s="9">
        <f t="shared" si="102"/>
        <v>1980</v>
      </c>
      <c r="S937" s="10">
        <f t="shared" si="103"/>
        <v>165</v>
      </c>
      <c r="T937">
        <v>165</v>
      </c>
      <c r="U937">
        <f t="shared" si="104"/>
        <v>0</v>
      </c>
    </row>
    <row r="938" spans="1:21" ht="14.25" customHeight="1" x14ac:dyDescent="0.35">
      <c r="A938" s="6" t="s">
        <v>2571</v>
      </c>
      <c r="B938" s="6" t="s">
        <v>2572</v>
      </c>
      <c r="C938" s="6" t="s">
        <v>2573</v>
      </c>
      <c r="D938" s="6" t="s">
        <v>363</v>
      </c>
      <c r="E938" s="7" t="s">
        <v>23</v>
      </c>
      <c r="F938" s="6">
        <v>85282</v>
      </c>
      <c r="G938" s="6" t="s">
        <v>364</v>
      </c>
      <c r="H938" s="6" t="s">
        <v>365</v>
      </c>
      <c r="I938" s="6" t="s">
        <v>26</v>
      </c>
      <c r="J938" s="6" t="b">
        <v>0</v>
      </c>
      <c r="K938" s="6" t="s">
        <v>27</v>
      </c>
      <c r="L938" s="6">
        <v>0</v>
      </c>
      <c r="M938" s="6">
        <v>165</v>
      </c>
      <c r="N938" s="8" t="str">
        <f t="shared" si="98"/>
        <v>0</v>
      </c>
      <c r="O938" s="8">
        <f t="shared" si="99"/>
        <v>1980</v>
      </c>
      <c r="P938" s="8">
        <f t="shared" si="100"/>
        <v>1980</v>
      </c>
      <c r="Q938" s="8">
        <f t="shared" si="101"/>
        <v>0</v>
      </c>
      <c r="R938" s="9">
        <f t="shared" si="102"/>
        <v>1980</v>
      </c>
      <c r="S938" s="10">
        <f t="shared" si="103"/>
        <v>165</v>
      </c>
      <c r="T938">
        <v>165</v>
      </c>
      <c r="U938">
        <f t="shared" si="104"/>
        <v>0</v>
      </c>
    </row>
    <row r="939" spans="1:21" ht="14.25" customHeight="1" x14ac:dyDescent="0.35">
      <c r="A939" s="6" t="s">
        <v>2574</v>
      </c>
      <c r="B939" s="6" t="s">
        <v>2575</v>
      </c>
      <c r="C939" s="6" t="s">
        <v>2576</v>
      </c>
      <c r="D939" s="6" t="s">
        <v>44</v>
      </c>
      <c r="E939" s="7" t="s">
        <v>23</v>
      </c>
      <c r="F939" s="6">
        <v>85339</v>
      </c>
      <c r="G939" s="6" t="s">
        <v>213</v>
      </c>
      <c r="I939" s="6" t="s">
        <v>61</v>
      </c>
      <c r="J939" s="6" t="b">
        <v>0</v>
      </c>
      <c r="K939" s="6" t="s">
        <v>27</v>
      </c>
      <c r="L939" s="6">
        <v>0</v>
      </c>
      <c r="M939" s="6">
        <v>165</v>
      </c>
      <c r="N939" s="8" t="str">
        <f t="shared" si="98"/>
        <v>0</v>
      </c>
      <c r="O939" s="8">
        <f t="shared" si="99"/>
        <v>1980</v>
      </c>
      <c r="P939" s="8">
        <f t="shared" si="100"/>
        <v>1980</v>
      </c>
      <c r="Q939" s="8">
        <f t="shared" si="101"/>
        <v>0</v>
      </c>
      <c r="R939" s="9">
        <f t="shared" si="102"/>
        <v>1980</v>
      </c>
      <c r="S939" s="10">
        <f t="shared" si="103"/>
        <v>165</v>
      </c>
      <c r="T939">
        <v>165</v>
      </c>
      <c r="U939">
        <f t="shared" si="104"/>
        <v>0</v>
      </c>
    </row>
    <row r="940" spans="1:21" ht="14.25" customHeight="1" x14ac:dyDescent="0.35">
      <c r="A940" s="6" t="s">
        <v>2577</v>
      </c>
      <c r="B940" s="6" t="s">
        <v>2578</v>
      </c>
      <c r="C940" s="6" t="s">
        <v>2579</v>
      </c>
      <c r="D940" s="6" t="s">
        <v>117</v>
      </c>
      <c r="E940" s="7" t="s">
        <v>23</v>
      </c>
      <c r="F940" s="6">
        <v>85139</v>
      </c>
      <c r="G940" s="6" t="s">
        <v>87</v>
      </c>
      <c r="H940" s="6" t="s">
        <v>88</v>
      </c>
      <c r="I940" s="6" t="s">
        <v>26</v>
      </c>
      <c r="J940" s="6" t="b">
        <v>0</v>
      </c>
      <c r="K940" s="6" t="s">
        <v>27</v>
      </c>
      <c r="L940" s="6">
        <v>0</v>
      </c>
      <c r="M940" s="6">
        <v>165</v>
      </c>
      <c r="N940" s="8" t="str">
        <f t="shared" si="98"/>
        <v>0</v>
      </c>
      <c r="O940" s="8">
        <f t="shared" si="99"/>
        <v>1980</v>
      </c>
      <c r="P940" s="8">
        <f t="shared" si="100"/>
        <v>1980</v>
      </c>
      <c r="Q940" s="8">
        <f t="shared" si="101"/>
        <v>0</v>
      </c>
      <c r="R940" s="9">
        <f t="shared" si="102"/>
        <v>1980</v>
      </c>
      <c r="S940" s="10">
        <f t="shared" si="103"/>
        <v>165</v>
      </c>
      <c r="T940">
        <v>165</v>
      </c>
      <c r="U940">
        <f t="shared" si="104"/>
        <v>0</v>
      </c>
    </row>
    <row r="941" spans="1:21" ht="14.25" customHeight="1" x14ac:dyDescent="0.35">
      <c r="A941" s="6" t="s">
        <v>2580</v>
      </c>
      <c r="B941" s="6" t="s">
        <v>2581</v>
      </c>
      <c r="C941" s="6" t="s">
        <v>2582</v>
      </c>
      <c r="D941" s="6" t="s">
        <v>363</v>
      </c>
      <c r="E941" s="7" t="s">
        <v>23</v>
      </c>
      <c r="F941" s="6">
        <v>85282</v>
      </c>
      <c r="G941" s="6" t="s">
        <v>364</v>
      </c>
      <c r="H941" s="6" t="s">
        <v>365</v>
      </c>
      <c r="I941" s="6" t="s">
        <v>26</v>
      </c>
      <c r="J941" s="6" t="b">
        <v>0</v>
      </c>
      <c r="K941" s="6" t="s">
        <v>27</v>
      </c>
      <c r="L941" s="6">
        <v>0</v>
      </c>
      <c r="M941" s="6">
        <v>165</v>
      </c>
      <c r="N941" s="8" t="str">
        <f t="shared" si="98"/>
        <v>0</v>
      </c>
      <c r="O941" s="8">
        <f t="shared" si="99"/>
        <v>1980</v>
      </c>
      <c r="P941" s="8">
        <f t="shared" si="100"/>
        <v>1980</v>
      </c>
      <c r="Q941" s="8">
        <f t="shared" si="101"/>
        <v>0</v>
      </c>
      <c r="R941" s="9">
        <f t="shared" si="102"/>
        <v>1980</v>
      </c>
      <c r="S941" s="10">
        <f t="shared" si="103"/>
        <v>165</v>
      </c>
      <c r="T941">
        <v>165</v>
      </c>
      <c r="U941">
        <f t="shared" si="104"/>
        <v>0</v>
      </c>
    </row>
    <row r="942" spans="1:21" ht="14.25" customHeight="1" x14ac:dyDescent="0.35">
      <c r="A942" s="6" t="s">
        <v>2583</v>
      </c>
      <c r="B942" s="6" t="s">
        <v>2584</v>
      </c>
      <c r="C942" s="6" t="s">
        <v>2585</v>
      </c>
      <c r="D942" s="6" t="s">
        <v>54</v>
      </c>
      <c r="E942" s="7" t="s">
        <v>23</v>
      </c>
      <c r="F942" s="6">
        <v>85739</v>
      </c>
      <c r="G942" s="6" t="s">
        <v>55</v>
      </c>
      <c r="H942" s="6" t="s">
        <v>56</v>
      </c>
      <c r="I942" s="6" t="s">
        <v>26</v>
      </c>
      <c r="J942" s="6" t="b">
        <v>0</v>
      </c>
      <c r="K942" s="6" t="s">
        <v>27</v>
      </c>
      <c r="L942" s="6">
        <v>0</v>
      </c>
      <c r="M942" s="6">
        <v>165</v>
      </c>
      <c r="N942" s="8" t="str">
        <f t="shared" si="98"/>
        <v>0</v>
      </c>
      <c r="O942" s="8">
        <f t="shared" si="99"/>
        <v>1980</v>
      </c>
      <c r="P942" s="8">
        <f t="shared" si="100"/>
        <v>1980</v>
      </c>
      <c r="Q942" s="8">
        <f t="shared" si="101"/>
        <v>0</v>
      </c>
      <c r="R942" s="9">
        <f t="shared" si="102"/>
        <v>1980</v>
      </c>
      <c r="S942" s="10">
        <f t="shared" si="103"/>
        <v>165</v>
      </c>
      <c r="T942">
        <v>165</v>
      </c>
      <c r="U942">
        <f t="shared" si="104"/>
        <v>0</v>
      </c>
    </row>
    <row r="943" spans="1:21" ht="14.25" customHeight="1" x14ac:dyDescent="0.35">
      <c r="A943" s="6" t="s">
        <v>2586</v>
      </c>
      <c r="B943" s="6" t="s">
        <v>2587</v>
      </c>
      <c r="C943" s="6" t="s">
        <v>2588</v>
      </c>
      <c r="D943" s="6" t="s">
        <v>44</v>
      </c>
      <c r="E943" s="7" t="s">
        <v>23</v>
      </c>
      <c r="F943" s="6">
        <v>85042</v>
      </c>
      <c r="G943" s="6" t="s">
        <v>213</v>
      </c>
      <c r="H943" s="6" t="s">
        <v>39</v>
      </c>
      <c r="I943" s="6" t="s">
        <v>57</v>
      </c>
      <c r="J943" s="6" t="b">
        <v>0</v>
      </c>
      <c r="K943" s="6" t="s">
        <v>27</v>
      </c>
      <c r="L943" s="6">
        <v>0</v>
      </c>
      <c r="M943" s="6">
        <v>165</v>
      </c>
      <c r="N943" s="8" t="str">
        <f t="shared" si="98"/>
        <v>0</v>
      </c>
      <c r="O943" s="8">
        <f t="shared" si="99"/>
        <v>1980</v>
      </c>
      <c r="P943" s="8">
        <f t="shared" si="100"/>
        <v>1980</v>
      </c>
      <c r="Q943" s="8">
        <f t="shared" si="101"/>
        <v>0</v>
      </c>
      <c r="R943" s="9">
        <f t="shared" si="102"/>
        <v>1980</v>
      </c>
      <c r="S943" s="10">
        <f t="shared" si="103"/>
        <v>165</v>
      </c>
      <c r="T943">
        <v>165</v>
      </c>
      <c r="U943">
        <f t="shared" si="104"/>
        <v>0</v>
      </c>
    </row>
    <row r="944" spans="1:21" ht="14.25" customHeight="1" x14ac:dyDescent="0.35">
      <c r="A944" s="6" t="s">
        <v>2589</v>
      </c>
      <c r="B944" s="6" t="s">
        <v>2590</v>
      </c>
      <c r="C944" s="6" t="s">
        <v>2591</v>
      </c>
      <c r="D944" s="6" t="s">
        <v>44</v>
      </c>
      <c r="E944" s="7" t="s">
        <v>23</v>
      </c>
      <c r="F944" s="6">
        <v>85003</v>
      </c>
      <c r="G944" s="6" t="s">
        <v>213</v>
      </c>
      <c r="H944" s="6" t="s">
        <v>202</v>
      </c>
      <c r="I944" s="6" t="s">
        <v>26</v>
      </c>
      <c r="J944" s="6" t="b">
        <v>0</v>
      </c>
      <c r="K944" s="6" t="s">
        <v>27</v>
      </c>
      <c r="L944" s="6">
        <v>0</v>
      </c>
      <c r="M944" s="6">
        <v>165</v>
      </c>
      <c r="N944" s="8" t="str">
        <f t="shared" si="98"/>
        <v>0</v>
      </c>
      <c r="O944" s="8">
        <f t="shared" si="99"/>
        <v>1980</v>
      </c>
      <c r="P944" s="8">
        <f t="shared" si="100"/>
        <v>1980</v>
      </c>
      <c r="Q944" s="8">
        <f t="shared" si="101"/>
        <v>0</v>
      </c>
      <c r="R944" s="9">
        <f t="shared" si="102"/>
        <v>1980</v>
      </c>
      <c r="S944" s="10">
        <f t="shared" si="103"/>
        <v>165</v>
      </c>
      <c r="T944">
        <v>165</v>
      </c>
      <c r="U944">
        <f t="shared" si="104"/>
        <v>0</v>
      </c>
    </row>
    <row r="945" spans="1:21" ht="14.25" customHeight="1" x14ac:dyDescent="0.35">
      <c r="A945" s="6" t="s">
        <v>2592</v>
      </c>
      <c r="B945" s="6" t="s">
        <v>2593</v>
      </c>
      <c r="C945" s="6" t="s">
        <v>2594</v>
      </c>
      <c r="D945" s="6" t="s">
        <v>71</v>
      </c>
      <c r="E945" s="7" t="s">
        <v>23</v>
      </c>
      <c r="F945" s="6">
        <v>85345</v>
      </c>
      <c r="G945" s="6" t="s">
        <v>78</v>
      </c>
      <c r="H945" s="6" t="s">
        <v>268</v>
      </c>
      <c r="I945" s="6" t="s">
        <v>26</v>
      </c>
      <c r="J945" s="6" t="b">
        <v>0</v>
      </c>
      <c r="K945" s="6" t="s">
        <v>27</v>
      </c>
      <c r="L945" s="6">
        <v>0</v>
      </c>
      <c r="M945" s="6">
        <v>165</v>
      </c>
      <c r="N945" s="8" t="str">
        <f t="shared" si="98"/>
        <v>0</v>
      </c>
      <c r="O945" s="8">
        <f t="shared" si="99"/>
        <v>1980</v>
      </c>
      <c r="P945" s="8">
        <f t="shared" si="100"/>
        <v>1980</v>
      </c>
      <c r="Q945" s="8">
        <f t="shared" si="101"/>
        <v>0</v>
      </c>
      <c r="R945" s="9">
        <f t="shared" si="102"/>
        <v>1980</v>
      </c>
      <c r="S945" s="10">
        <f t="shared" si="103"/>
        <v>165</v>
      </c>
      <c r="T945">
        <v>165</v>
      </c>
      <c r="U945">
        <f t="shared" si="104"/>
        <v>0</v>
      </c>
    </row>
    <row r="946" spans="1:21" ht="14.25" customHeight="1" x14ac:dyDescent="0.35">
      <c r="A946" s="6" t="s">
        <v>2595</v>
      </c>
      <c r="B946" s="6" t="s">
        <v>2596</v>
      </c>
      <c r="C946" s="6" t="s">
        <v>2597</v>
      </c>
      <c r="D946" s="6" t="s">
        <v>44</v>
      </c>
      <c r="E946" s="7" t="s">
        <v>23</v>
      </c>
      <c r="F946" s="6">
        <v>85045</v>
      </c>
      <c r="G946" s="6" t="s">
        <v>24</v>
      </c>
      <c r="H946" s="6" t="s">
        <v>161</v>
      </c>
      <c r="I946" s="6" t="s">
        <v>26</v>
      </c>
      <c r="J946" s="6" t="b">
        <v>0</v>
      </c>
      <c r="K946" s="6" t="s">
        <v>27</v>
      </c>
      <c r="L946" s="6">
        <v>0</v>
      </c>
      <c r="M946" s="6">
        <v>165</v>
      </c>
      <c r="N946" s="8" t="str">
        <f t="shared" si="98"/>
        <v>0</v>
      </c>
      <c r="O946" s="8">
        <f t="shared" si="99"/>
        <v>1980</v>
      </c>
      <c r="P946" s="8">
        <f t="shared" si="100"/>
        <v>1980</v>
      </c>
      <c r="Q946" s="8">
        <f t="shared" si="101"/>
        <v>0</v>
      </c>
      <c r="R946" s="9">
        <f t="shared" si="102"/>
        <v>1980</v>
      </c>
      <c r="S946" s="10">
        <f t="shared" si="103"/>
        <v>165</v>
      </c>
      <c r="T946">
        <v>165</v>
      </c>
      <c r="U946">
        <f t="shared" si="104"/>
        <v>0</v>
      </c>
    </row>
    <row r="947" spans="1:21" ht="14.25" customHeight="1" x14ac:dyDescent="0.35">
      <c r="A947" s="6" t="s">
        <v>2598</v>
      </c>
      <c r="B947" s="6" t="s">
        <v>2599</v>
      </c>
      <c r="C947" s="6" t="s">
        <v>2600</v>
      </c>
      <c r="D947" s="6" t="s">
        <v>54</v>
      </c>
      <c r="E947" s="7" t="s">
        <v>23</v>
      </c>
      <c r="F947" s="6">
        <v>85730</v>
      </c>
      <c r="G947" s="6" t="s">
        <v>55</v>
      </c>
      <c r="H947" s="6" t="s">
        <v>56</v>
      </c>
      <c r="I947" s="6" t="s">
        <v>61</v>
      </c>
      <c r="J947" s="6" t="b">
        <v>0</v>
      </c>
      <c r="K947" s="6" t="s">
        <v>27</v>
      </c>
      <c r="L947" s="6">
        <v>0</v>
      </c>
      <c r="M947" s="6">
        <v>165</v>
      </c>
      <c r="N947" s="8" t="str">
        <f t="shared" si="98"/>
        <v>0</v>
      </c>
      <c r="O947" s="8">
        <f t="shared" si="99"/>
        <v>1980</v>
      </c>
      <c r="P947" s="8">
        <f t="shared" si="100"/>
        <v>1980</v>
      </c>
      <c r="Q947" s="8">
        <f t="shared" si="101"/>
        <v>0</v>
      </c>
      <c r="R947" s="9">
        <f t="shared" si="102"/>
        <v>1980</v>
      </c>
      <c r="S947" s="10">
        <f t="shared" si="103"/>
        <v>165</v>
      </c>
      <c r="T947">
        <v>165</v>
      </c>
      <c r="U947">
        <f t="shared" si="104"/>
        <v>0</v>
      </c>
    </row>
    <row r="948" spans="1:21" ht="14.25" customHeight="1" x14ac:dyDescent="0.35">
      <c r="A948" s="6" t="s">
        <v>2601</v>
      </c>
      <c r="B948" s="6" t="s">
        <v>2602</v>
      </c>
      <c r="C948" s="6" t="s">
        <v>2603</v>
      </c>
      <c r="D948" s="6" t="s">
        <v>65</v>
      </c>
      <c r="E948" s="7" t="s">
        <v>23</v>
      </c>
      <c r="F948" s="6">
        <v>85207</v>
      </c>
      <c r="G948" s="6" t="s">
        <v>66</v>
      </c>
      <c r="H948" s="6" t="s">
        <v>67</v>
      </c>
      <c r="I948" s="6" t="s">
        <v>26</v>
      </c>
      <c r="J948" s="6" t="b">
        <v>0</v>
      </c>
      <c r="K948" s="6" t="s">
        <v>27</v>
      </c>
      <c r="L948" s="6">
        <v>0</v>
      </c>
      <c r="M948" s="6">
        <v>165</v>
      </c>
      <c r="N948" s="8" t="str">
        <f t="shared" si="98"/>
        <v>0</v>
      </c>
      <c r="O948" s="8">
        <f t="shared" si="99"/>
        <v>1980</v>
      </c>
      <c r="P948" s="8">
        <f t="shared" si="100"/>
        <v>1980</v>
      </c>
      <c r="Q948" s="8">
        <f t="shared" si="101"/>
        <v>0</v>
      </c>
      <c r="R948" s="9">
        <f t="shared" si="102"/>
        <v>1980</v>
      </c>
      <c r="S948" s="10">
        <f t="shared" si="103"/>
        <v>165</v>
      </c>
      <c r="T948">
        <v>165</v>
      </c>
      <c r="U948">
        <f t="shared" si="104"/>
        <v>0</v>
      </c>
    </row>
    <row r="949" spans="1:21" ht="14.25" customHeight="1" x14ac:dyDescent="0.35">
      <c r="A949" s="6" t="s">
        <v>2604</v>
      </c>
      <c r="B949" s="6" t="s">
        <v>2605</v>
      </c>
      <c r="C949" s="6" t="s">
        <v>2606</v>
      </c>
      <c r="D949" s="6" t="s">
        <v>31</v>
      </c>
      <c r="E949" s="7" t="s">
        <v>23</v>
      </c>
      <c r="F949" s="6">
        <v>85254</v>
      </c>
      <c r="G949" s="6" t="s">
        <v>45</v>
      </c>
      <c r="H949" s="6" t="s">
        <v>169</v>
      </c>
      <c r="I949" s="6" t="s">
        <v>26</v>
      </c>
      <c r="J949" s="6" t="b">
        <v>0</v>
      </c>
      <c r="K949" s="6" t="s">
        <v>27</v>
      </c>
      <c r="L949" s="6">
        <v>0</v>
      </c>
      <c r="M949" s="6">
        <v>165</v>
      </c>
      <c r="N949" s="8" t="str">
        <f t="shared" si="98"/>
        <v>0</v>
      </c>
      <c r="O949" s="8">
        <f t="shared" si="99"/>
        <v>1980</v>
      </c>
      <c r="P949" s="8">
        <f t="shared" si="100"/>
        <v>1980</v>
      </c>
      <c r="Q949" s="8">
        <f t="shared" si="101"/>
        <v>0</v>
      </c>
      <c r="R949" s="9">
        <f t="shared" si="102"/>
        <v>1980</v>
      </c>
      <c r="S949" s="10">
        <f t="shared" si="103"/>
        <v>165</v>
      </c>
      <c r="T949">
        <v>165</v>
      </c>
      <c r="U949">
        <f t="shared" si="104"/>
        <v>0</v>
      </c>
    </row>
    <row r="950" spans="1:21" ht="14.25" customHeight="1" x14ac:dyDescent="0.35">
      <c r="A950" s="6" t="s">
        <v>2607</v>
      </c>
      <c r="B950" s="6" t="s">
        <v>2608</v>
      </c>
      <c r="C950" s="6" t="s">
        <v>2609</v>
      </c>
      <c r="D950" s="6" t="s">
        <v>165</v>
      </c>
      <c r="E950" s="7" t="s">
        <v>23</v>
      </c>
      <c r="F950" s="6">
        <v>85234</v>
      </c>
      <c r="G950" s="6" t="s">
        <v>125</v>
      </c>
      <c r="H950" s="6" t="s">
        <v>225</v>
      </c>
      <c r="I950" s="6" t="s">
        <v>26</v>
      </c>
      <c r="J950" s="6" t="b">
        <v>0</v>
      </c>
      <c r="K950" s="6" t="s">
        <v>27</v>
      </c>
      <c r="L950" s="6">
        <v>0</v>
      </c>
      <c r="M950" s="6">
        <v>165</v>
      </c>
      <c r="N950" s="8" t="str">
        <f t="shared" si="98"/>
        <v>0</v>
      </c>
      <c r="O950" s="8">
        <f t="shared" si="99"/>
        <v>1980</v>
      </c>
      <c r="P950" s="8">
        <f t="shared" si="100"/>
        <v>1980</v>
      </c>
      <c r="Q950" s="8">
        <f t="shared" si="101"/>
        <v>0</v>
      </c>
      <c r="R950" s="9">
        <f t="shared" si="102"/>
        <v>1980</v>
      </c>
      <c r="S950" s="10">
        <f t="shared" si="103"/>
        <v>165</v>
      </c>
      <c r="T950">
        <v>165</v>
      </c>
      <c r="U950">
        <f t="shared" si="104"/>
        <v>0</v>
      </c>
    </row>
    <row r="951" spans="1:21" ht="14.25" customHeight="1" x14ac:dyDescent="0.35">
      <c r="A951" s="6" t="s">
        <v>2610</v>
      </c>
      <c r="B951" s="6" t="s">
        <v>2611</v>
      </c>
      <c r="C951" s="6" t="s">
        <v>2612</v>
      </c>
      <c r="D951" s="6" t="s">
        <v>22</v>
      </c>
      <c r="E951" s="7" t="s">
        <v>23</v>
      </c>
      <c r="F951" s="6">
        <v>85248</v>
      </c>
      <c r="G951" s="6" t="s">
        <v>125</v>
      </c>
      <c r="H951" s="6" t="s">
        <v>126</v>
      </c>
      <c r="I951" s="6" t="s">
        <v>26</v>
      </c>
      <c r="J951" s="6" t="b">
        <v>0</v>
      </c>
      <c r="K951" s="6" t="s">
        <v>27</v>
      </c>
      <c r="L951" s="6">
        <v>0</v>
      </c>
      <c r="M951" s="6">
        <v>165</v>
      </c>
      <c r="N951" s="8" t="str">
        <f t="shared" si="98"/>
        <v>0</v>
      </c>
      <c r="O951" s="8">
        <f t="shared" si="99"/>
        <v>1980</v>
      </c>
      <c r="P951" s="8">
        <f t="shared" si="100"/>
        <v>1980</v>
      </c>
      <c r="Q951" s="8">
        <f t="shared" si="101"/>
        <v>0</v>
      </c>
      <c r="R951" s="9">
        <f t="shared" si="102"/>
        <v>1980</v>
      </c>
      <c r="S951" s="10">
        <f t="shared" si="103"/>
        <v>165</v>
      </c>
      <c r="T951">
        <v>165</v>
      </c>
      <c r="U951">
        <f t="shared" si="104"/>
        <v>0</v>
      </c>
    </row>
    <row r="952" spans="1:21" ht="14.25" customHeight="1" x14ac:dyDescent="0.35">
      <c r="A952" s="6" t="s">
        <v>2613</v>
      </c>
      <c r="B952" s="6" t="s">
        <v>2614</v>
      </c>
      <c r="C952" s="6" t="s">
        <v>2615</v>
      </c>
      <c r="D952" s="6" t="s">
        <v>44</v>
      </c>
      <c r="E952" s="7" t="s">
        <v>23</v>
      </c>
      <c r="F952" s="6">
        <v>85006</v>
      </c>
      <c r="G952" s="6" t="s">
        <v>213</v>
      </c>
      <c r="H952" s="6" t="s">
        <v>365</v>
      </c>
      <c r="I952" s="6" t="s">
        <v>26</v>
      </c>
      <c r="J952" s="6" t="b">
        <v>0</v>
      </c>
      <c r="K952" s="6" t="s">
        <v>27</v>
      </c>
      <c r="L952" s="6">
        <v>0</v>
      </c>
      <c r="M952" s="6">
        <v>165</v>
      </c>
      <c r="N952" s="8" t="str">
        <f t="shared" si="98"/>
        <v>0</v>
      </c>
      <c r="O952" s="8">
        <f t="shared" si="99"/>
        <v>1980</v>
      </c>
      <c r="P952" s="8">
        <f t="shared" si="100"/>
        <v>1980</v>
      </c>
      <c r="Q952" s="8">
        <f t="shared" si="101"/>
        <v>0</v>
      </c>
      <c r="R952" s="9">
        <f t="shared" si="102"/>
        <v>1980</v>
      </c>
      <c r="S952" s="10">
        <f t="shared" si="103"/>
        <v>165</v>
      </c>
      <c r="T952">
        <v>165</v>
      </c>
      <c r="U952">
        <f t="shared" si="104"/>
        <v>0</v>
      </c>
    </row>
    <row r="953" spans="1:21" ht="14.25" customHeight="1" x14ac:dyDescent="0.35">
      <c r="A953" s="6" t="s">
        <v>2616</v>
      </c>
      <c r="B953" s="6" t="s">
        <v>2617</v>
      </c>
      <c r="C953" s="6" t="s">
        <v>2618</v>
      </c>
      <c r="D953" s="6" t="s">
        <v>37</v>
      </c>
      <c r="E953" s="7" t="s">
        <v>23</v>
      </c>
      <c r="F953" s="6">
        <v>85323</v>
      </c>
      <c r="G953" s="6" t="s">
        <v>38</v>
      </c>
      <c r="H953" s="6" t="s">
        <v>378</v>
      </c>
      <c r="I953" s="6" t="s">
        <v>61</v>
      </c>
      <c r="J953" s="6" t="b">
        <v>0</v>
      </c>
      <c r="K953" s="6" t="s">
        <v>27</v>
      </c>
      <c r="L953" s="6">
        <v>0</v>
      </c>
      <c r="M953" s="6">
        <v>165</v>
      </c>
      <c r="N953" s="8" t="str">
        <f t="shared" si="98"/>
        <v>0</v>
      </c>
      <c r="O953" s="8">
        <f t="shared" si="99"/>
        <v>1980</v>
      </c>
      <c r="P953" s="8">
        <f t="shared" si="100"/>
        <v>1980</v>
      </c>
      <c r="Q953" s="8">
        <f t="shared" si="101"/>
        <v>0</v>
      </c>
      <c r="R953" s="9">
        <f t="shared" si="102"/>
        <v>1980</v>
      </c>
      <c r="S953" s="10">
        <f t="shared" si="103"/>
        <v>165</v>
      </c>
      <c r="T953">
        <v>165</v>
      </c>
      <c r="U953">
        <f t="shared" si="104"/>
        <v>0</v>
      </c>
    </row>
    <row r="954" spans="1:21" ht="14.25" customHeight="1" x14ac:dyDescent="0.35">
      <c r="A954" s="6" t="s">
        <v>2619</v>
      </c>
      <c r="B954" s="6" t="s">
        <v>2620</v>
      </c>
      <c r="C954" s="6" t="s">
        <v>2621</v>
      </c>
      <c r="D954" s="6" t="s">
        <v>71</v>
      </c>
      <c r="E954" s="7" t="s">
        <v>23</v>
      </c>
      <c r="F954" s="6">
        <v>85382</v>
      </c>
      <c r="G954" s="6" t="s">
        <v>78</v>
      </c>
      <c r="H954" s="6" t="s">
        <v>281</v>
      </c>
      <c r="I954" s="6" t="s">
        <v>26</v>
      </c>
      <c r="J954" s="6" t="b">
        <v>0</v>
      </c>
      <c r="K954" s="6" t="s">
        <v>27</v>
      </c>
      <c r="L954" s="6">
        <v>0</v>
      </c>
      <c r="M954" s="6">
        <v>165</v>
      </c>
      <c r="N954" s="8" t="str">
        <f t="shared" si="98"/>
        <v>0</v>
      </c>
      <c r="O954" s="8">
        <f t="shared" si="99"/>
        <v>1980</v>
      </c>
      <c r="P954" s="8">
        <f t="shared" si="100"/>
        <v>1980</v>
      </c>
      <c r="Q954" s="8">
        <f t="shared" si="101"/>
        <v>0</v>
      </c>
      <c r="R954" s="9">
        <f t="shared" si="102"/>
        <v>1980</v>
      </c>
      <c r="S954" s="10">
        <f t="shared" si="103"/>
        <v>165</v>
      </c>
      <c r="T954">
        <v>165</v>
      </c>
      <c r="U954">
        <f t="shared" si="104"/>
        <v>0</v>
      </c>
    </row>
    <row r="955" spans="1:21" ht="14.25" customHeight="1" x14ac:dyDescent="0.35">
      <c r="A955" s="6" t="s">
        <v>2622</v>
      </c>
      <c r="B955" s="6" t="s">
        <v>2623</v>
      </c>
      <c r="C955" s="6" t="s">
        <v>2624</v>
      </c>
      <c r="D955" s="6" t="s">
        <v>31</v>
      </c>
      <c r="E955" s="7" t="s">
        <v>23</v>
      </c>
      <c r="F955" s="6">
        <v>85255</v>
      </c>
      <c r="G955" s="6" t="s">
        <v>32</v>
      </c>
      <c r="H955" s="6" t="s">
        <v>33</v>
      </c>
      <c r="I955" s="6" t="s">
        <v>26</v>
      </c>
      <c r="J955" s="6" t="b">
        <v>0</v>
      </c>
      <c r="K955" s="6" t="s">
        <v>27</v>
      </c>
      <c r="L955" s="6">
        <v>0</v>
      </c>
      <c r="M955" s="6">
        <v>165</v>
      </c>
      <c r="N955" s="8" t="str">
        <f t="shared" si="98"/>
        <v>0</v>
      </c>
      <c r="O955" s="8">
        <f t="shared" si="99"/>
        <v>1980</v>
      </c>
      <c r="P955" s="8">
        <f t="shared" si="100"/>
        <v>1980</v>
      </c>
      <c r="Q955" s="8">
        <f t="shared" si="101"/>
        <v>0</v>
      </c>
      <c r="R955" s="9">
        <f t="shared" si="102"/>
        <v>1980</v>
      </c>
      <c r="S955" s="10">
        <f t="shared" si="103"/>
        <v>165</v>
      </c>
      <c r="T955">
        <v>165</v>
      </c>
      <c r="U955">
        <f t="shared" si="104"/>
        <v>0</v>
      </c>
    </row>
    <row r="956" spans="1:21" ht="14.25" customHeight="1" x14ac:dyDescent="0.35">
      <c r="A956" s="6" t="s">
        <v>2625</v>
      </c>
      <c r="B956" s="6" t="s">
        <v>2626</v>
      </c>
      <c r="C956" s="6" t="s">
        <v>2627</v>
      </c>
      <c r="D956" s="6" t="s">
        <v>22</v>
      </c>
      <c r="E956" s="7" t="s">
        <v>23</v>
      </c>
      <c r="F956" s="6">
        <v>85226</v>
      </c>
      <c r="G956" s="6" t="s">
        <v>24</v>
      </c>
      <c r="H956" s="6" t="s">
        <v>161</v>
      </c>
      <c r="J956" s="6" t="b">
        <v>0</v>
      </c>
      <c r="K956" s="6" t="s">
        <v>27</v>
      </c>
      <c r="L956" s="6">
        <v>0</v>
      </c>
      <c r="M956" s="6">
        <v>165</v>
      </c>
      <c r="N956" s="8" t="str">
        <f t="shared" si="98"/>
        <v>0</v>
      </c>
      <c r="O956" s="8">
        <f t="shared" si="99"/>
        <v>1980</v>
      </c>
      <c r="P956" s="8">
        <f t="shared" si="100"/>
        <v>1980</v>
      </c>
      <c r="Q956" s="8">
        <f t="shared" si="101"/>
        <v>0</v>
      </c>
      <c r="R956" s="9">
        <f t="shared" si="102"/>
        <v>1980</v>
      </c>
      <c r="S956" s="10">
        <f t="shared" si="103"/>
        <v>165</v>
      </c>
      <c r="T956">
        <v>165</v>
      </c>
      <c r="U956">
        <f t="shared" si="104"/>
        <v>0</v>
      </c>
    </row>
    <row r="957" spans="1:21" ht="14.25" customHeight="1" x14ac:dyDescent="0.35">
      <c r="A957" s="6" t="s">
        <v>2628</v>
      </c>
      <c r="B957" s="6" t="s">
        <v>2629</v>
      </c>
      <c r="C957" s="6" t="s">
        <v>2630</v>
      </c>
      <c r="D957" s="6" t="s">
        <v>86</v>
      </c>
      <c r="E957" s="7" t="s">
        <v>23</v>
      </c>
      <c r="F957" s="6">
        <v>85123</v>
      </c>
      <c r="G957" s="6" t="s">
        <v>87</v>
      </c>
      <c r="H957" s="6" t="s">
        <v>88</v>
      </c>
      <c r="I957" s="6" t="s">
        <v>40</v>
      </c>
      <c r="J957" s="6" t="b">
        <v>0</v>
      </c>
      <c r="K957" s="6" t="s">
        <v>27</v>
      </c>
      <c r="L957" s="6">
        <v>0</v>
      </c>
      <c r="M957" s="6">
        <v>165</v>
      </c>
      <c r="N957" s="8" t="str">
        <f t="shared" si="98"/>
        <v>0</v>
      </c>
      <c r="O957" s="8">
        <f t="shared" si="99"/>
        <v>1980</v>
      </c>
      <c r="P957" s="8">
        <f t="shared" si="100"/>
        <v>1980</v>
      </c>
      <c r="Q957" s="8">
        <f t="shared" si="101"/>
        <v>0</v>
      </c>
      <c r="R957" s="9">
        <f t="shared" si="102"/>
        <v>1980</v>
      </c>
      <c r="S957" s="10">
        <f t="shared" si="103"/>
        <v>165</v>
      </c>
      <c r="T957">
        <v>165</v>
      </c>
      <c r="U957">
        <f t="shared" si="104"/>
        <v>0</v>
      </c>
    </row>
    <row r="958" spans="1:21" ht="14.25" customHeight="1" x14ac:dyDescent="0.35">
      <c r="A958" s="6" t="s">
        <v>2631</v>
      </c>
      <c r="B958" s="6" t="s">
        <v>2632</v>
      </c>
      <c r="C958" s="6" t="s">
        <v>2633</v>
      </c>
      <c r="D958" s="6" t="s">
        <v>98</v>
      </c>
      <c r="E958" s="7" t="s">
        <v>23</v>
      </c>
      <c r="F958" s="6">
        <v>85122</v>
      </c>
      <c r="G958" s="6" t="s">
        <v>87</v>
      </c>
      <c r="H958" s="6" t="s">
        <v>88</v>
      </c>
      <c r="I958" s="6" t="s">
        <v>57</v>
      </c>
      <c r="J958" s="6" t="b">
        <v>0</v>
      </c>
      <c r="K958" s="6" t="s">
        <v>27</v>
      </c>
      <c r="L958" s="6">
        <v>0</v>
      </c>
      <c r="M958" s="6">
        <v>165</v>
      </c>
      <c r="N958" s="8" t="str">
        <f t="shared" si="98"/>
        <v>0</v>
      </c>
      <c r="O958" s="8">
        <f t="shared" si="99"/>
        <v>1980</v>
      </c>
      <c r="P958" s="8">
        <f t="shared" si="100"/>
        <v>1980</v>
      </c>
      <c r="Q958" s="8">
        <f t="shared" si="101"/>
        <v>0</v>
      </c>
      <c r="R958" s="9">
        <f t="shared" si="102"/>
        <v>1980</v>
      </c>
      <c r="S958" s="10">
        <f t="shared" si="103"/>
        <v>165</v>
      </c>
      <c r="T958">
        <v>165</v>
      </c>
      <c r="U958">
        <f t="shared" si="104"/>
        <v>0</v>
      </c>
    </row>
    <row r="959" spans="1:21" ht="14.25" customHeight="1" x14ac:dyDescent="0.35">
      <c r="A959" s="6" t="s">
        <v>2634</v>
      </c>
      <c r="B959" s="6" t="s">
        <v>2635</v>
      </c>
      <c r="C959" s="6" t="s">
        <v>2636</v>
      </c>
      <c r="D959" s="6" t="s">
        <v>31</v>
      </c>
      <c r="E959" s="7" t="s">
        <v>23</v>
      </c>
      <c r="F959" s="6">
        <v>85260</v>
      </c>
      <c r="G959" s="6" t="s">
        <v>45</v>
      </c>
      <c r="H959" s="6" t="s">
        <v>291</v>
      </c>
      <c r="I959" s="6" t="s">
        <v>26</v>
      </c>
      <c r="J959" s="6" t="b">
        <v>0</v>
      </c>
      <c r="K959" s="6" t="s">
        <v>27</v>
      </c>
      <c r="L959" s="6">
        <v>0</v>
      </c>
      <c r="M959" s="6">
        <v>165</v>
      </c>
      <c r="N959" s="8" t="str">
        <f t="shared" si="98"/>
        <v>0</v>
      </c>
      <c r="O959" s="8">
        <f t="shared" si="99"/>
        <v>1980</v>
      </c>
      <c r="P959" s="8">
        <f t="shared" si="100"/>
        <v>1980</v>
      </c>
      <c r="Q959" s="8">
        <f t="shared" si="101"/>
        <v>0</v>
      </c>
      <c r="R959" s="9">
        <f t="shared" si="102"/>
        <v>1980</v>
      </c>
      <c r="S959" s="10">
        <f t="shared" si="103"/>
        <v>165</v>
      </c>
      <c r="T959">
        <v>165</v>
      </c>
      <c r="U959">
        <f t="shared" si="104"/>
        <v>0</v>
      </c>
    </row>
    <row r="960" spans="1:21" ht="14.25" customHeight="1" x14ac:dyDescent="0.35">
      <c r="A960" s="6" t="s">
        <v>2637</v>
      </c>
      <c r="B960" s="6" t="s">
        <v>2638</v>
      </c>
      <c r="C960" s="6" t="s">
        <v>2639</v>
      </c>
      <c r="D960" s="6" t="s">
        <v>22</v>
      </c>
      <c r="E960" s="7" t="s">
        <v>23</v>
      </c>
      <c r="F960" s="6">
        <v>85226</v>
      </c>
      <c r="G960" s="6" t="s">
        <v>24</v>
      </c>
      <c r="H960" s="6" t="s">
        <v>161</v>
      </c>
      <c r="I960" s="6" t="s">
        <v>26</v>
      </c>
      <c r="J960" s="6" t="b">
        <v>0</v>
      </c>
      <c r="K960" s="6" t="s">
        <v>27</v>
      </c>
      <c r="L960" s="6">
        <v>0</v>
      </c>
      <c r="M960" s="6">
        <v>165</v>
      </c>
      <c r="N960" s="8" t="str">
        <f t="shared" si="98"/>
        <v>0</v>
      </c>
      <c r="O960" s="8">
        <f t="shared" si="99"/>
        <v>1980</v>
      </c>
      <c r="P960" s="8">
        <f t="shared" si="100"/>
        <v>1980</v>
      </c>
      <c r="Q960" s="8">
        <f t="shared" si="101"/>
        <v>0</v>
      </c>
      <c r="R960" s="9">
        <f t="shared" si="102"/>
        <v>1980</v>
      </c>
      <c r="S960" s="10">
        <f t="shared" si="103"/>
        <v>165</v>
      </c>
      <c r="T960">
        <v>165</v>
      </c>
      <c r="U960">
        <f t="shared" si="104"/>
        <v>0</v>
      </c>
    </row>
    <row r="961" spans="1:21" ht="14.25" customHeight="1" x14ac:dyDescent="0.35">
      <c r="A961" s="6" t="s">
        <v>2640</v>
      </c>
      <c r="B961" s="6" t="s">
        <v>2641</v>
      </c>
      <c r="C961" s="6" t="s">
        <v>2642</v>
      </c>
      <c r="D961" s="6" t="s">
        <v>363</v>
      </c>
      <c r="E961" s="7" t="s">
        <v>23</v>
      </c>
      <c r="F961" s="6">
        <v>85283</v>
      </c>
      <c r="G961" s="6" t="s">
        <v>364</v>
      </c>
      <c r="H961" s="6" t="s">
        <v>365</v>
      </c>
      <c r="I961" s="6" t="s">
        <v>110</v>
      </c>
      <c r="J961" s="6" t="b">
        <v>0</v>
      </c>
      <c r="K961" s="6" t="s">
        <v>27</v>
      </c>
      <c r="L961" s="6">
        <v>0</v>
      </c>
      <c r="M961" s="6">
        <v>165</v>
      </c>
      <c r="N961" s="8" t="str">
        <f t="shared" si="98"/>
        <v>0</v>
      </c>
      <c r="O961" s="8">
        <f t="shared" si="99"/>
        <v>1980</v>
      </c>
      <c r="P961" s="8">
        <f t="shared" si="100"/>
        <v>1980</v>
      </c>
      <c r="Q961" s="8">
        <f t="shared" si="101"/>
        <v>0</v>
      </c>
      <c r="R961" s="9">
        <f t="shared" si="102"/>
        <v>1980</v>
      </c>
      <c r="S961" s="10">
        <f t="shared" si="103"/>
        <v>165</v>
      </c>
      <c r="T961">
        <v>165</v>
      </c>
      <c r="U961">
        <f t="shared" si="104"/>
        <v>0</v>
      </c>
    </row>
    <row r="962" spans="1:21" ht="14.25" customHeight="1" x14ac:dyDescent="0.35">
      <c r="A962" s="6" t="s">
        <v>2643</v>
      </c>
      <c r="B962" s="6" t="s">
        <v>2644</v>
      </c>
      <c r="C962" s="6" t="s">
        <v>2645</v>
      </c>
      <c r="D962" s="6" t="s">
        <v>31</v>
      </c>
      <c r="E962" s="7" t="s">
        <v>23</v>
      </c>
      <c r="F962" s="6">
        <v>85262</v>
      </c>
      <c r="G962" s="6" t="s">
        <v>32</v>
      </c>
      <c r="H962" s="6" t="s">
        <v>33</v>
      </c>
      <c r="I962" s="6" t="s">
        <v>26</v>
      </c>
      <c r="J962" s="6" t="b">
        <v>0</v>
      </c>
      <c r="K962" s="6" t="s">
        <v>27</v>
      </c>
      <c r="L962" s="6">
        <v>0</v>
      </c>
      <c r="M962" s="6">
        <v>165</v>
      </c>
      <c r="N962" s="8" t="str">
        <f t="shared" ref="N962:N1025" si="105">IF(J962=TRUE, 6.39*12, "0")</f>
        <v>0</v>
      </c>
      <c r="O962" s="8">
        <f t="shared" ref="O962:O1025" si="106">L962+(M962*12)+N962</f>
        <v>1980</v>
      </c>
      <c r="P962" s="8">
        <f t="shared" ref="P962:P1025" si="107">IF(OR(K962="Check",K962="ACH"), O962*0.97, O962)</f>
        <v>1980</v>
      </c>
      <c r="Q962" s="8">
        <f t="shared" ref="Q962:Q1025" si="108">P962-O962</f>
        <v>0</v>
      </c>
      <c r="R962" s="9">
        <f t="shared" ref="R962:R1025" si="109">O962-Q962</f>
        <v>1980</v>
      </c>
      <c r="S962" s="10">
        <f t="shared" ref="S962:S1025" si="110">R962/12</f>
        <v>165</v>
      </c>
      <c r="T962">
        <v>165</v>
      </c>
      <c r="U962">
        <f t="shared" si="104"/>
        <v>0</v>
      </c>
    </row>
    <row r="963" spans="1:21" ht="14.25" customHeight="1" x14ac:dyDescent="0.35">
      <c r="A963" s="6" t="s">
        <v>2646</v>
      </c>
      <c r="B963" s="6" t="s">
        <v>2647</v>
      </c>
      <c r="C963" s="6" t="s">
        <v>2648</v>
      </c>
      <c r="D963" s="6" t="s">
        <v>98</v>
      </c>
      <c r="E963" s="7" t="s">
        <v>23</v>
      </c>
      <c r="F963" s="6">
        <v>85193</v>
      </c>
      <c r="G963" s="6" t="s">
        <v>87</v>
      </c>
      <c r="H963" s="6" t="s">
        <v>88</v>
      </c>
      <c r="I963" s="6" t="s">
        <v>26</v>
      </c>
      <c r="J963" s="6" t="b">
        <v>0</v>
      </c>
      <c r="K963" s="6" t="s">
        <v>27</v>
      </c>
      <c r="L963" s="6">
        <v>0</v>
      </c>
      <c r="M963" s="6">
        <v>165</v>
      </c>
      <c r="N963" s="8" t="str">
        <f t="shared" si="105"/>
        <v>0</v>
      </c>
      <c r="O963" s="8">
        <f t="shared" si="106"/>
        <v>1980</v>
      </c>
      <c r="P963" s="8">
        <f t="shared" si="107"/>
        <v>1980</v>
      </c>
      <c r="Q963" s="8">
        <f t="shared" si="108"/>
        <v>0</v>
      </c>
      <c r="R963" s="9">
        <f t="shared" si="109"/>
        <v>1980</v>
      </c>
      <c r="S963" s="10">
        <f t="shared" si="110"/>
        <v>165</v>
      </c>
      <c r="T963">
        <v>165</v>
      </c>
      <c r="U963">
        <f t="shared" si="104"/>
        <v>0</v>
      </c>
    </row>
    <row r="964" spans="1:21" ht="14.25" customHeight="1" x14ac:dyDescent="0.35">
      <c r="A964" s="6" t="s">
        <v>2649</v>
      </c>
      <c r="B964" s="6" t="s">
        <v>2650</v>
      </c>
      <c r="C964" s="6" t="s">
        <v>2651</v>
      </c>
      <c r="D964" s="6" t="s">
        <v>44</v>
      </c>
      <c r="E964" s="7" t="s">
        <v>23</v>
      </c>
      <c r="F964" s="6">
        <v>85048</v>
      </c>
      <c r="G964" s="6" t="s">
        <v>24</v>
      </c>
      <c r="H964" s="6" t="s">
        <v>161</v>
      </c>
      <c r="I964" s="6" t="s">
        <v>26</v>
      </c>
      <c r="J964" s="6" t="b">
        <v>0</v>
      </c>
      <c r="K964" s="6" t="s">
        <v>27</v>
      </c>
      <c r="L964" s="6">
        <v>0</v>
      </c>
      <c r="M964" s="6">
        <v>165</v>
      </c>
      <c r="N964" s="8" t="str">
        <f t="shared" si="105"/>
        <v>0</v>
      </c>
      <c r="O964" s="8">
        <f t="shared" si="106"/>
        <v>1980</v>
      </c>
      <c r="P964" s="8">
        <f t="shared" si="107"/>
        <v>1980</v>
      </c>
      <c r="Q964" s="8">
        <f t="shared" si="108"/>
        <v>0</v>
      </c>
      <c r="R964" s="9">
        <f t="shared" si="109"/>
        <v>1980</v>
      </c>
      <c r="S964" s="10">
        <f t="shared" si="110"/>
        <v>165</v>
      </c>
      <c r="T964">
        <v>165</v>
      </c>
      <c r="U964">
        <f t="shared" ref="U964:U1027" si="111">SUM(T964-M964)</f>
        <v>0</v>
      </c>
    </row>
    <row r="965" spans="1:21" ht="14.25" customHeight="1" x14ac:dyDescent="0.35">
      <c r="A965" s="6" t="s">
        <v>2652</v>
      </c>
      <c r="B965" s="6" t="s">
        <v>2653</v>
      </c>
      <c r="C965" s="6" t="s">
        <v>2654</v>
      </c>
      <c r="D965" s="6" t="s">
        <v>130</v>
      </c>
      <c r="E965" s="7" t="s">
        <v>23</v>
      </c>
      <c r="F965" s="6">
        <v>85140</v>
      </c>
      <c r="G965" s="6" t="s">
        <v>87</v>
      </c>
      <c r="H965" s="6" t="s">
        <v>109</v>
      </c>
      <c r="I965" s="6" t="s">
        <v>40</v>
      </c>
      <c r="J965" s="6" t="b">
        <v>0</v>
      </c>
      <c r="K965" s="6" t="s">
        <v>27</v>
      </c>
      <c r="L965" s="6">
        <v>0</v>
      </c>
      <c r="M965" s="6">
        <v>165</v>
      </c>
      <c r="N965" s="8" t="str">
        <f t="shared" si="105"/>
        <v>0</v>
      </c>
      <c r="O965" s="8">
        <f t="shared" si="106"/>
        <v>1980</v>
      </c>
      <c r="P965" s="8">
        <f t="shared" si="107"/>
        <v>1980</v>
      </c>
      <c r="Q965" s="8">
        <f t="shared" si="108"/>
        <v>0</v>
      </c>
      <c r="R965" s="9">
        <f t="shared" si="109"/>
        <v>1980</v>
      </c>
      <c r="S965" s="10">
        <f t="shared" si="110"/>
        <v>165</v>
      </c>
      <c r="T965">
        <v>165</v>
      </c>
      <c r="U965">
        <f t="shared" si="111"/>
        <v>0</v>
      </c>
    </row>
    <row r="966" spans="1:21" ht="14.25" customHeight="1" x14ac:dyDescent="0.35">
      <c r="A966" s="6" t="s">
        <v>2655</v>
      </c>
      <c r="B966" s="6" t="s">
        <v>2656</v>
      </c>
      <c r="C966" s="6" t="s">
        <v>2657</v>
      </c>
      <c r="D966" s="6" t="s">
        <v>44</v>
      </c>
      <c r="E966" s="7" t="s">
        <v>23</v>
      </c>
      <c r="F966" s="6">
        <v>85051</v>
      </c>
      <c r="G966" s="6" t="s">
        <v>72</v>
      </c>
      <c r="I966" s="6" t="s">
        <v>57</v>
      </c>
      <c r="J966" s="6" t="b">
        <v>0</v>
      </c>
      <c r="K966" s="6" t="s">
        <v>27</v>
      </c>
      <c r="L966" s="6">
        <v>0</v>
      </c>
      <c r="M966" s="6">
        <v>165</v>
      </c>
      <c r="N966" s="8" t="str">
        <f t="shared" si="105"/>
        <v>0</v>
      </c>
      <c r="O966" s="8">
        <f t="shared" si="106"/>
        <v>1980</v>
      </c>
      <c r="P966" s="8">
        <f t="shared" si="107"/>
        <v>1980</v>
      </c>
      <c r="Q966" s="8">
        <f t="shared" si="108"/>
        <v>0</v>
      </c>
      <c r="R966" s="9">
        <f t="shared" si="109"/>
        <v>1980</v>
      </c>
      <c r="S966" s="10">
        <f t="shared" si="110"/>
        <v>165</v>
      </c>
      <c r="T966">
        <v>165</v>
      </c>
      <c r="U966">
        <f t="shared" si="111"/>
        <v>0</v>
      </c>
    </row>
    <row r="967" spans="1:21" ht="14.25" customHeight="1" x14ac:dyDescent="0.35">
      <c r="A967" s="6" t="s">
        <v>2658</v>
      </c>
      <c r="B967" s="6" t="s">
        <v>2659</v>
      </c>
      <c r="C967" s="6" t="s">
        <v>2660</v>
      </c>
      <c r="D967" s="6" t="s">
        <v>267</v>
      </c>
      <c r="E967" s="7" t="s">
        <v>23</v>
      </c>
      <c r="F967" s="6">
        <v>85388</v>
      </c>
      <c r="G967" s="6" t="s">
        <v>78</v>
      </c>
      <c r="H967" s="6" t="s">
        <v>281</v>
      </c>
      <c r="I967" s="6" t="s">
        <v>26</v>
      </c>
      <c r="J967" s="6" t="b">
        <v>0</v>
      </c>
      <c r="K967" s="6" t="s">
        <v>27</v>
      </c>
      <c r="L967" s="6">
        <v>0</v>
      </c>
      <c r="M967" s="6">
        <v>165</v>
      </c>
      <c r="N967" s="8" t="str">
        <f t="shared" si="105"/>
        <v>0</v>
      </c>
      <c r="O967" s="8">
        <f t="shared" si="106"/>
        <v>1980</v>
      </c>
      <c r="P967" s="8">
        <f t="shared" si="107"/>
        <v>1980</v>
      </c>
      <c r="Q967" s="8">
        <f t="shared" si="108"/>
        <v>0</v>
      </c>
      <c r="R967" s="9">
        <f t="shared" si="109"/>
        <v>1980</v>
      </c>
      <c r="S967" s="10">
        <f t="shared" si="110"/>
        <v>165</v>
      </c>
      <c r="T967">
        <v>165</v>
      </c>
      <c r="U967">
        <f t="shared" si="111"/>
        <v>0</v>
      </c>
    </row>
    <row r="968" spans="1:21" ht="14.25" customHeight="1" x14ac:dyDescent="0.35">
      <c r="A968" s="6" t="s">
        <v>2661</v>
      </c>
      <c r="B968" s="6" t="s">
        <v>2662</v>
      </c>
      <c r="C968" s="6" t="s">
        <v>2663</v>
      </c>
      <c r="D968" s="6" t="s">
        <v>98</v>
      </c>
      <c r="E968" s="7" t="s">
        <v>23</v>
      </c>
      <c r="F968" s="6">
        <v>85122</v>
      </c>
      <c r="G968" s="6" t="s">
        <v>87</v>
      </c>
      <c r="H968" s="6" t="s">
        <v>109</v>
      </c>
      <c r="I968" s="6" t="s">
        <v>57</v>
      </c>
      <c r="J968" s="6" t="b">
        <v>0</v>
      </c>
      <c r="K968" s="6" t="s">
        <v>27</v>
      </c>
      <c r="L968" s="6">
        <v>0</v>
      </c>
      <c r="M968" s="6">
        <v>165</v>
      </c>
      <c r="N968" s="8" t="str">
        <f t="shared" si="105"/>
        <v>0</v>
      </c>
      <c r="O968" s="8">
        <f t="shared" si="106"/>
        <v>1980</v>
      </c>
      <c r="P968" s="8">
        <f t="shared" si="107"/>
        <v>1980</v>
      </c>
      <c r="Q968" s="8">
        <f t="shared" si="108"/>
        <v>0</v>
      </c>
      <c r="R968" s="9">
        <f t="shared" si="109"/>
        <v>1980</v>
      </c>
      <c r="S968" s="10">
        <f t="shared" si="110"/>
        <v>165</v>
      </c>
      <c r="T968">
        <v>165</v>
      </c>
      <c r="U968">
        <f t="shared" si="111"/>
        <v>0</v>
      </c>
    </row>
    <row r="969" spans="1:21" ht="14.25" customHeight="1" x14ac:dyDescent="0.35">
      <c r="A969" s="6" t="s">
        <v>2664</v>
      </c>
      <c r="B969" s="6" t="s">
        <v>2665</v>
      </c>
      <c r="C969" s="6" t="s">
        <v>2666</v>
      </c>
      <c r="D969" s="6" t="s">
        <v>65</v>
      </c>
      <c r="E969" s="7" t="s">
        <v>23</v>
      </c>
      <c r="F969" s="6">
        <v>85210</v>
      </c>
      <c r="G969" s="6" t="s">
        <v>24</v>
      </c>
      <c r="H969" s="6" t="s">
        <v>365</v>
      </c>
      <c r="I969" s="6" t="s">
        <v>57</v>
      </c>
      <c r="J969" s="6" t="b">
        <v>0</v>
      </c>
      <c r="K969" s="6" t="s">
        <v>27</v>
      </c>
      <c r="L969" s="6">
        <v>0</v>
      </c>
      <c r="M969" s="6">
        <v>165</v>
      </c>
      <c r="N969" s="8" t="str">
        <f t="shared" si="105"/>
        <v>0</v>
      </c>
      <c r="O969" s="8">
        <f t="shared" si="106"/>
        <v>1980</v>
      </c>
      <c r="P969" s="8">
        <f t="shared" si="107"/>
        <v>1980</v>
      </c>
      <c r="Q969" s="8">
        <f t="shared" si="108"/>
        <v>0</v>
      </c>
      <c r="R969" s="9">
        <f t="shared" si="109"/>
        <v>1980</v>
      </c>
      <c r="S969" s="10">
        <f t="shared" si="110"/>
        <v>165</v>
      </c>
      <c r="T969">
        <v>165</v>
      </c>
      <c r="U969">
        <f t="shared" si="111"/>
        <v>0</v>
      </c>
    </row>
    <row r="970" spans="1:21" ht="14.25" customHeight="1" x14ac:dyDescent="0.35">
      <c r="A970" s="6" t="s">
        <v>2667</v>
      </c>
      <c r="B970" s="6" t="s">
        <v>2668</v>
      </c>
      <c r="C970" s="6" t="s">
        <v>2669</v>
      </c>
      <c r="D970" s="6" t="s">
        <v>22</v>
      </c>
      <c r="E970" s="7" t="s">
        <v>23</v>
      </c>
      <c r="F970" s="6">
        <v>85286</v>
      </c>
      <c r="G970" s="6" t="s">
        <v>125</v>
      </c>
      <c r="H970" s="6" t="s">
        <v>126</v>
      </c>
      <c r="J970" s="6" t="b">
        <v>0</v>
      </c>
      <c r="K970" s="6" t="s">
        <v>27</v>
      </c>
      <c r="L970" s="6">
        <v>0</v>
      </c>
      <c r="M970" s="6">
        <v>165</v>
      </c>
      <c r="N970" s="8" t="str">
        <f t="shared" si="105"/>
        <v>0</v>
      </c>
      <c r="O970" s="8">
        <f t="shared" si="106"/>
        <v>1980</v>
      </c>
      <c r="P970" s="8">
        <f t="shared" si="107"/>
        <v>1980</v>
      </c>
      <c r="Q970" s="8">
        <f t="shared" si="108"/>
        <v>0</v>
      </c>
      <c r="R970" s="9">
        <f t="shared" si="109"/>
        <v>1980</v>
      </c>
      <c r="S970" s="10">
        <f t="shared" si="110"/>
        <v>165</v>
      </c>
      <c r="T970">
        <v>165</v>
      </c>
      <c r="U970">
        <f t="shared" si="111"/>
        <v>0</v>
      </c>
    </row>
    <row r="971" spans="1:21" ht="14.25" customHeight="1" x14ac:dyDescent="0.35">
      <c r="A971" s="6" t="s">
        <v>2670</v>
      </c>
      <c r="B971" s="6" t="s">
        <v>2671</v>
      </c>
      <c r="C971" s="6" t="s">
        <v>2672</v>
      </c>
      <c r="D971" s="6" t="s">
        <v>482</v>
      </c>
      <c r="E971" s="7" t="s">
        <v>23</v>
      </c>
      <c r="F971" s="6">
        <v>85326</v>
      </c>
      <c r="G971" s="6" t="s">
        <v>38</v>
      </c>
      <c r="H971" s="6" t="s">
        <v>378</v>
      </c>
      <c r="I971" s="6" t="s">
        <v>26</v>
      </c>
      <c r="J971" s="6" t="b">
        <v>0</v>
      </c>
      <c r="K971" s="6" t="s">
        <v>27</v>
      </c>
      <c r="L971" s="6">
        <v>0</v>
      </c>
      <c r="M971" s="6">
        <v>165</v>
      </c>
      <c r="N971" s="8" t="str">
        <f t="shared" si="105"/>
        <v>0</v>
      </c>
      <c r="O971" s="8">
        <f t="shared" si="106"/>
        <v>1980</v>
      </c>
      <c r="P971" s="8">
        <f t="shared" si="107"/>
        <v>1980</v>
      </c>
      <c r="Q971" s="8">
        <f t="shared" si="108"/>
        <v>0</v>
      </c>
      <c r="R971" s="9">
        <f t="shared" si="109"/>
        <v>1980</v>
      </c>
      <c r="S971" s="10">
        <f t="shared" si="110"/>
        <v>165</v>
      </c>
      <c r="T971">
        <v>165</v>
      </c>
      <c r="U971">
        <f t="shared" si="111"/>
        <v>0</v>
      </c>
    </row>
    <row r="972" spans="1:21" ht="14.25" customHeight="1" x14ac:dyDescent="0.35">
      <c r="A972" s="6" t="s">
        <v>2673</v>
      </c>
      <c r="B972" s="6" t="s">
        <v>2674</v>
      </c>
      <c r="C972" s="6" t="s">
        <v>2675</v>
      </c>
      <c r="D972" s="6" t="s">
        <v>77</v>
      </c>
      <c r="E972" s="7" t="s">
        <v>23</v>
      </c>
      <c r="F972" s="6">
        <v>85303</v>
      </c>
      <c r="G972" s="6" t="s">
        <v>72</v>
      </c>
      <c r="H972" s="6" t="s">
        <v>73</v>
      </c>
      <c r="I972" s="6" t="s">
        <v>26</v>
      </c>
      <c r="J972" s="6" t="b">
        <v>0</v>
      </c>
      <c r="K972" s="6" t="s">
        <v>27</v>
      </c>
      <c r="L972" s="6">
        <v>0</v>
      </c>
      <c r="M972" s="6">
        <v>165</v>
      </c>
      <c r="N972" s="8" t="str">
        <f t="shared" si="105"/>
        <v>0</v>
      </c>
      <c r="O972" s="8">
        <f t="shared" si="106"/>
        <v>1980</v>
      </c>
      <c r="P972" s="8">
        <f t="shared" si="107"/>
        <v>1980</v>
      </c>
      <c r="Q972" s="8">
        <f t="shared" si="108"/>
        <v>0</v>
      </c>
      <c r="R972" s="9">
        <f t="shared" si="109"/>
        <v>1980</v>
      </c>
      <c r="S972" s="10">
        <f t="shared" si="110"/>
        <v>165</v>
      </c>
      <c r="T972">
        <v>165</v>
      </c>
      <c r="U972">
        <f t="shared" si="111"/>
        <v>0</v>
      </c>
    </row>
    <row r="973" spans="1:21" ht="14.25" customHeight="1" x14ac:dyDescent="0.35">
      <c r="A973" s="6" t="s">
        <v>2676</v>
      </c>
      <c r="B973" s="6" t="s">
        <v>2677</v>
      </c>
      <c r="C973" s="6" t="s">
        <v>2678</v>
      </c>
      <c r="D973" s="6" t="s">
        <v>44</v>
      </c>
      <c r="E973" s="7" t="s">
        <v>23</v>
      </c>
      <c r="F973" s="6">
        <v>85042</v>
      </c>
      <c r="G973" s="6" t="s">
        <v>213</v>
      </c>
      <c r="H973" s="6" t="s">
        <v>39</v>
      </c>
      <c r="I973" s="6" t="s">
        <v>26</v>
      </c>
      <c r="J973" s="6" t="b">
        <v>0</v>
      </c>
      <c r="K973" s="6" t="s">
        <v>27</v>
      </c>
      <c r="L973" s="6">
        <v>0</v>
      </c>
      <c r="M973" s="6">
        <v>165</v>
      </c>
      <c r="N973" s="8" t="str">
        <f t="shared" si="105"/>
        <v>0</v>
      </c>
      <c r="O973" s="8">
        <f t="shared" si="106"/>
        <v>1980</v>
      </c>
      <c r="P973" s="8">
        <f t="shared" si="107"/>
        <v>1980</v>
      </c>
      <c r="Q973" s="8">
        <f t="shared" si="108"/>
        <v>0</v>
      </c>
      <c r="R973" s="9">
        <f t="shared" si="109"/>
        <v>1980</v>
      </c>
      <c r="S973" s="10">
        <f t="shared" si="110"/>
        <v>165</v>
      </c>
      <c r="T973">
        <v>165</v>
      </c>
      <c r="U973">
        <f t="shared" si="111"/>
        <v>0</v>
      </c>
    </row>
    <row r="974" spans="1:21" ht="14.25" customHeight="1" x14ac:dyDescent="0.35">
      <c r="A974" s="6" t="s">
        <v>2679</v>
      </c>
      <c r="B974" s="6" t="s">
        <v>2680</v>
      </c>
      <c r="C974" s="6" t="s">
        <v>2681</v>
      </c>
      <c r="D974" s="6" t="s">
        <v>44</v>
      </c>
      <c r="E974" s="7" t="s">
        <v>23</v>
      </c>
      <c r="F974" s="6">
        <v>85016</v>
      </c>
      <c r="G974" s="6" t="s">
        <v>49</v>
      </c>
      <c r="H974" s="6" t="s">
        <v>202</v>
      </c>
      <c r="I974" s="6" t="s">
        <v>26</v>
      </c>
      <c r="J974" s="6" t="b">
        <v>0</v>
      </c>
      <c r="K974" s="6" t="s">
        <v>27</v>
      </c>
      <c r="L974" s="6">
        <v>0</v>
      </c>
      <c r="M974" s="6">
        <v>165</v>
      </c>
      <c r="N974" s="8" t="str">
        <f t="shared" si="105"/>
        <v>0</v>
      </c>
      <c r="O974" s="8">
        <f t="shared" si="106"/>
        <v>1980</v>
      </c>
      <c r="P974" s="8">
        <f t="shared" si="107"/>
        <v>1980</v>
      </c>
      <c r="Q974" s="8">
        <f t="shared" si="108"/>
        <v>0</v>
      </c>
      <c r="R974" s="9">
        <f t="shared" si="109"/>
        <v>1980</v>
      </c>
      <c r="S974" s="10">
        <f t="shared" si="110"/>
        <v>165</v>
      </c>
      <c r="T974">
        <v>165</v>
      </c>
      <c r="U974">
        <f t="shared" si="111"/>
        <v>0</v>
      </c>
    </row>
    <row r="975" spans="1:21" ht="14.25" customHeight="1" x14ac:dyDescent="0.35">
      <c r="A975" s="6" t="s">
        <v>2682</v>
      </c>
      <c r="B975" s="6" t="s">
        <v>2683</v>
      </c>
      <c r="C975" s="6" t="s">
        <v>2684</v>
      </c>
      <c r="D975" s="6" t="s">
        <v>31</v>
      </c>
      <c r="E975" s="7" t="s">
        <v>23</v>
      </c>
      <c r="F975" s="6">
        <v>85260</v>
      </c>
      <c r="G975" s="6" t="s">
        <v>45</v>
      </c>
      <c r="H975" s="6" t="s">
        <v>33</v>
      </c>
      <c r="I975" s="6" t="s">
        <v>26</v>
      </c>
      <c r="J975" s="6" t="b">
        <v>0</v>
      </c>
      <c r="K975" s="6" t="s">
        <v>27</v>
      </c>
      <c r="L975" s="6">
        <v>0</v>
      </c>
      <c r="M975" s="6">
        <v>165</v>
      </c>
      <c r="N975" s="8" t="str">
        <f t="shared" si="105"/>
        <v>0</v>
      </c>
      <c r="O975" s="8">
        <f t="shared" si="106"/>
        <v>1980</v>
      </c>
      <c r="P975" s="8">
        <f t="shared" si="107"/>
        <v>1980</v>
      </c>
      <c r="Q975" s="8">
        <f t="shared" si="108"/>
        <v>0</v>
      </c>
      <c r="R975" s="9">
        <f t="shared" si="109"/>
        <v>1980</v>
      </c>
      <c r="S975" s="10">
        <f t="shared" si="110"/>
        <v>165</v>
      </c>
      <c r="T975">
        <v>165</v>
      </c>
      <c r="U975">
        <f t="shared" si="111"/>
        <v>0</v>
      </c>
    </row>
    <row r="976" spans="1:21" ht="14.25" customHeight="1" x14ac:dyDescent="0.35">
      <c r="A976" s="6" t="s">
        <v>2685</v>
      </c>
      <c r="B976" s="6" t="s">
        <v>2686</v>
      </c>
      <c r="C976" s="6" t="s">
        <v>2687</v>
      </c>
      <c r="D976" s="6" t="s">
        <v>22</v>
      </c>
      <c r="E976" s="7" t="s">
        <v>23</v>
      </c>
      <c r="F976" s="6">
        <v>85286</v>
      </c>
      <c r="G976" s="6" t="s">
        <v>125</v>
      </c>
      <c r="H976" s="6" t="s">
        <v>126</v>
      </c>
      <c r="J976" s="6" t="b">
        <v>0</v>
      </c>
      <c r="K976" s="6" t="s">
        <v>27</v>
      </c>
      <c r="L976" s="6">
        <v>0</v>
      </c>
      <c r="M976" s="6">
        <v>165</v>
      </c>
      <c r="N976" s="8" t="str">
        <f t="shared" si="105"/>
        <v>0</v>
      </c>
      <c r="O976" s="8">
        <f t="shared" si="106"/>
        <v>1980</v>
      </c>
      <c r="P976" s="8">
        <f t="shared" si="107"/>
        <v>1980</v>
      </c>
      <c r="Q976" s="8">
        <f t="shared" si="108"/>
        <v>0</v>
      </c>
      <c r="R976" s="9">
        <f t="shared" si="109"/>
        <v>1980</v>
      </c>
      <c r="S976" s="10">
        <f t="shared" si="110"/>
        <v>165</v>
      </c>
      <c r="T976">
        <v>165</v>
      </c>
      <c r="U976">
        <f t="shared" si="111"/>
        <v>0</v>
      </c>
    </row>
    <row r="977" spans="1:21" ht="14.25" customHeight="1" x14ac:dyDescent="0.35">
      <c r="A977" s="6" t="s">
        <v>2688</v>
      </c>
      <c r="B977" s="6" t="s">
        <v>2689</v>
      </c>
      <c r="C977" s="6" t="s">
        <v>2690</v>
      </c>
      <c r="D977" s="6" t="s">
        <v>98</v>
      </c>
      <c r="E977" s="7" t="s">
        <v>23</v>
      </c>
      <c r="F977" s="6">
        <v>85122</v>
      </c>
      <c r="G977" s="6" t="s">
        <v>87</v>
      </c>
      <c r="H977" s="6" t="s">
        <v>99</v>
      </c>
      <c r="I977" s="6" t="s">
        <v>61</v>
      </c>
      <c r="J977" s="6" t="b">
        <v>0</v>
      </c>
      <c r="K977" s="6" t="s">
        <v>27</v>
      </c>
      <c r="L977" s="6">
        <v>0</v>
      </c>
      <c r="M977" s="6">
        <v>165</v>
      </c>
      <c r="N977" s="8" t="str">
        <f t="shared" si="105"/>
        <v>0</v>
      </c>
      <c r="O977" s="8">
        <f t="shared" si="106"/>
        <v>1980</v>
      </c>
      <c r="P977" s="8">
        <f t="shared" si="107"/>
        <v>1980</v>
      </c>
      <c r="Q977" s="8">
        <f t="shared" si="108"/>
        <v>0</v>
      </c>
      <c r="R977" s="9">
        <f t="shared" si="109"/>
        <v>1980</v>
      </c>
      <c r="S977" s="10">
        <f t="shared" si="110"/>
        <v>165</v>
      </c>
      <c r="T977">
        <v>165</v>
      </c>
      <c r="U977">
        <f t="shared" si="111"/>
        <v>0</v>
      </c>
    </row>
    <row r="978" spans="1:21" ht="14.25" customHeight="1" x14ac:dyDescent="0.35">
      <c r="A978" s="6" t="s">
        <v>2691</v>
      </c>
      <c r="B978" s="6" t="s">
        <v>2692</v>
      </c>
      <c r="C978" s="6" t="s">
        <v>2693</v>
      </c>
      <c r="D978" s="6" t="s">
        <v>98</v>
      </c>
      <c r="E978" s="7" t="s">
        <v>23</v>
      </c>
      <c r="F978" s="6">
        <v>85122</v>
      </c>
      <c r="G978" s="6" t="s">
        <v>87</v>
      </c>
      <c r="H978" s="6" t="s">
        <v>109</v>
      </c>
      <c r="I978" s="6" t="s">
        <v>61</v>
      </c>
      <c r="J978" s="6" t="b">
        <v>0</v>
      </c>
      <c r="K978" s="6" t="s">
        <v>27</v>
      </c>
      <c r="L978" s="6">
        <v>0</v>
      </c>
      <c r="M978" s="6">
        <v>165</v>
      </c>
      <c r="N978" s="8" t="str">
        <f t="shared" si="105"/>
        <v>0</v>
      </c>
      <c r="O978" s="8">
        <f t="shared" si="106"/>
        <v>1980</v>
      </c>
      <c r="P978" s="8">
        <f t="shared" si="107"/>
        <v>1980</v>
      </c>
      <c r="Q978" s="8">
        <f t="shared" si="108"/>
        <v>0</v>
      </c>
      <c r="R978" s="9">
        <f t="shared" si="109"/>
        <v>1980</v>
      </c>
      <c r="S978" s="10">
        <f t="shared" si="110"/>
        <v>165</v>
      </c>
      <c r="T978">
        <v>165</v>
      </c>
      <c r="U978">
        <f t="shared" si="111"/>
        <v>0</v>
      </c>
    </row>
    <row r="979" spans="1:21" ht="14.25" customHeight="1" x14ac:dyDescent="0.35">
      <c r="A979" s="6" t="s">
        <v>2694</v>
      </c>
      <c r="B979" s="6" t="s">
        <v>2695</v>
      </c>
      <c r="C979" s="6" t="s">
        <v>2696</v>
      </c>
      <c r="D979" s="6" t="s">
        <v>224</v>
      </c>
      <c r="E979" s="7" t="s">
        <v>23</v>
      </c>
      <c r="F979" s="6">
        <v>85248</v>
      </c>
      <c r="G979" s="6" t="s">
        <v>125</v>
      </c>
      <c r="H979" s="6" t="s">
        <v>126</v>
      </c>
      <c r="I979" s="6" t="s">
        <v>26</v>
      </c>
      <c r="J979" s="6" t="b">
        <v>0</v>
      </c>
      <c r="K979" s="6" t="s">
        <v>27</v>
      </c>
      <c r="L979" s="6">
        <v>0</v>
      </c>
      <c r="M979" s="6">
        <v>165</v>
      </c>
      <c r="N979" s="8" t="str">
        <f t="shared" si="105"/>
        <v>0</v>
      </c>
      <c r="O979" s="8">
        <f t="shared" si="106"/>
        <v>1980</v>
      </c>
      <c r="P979" s="8">
        <f t="shared" si="107"/>
        <v>1980</v>
      </c>
      <c r="Q979" s="8">
        <f t="shared" si="108"/>
        <v>0</v>
      </c>
      <c r="R979" s="9">
        <f t="shared" si="109"/>
        <v>1980</v>
      </c>
      <c r="S979" s="10">
        <f t="shared" si="110"/>
        <v>165</v>
      </c>
      <c r="T979">
        <v>165</v>
      </c>
      <c r="U979">
        <f t="shared" si="111"/>
        <v>0</v>
      </c>
    </row>
    <row r="980" spans="1:21" ht="14.25" customHeight="1" x14ac:dyDescent="0.35">
      <c r="A980" s="6" t="s">
        <v>2697</v>
      </c>
      <c r="B980" s="6" t="s">
        <v>2698</v>
      </c>
      <c r="C980" s="6" t="s">
        <v>2699</v>
      </c>
      <c r="D980" s="6" t="s">
        <v>77</v>
      </c>
      <c r="E980" s="7" t="s">
        <v>23</v>
      </c>
      <c r="F980" s="6">
        <v>85308</v>
      </c>
      <c r="G980" s="6" t="s">
        <v>78</v>
      </c>
      <c r="H980" s="6" t="s">
        <v>281</v>
      </c>
      <c r="I980" s="6" t="s">
        <v>26</v>
      </c>
      <c r="J980" s="6" t="b">
        <v>0</v>
      </c>
      <c r="K980" s="6" t="s">
        <v>27</v>
      </c>
      <c r="L980" s="6">
        <v>0</v>
      </c>
      <c r="M980" s="6">
        <v>165</v>
      </c>
      <c r="N980" s="8" t="str">
        <f t="shared" si="105"/>
        <v>0</v>
      </c>
      <c r="O980" s="8">
        <f t="shared" si="106"/>
        <v>1980</v>
      </c>
      <c r="P980" s="8">
        <f t="shared" si="107"/>
        <v>1980</v>
      </c>
      <c r="Q980" s="8">
        <f t="shared" si="108"/>
        <v>0</v>
      </c>
      <c r="R980" s="9">
        <f t="shared" si="109"/>
        <v>1980</v>
      </c>
      <c r="S980" s="10">
        <f t="shared" si="110"/>
        <v>165</v>
      </c>
      <c r="T980">
        <v>165</v>
      </c>
      <c r="U980">
        <f t="shared" si="111"/>
        <v>0</v>
      </c>
    </row>
    <row r="981" spans="1:21" ht="14.25" customHeight="1" x14ac:dyDescent="0.35">
      <c r="A981" s="6" t="s">
        <v>2700</v>
      </c>
      <c r="B981" s="6" t="s">
        <v>2701</v>
      </c>
      <c r="C981" s="6" t="s">
        <v>2702</v>
      </c>
      <c r="D981" s="6" t="s">
        <v>363</v>
      </c>
      <c r="E981" s="7" t="s">
        <v>23</v>
      </c>
      <c r="F981" s="6">
        <v>85282</v>
      </c>
      <c r="G981" s="6" t="s">
        <v>364</v>
      </c>
      <c r="H981" s="6" t="s">
        <v>365</v>
      </c>
      <c r="I981" s="6" t="s">
        <v>26</v>
      </c>
      <c r="J981" s="6" t="b">
        <v>0</v>
      </c>
      <c r="K981" s="6" t="s">
        <v>27</v>
      </c>
      <c r="L981" s="6">
        <v>0</v>
      </c>
      <c r="M981" s="6">
        <v>165</v>
      </c>
      <c r="N981" s="8" t="str">
        <f t="shared" si="105"/>
        <v>0</v>
      </c>
      <c r="O981" s="8">
        <f t="shared" si="106"/>
        <v>1980</v>
      </c>
      <c r="P981" s="8">
        <f t="shared" si="107"/>
        <v>1980</v>
      </c>
      <c r="Q981" s="8">
        <f t="shared" si="108"/>
        <v>0</v>
      </c>
      <c r="R981" s="9">
        <f t="shared" si="109"/>
        <v>1980</v>
      </c>
      <c r="S981" s="10">
        <f t="shared" si="110"/>
        <v>165</v>
      </c>
      <c r="T981">
        <v>165</v>
      </c>
      <c r="U981">
        <f t="shared" si="111"/>
        <v>0</v>
      </c>
    </row>
    <row r="982" spans="1:21" ht="14.25" customHeight="1" x14ac:dyDescent="0.35">
      <c r="A982" s="6" t="s">
        <v>2703</v>
      </c>
      <c r="B982" s="6" t="s">
        <v>2704</v>
      </c>
      <c r="C982" s="6" t="s">
        <v>2705</v>
      </c>
      <c r="D982" s="6" t="s">
        <v>22</v>
      </c>
      <c r="E982" s="7" t="s">
        <v>23</v>
      </c>
      <c r="F982" s="6">
        <v>85249</v>
      </c>
      <c r="G982" s="6" t="s">
        <v>125</v>
      </c>
      <c r="H982" s="6" t="s">
        <v>126</v>
      </c>
      <c r="I982" s="6" t="s">
        <v>26</v>
      </c>
      <c r="J982" s="6" t="b">
        <v>0</v>
      </c>
      <c r="K982" s="6" t="s">
        <v>27</v>
      </c>
      <c r="L982" s="6">
        <v>0</v>
      </c>
      <c r="M982" s="6">
        <v>165</v>
      </c>
      <c r="N982" s="8" t="str">
        <f t="shared" si="105"/>
        <v>0</v>
      </c>
      <c r="O982" s="8">
        <f t="shared" si="106"/>
        <v>1980</v>
      </c>
      <c r="P982" s="8">
        <f t="shared" si="107"/>
        <v>1980</v>
      </c>
      <c r="Q982" s="8">
        <f t="shared" si="108"/>
        <v>0</v>
      </c>
      <c r="R982" s="9">
        <f t="shared" si="109"/>
        <v>1980</v>
      </c>
      <c r="S982" s="10">
        <f t="shared" si="110"/>
        <v>165</v>
      </c>
      <c r="T982">
        <v>165</v>
      </c>
      <c r="U982">
        <f t="shared" si="111"/>
        <v>0</v>
      </c>
    </row>
    <row r="983" spans="1:21" ht="14.25" customHeight="1" x14ac:dyDescent="0.35">
      <c r="A983" s="6" t="s">
        <v>2706</v>
      </c>
      <c r="B983" s="6" t="s">
        <v>2707</v>
      </c>
      <c r="C983" s="6" t="s">
        <v>2708</v>
      </c>
      <c r="D983" s="6" t="s">
        <v>892</v>
      </c>
      <c r="E983" s="7" t="s">
        <v>23</v>
      </c>
      <c r="F983" s="6">
        <v>85142</v>
      </c>
      <c r="G983" s="6" t="s">
        <v>125</v>
      </c>
      <c r="H983" s="6" t="s">
        <v>225</v>
      </c>
      <c r="I983" s="6" t="s">
        <v>26</v>
      </c>
      <c r="J983" s="6" t="b">
        <v>0</v>
      </c>
      <c r="K983" s="6" t="s">
        <v>27</v>
      </c>
      <c r="L983" s="6">
        <v>0</v>
      </c>
      <c r="M983" s="6">
        <v>165</v>
      </c>
      <c r="N983" s="8" t="str">
        <f t="shared" si="105"/>
        <v>0</v>
      </c>
      <c r="O983" s="8">
        <f t="shared" si="106"/>
        <v>1980</v>
      </c>
      <c r="P983" s="8">
        <f t="shared" si="107"/>
        <v>1980</v>
      </c>
      <c r="Q983" s="8">
        <f t="shared" si="108"/>
        <v>0</v>
      </c>
      <c r="R983" s="9">
        <f t="shared" si="109"/>
        <v>1980</v>
      </c>
      <c r="S983" s="10">
        <f t="shared" si="110"/>
        <v>165</v>
      </c>
      <c r="T983">
        <v>165</v>
      </c>
      <c r="U983">
        <f t="shared" si="111"/>
        <v>0</v>
      </c>
    </row>
    <row r="984" spans="1:21" ht="14.25" customHeight="1" x14ac:dyDescent="0.35">
      <c r="A984" s="6" t="s">
        <v>2709</v>
      </c>
      <c r="B984" s="6" t="s">
        <v>2710</v>
      </c>
      <c r="C984" s="6" t="s">
        <v>2711</v>
      </c>
      <c r="D984" s="6" t="s">
        <v>65</v>
      </c>
      <c r="E984" s="7" t="s">
        <v>23</v>
      </c>
      <c r="F984" s="6">
        <v>85206</v>
      </c>
      <c r="G984" s="6" t="s">
        <v>66</v>
      </c>
      <c r="H984" s="6" t="s">
        <v>1047</v>
      </c>
      <c r="I984" s="6" t="s">
        <v>57</v>
      </c>
      <c r="J984" s="6" t="b">
        <v>0</v>
      </c>
      <c r="K984" s="6" t="s">
        <v>27</v>
      </c>
      <c r="L984" s="6">
        <v>0</v>
      </c>
      <c r="M984" s="6">
        <v>165</v>
      </c>
      <c r="N984" s="8" t="str">
        <f t="shared" si="105"/>
        <v>0</v>
      </c>
      <c r="O984" s="8">
        <f t="shared" si="106"/>
        <v>1980</v>
      </c>
      <c r="P984" s="8">
        <f t="shared" si="107"/>
        <v>1980</v>
      </c>
      <c r="Q984" s="8">
        <f t="shared" si="108"/>
        <v>0</v>
      </c>
      <c r="R984" s="9">
        <f t="shared" si="109"/>
        <v>1980</v>
      </c>
      <c r="S984" s="10">
        <f t="shared" si="110"/>
        <v>165</v>
      </c>
      <c r="T984">
        <v>165</v>
      </c>
      <c r="U984">
        <f t="shared" si="111"/>
        <v>0</v>
      </c>
    </row>
    <row r="985" spans="1:21" ht="14.25" customHeight="1" x14ac:dyDescent="0.35">
      <c r="A985" s="6" t="s">
        <v>2712</v>
      </c>
      <c r="B985" s="6" t="s">
        <v>2713</v>
      </c>
      <c r="C985" s="6" t="s">
        <v>2714</v>
      </c>
      <c r="D985" s="6" t="s">
        <v>98</v>
      </c>
      <c r="E985" s="7" t="s">
        <v>23</v>
      </c>
      <c r="F985" s="6">
        <v>85122</v>
      </c>
      <c r="G985" s="6" t="s">
        <v>87</v>
      </c>
      <c r="H985" s="6" t="s">
        <v>109</v>
      </c>
      <c r="I985" s="6" t="s">
        <v>110</v>
      </c>
      <c r="J985" s="6" t="b">
        <v>0</v>
      </c>
      <c r="K985" s="6" t="s">
        <v>27</v>
      </c>
      <c r="L985" s="6">
        <v>0</v>
      </c>
      <c r="M985" s="6">
        <v>165</v>
      </c>
      <c r="N985" s="8" t="str">
        <f t="shared" si="105"/>
        <v>0</v>
      </c>
      <c r="O985" s="8">
        <f t="shared" si="106"/>
        <v>1980</v>
      </c>
      <c r="P985" s="8">
        <f t="shared" si="107"/>
        <v>1980</v>
      </c>
      <c r="Q985" s="8">
        <f t="shared" si="108"/>
        <v>0</v>
      </c>
      <c r="R985" s="9">
        <f t="shared" si="109"/>
        <v>1980</v>
      </c>
      <c r="S985" s="10">
        <f t="shared" si="110"/>
        <v>165</v>
      </c>
      <c r="T985">
        <v>165</v>
      </c>
      <c r="U985">
        <f t="shared" si="111"/>
        <v>0</v>
      </c>
    </row>
    <row r="986" spans="1:21" ht="14.25" customHeight="1" x14ac:dyDescent="0.35">
      <c r="A986" s="6" t="s">
        <v>2715</v>
      </c>
      <c r="B986" s="6" t="s">
        <v>2716</v>
      </c>
      <c r="C986" s="6" t="s">
        <v>2717</v>
      </c>
      <c r="D986" s="6" t="s">
        <v>44</v>
      </c>
      <c r="E986" s="7" t="s">
        <v>23</v>
      </c>
      <c r="F986" s="6">
        <v>85040</v>
      </c>
      <c r="G986" s="6" t="s">
        <v>213</v>
      </c>
      <c r="H986" s="6" t="s">
        <v>39</v>
      </c>
      <c r="I986" s="6" t="s">
        <v>26</v>
      </c>
      <c r="J986" s="6" t="b">
        <v>0</v>
      </c>
      <c r="K986" s="6" t="s">
        <v>27</v>
      </c>
      <c r="L986" s="6">
        <v>0</v>
      </c>
      <c r="M986" s="6">
        <v>165</v>
      </c>
      <c r="N986" s="8" t="str">
        <f t="shared" si="105"/>
        <v>0</v>
      </c>
      <c r="O986" s="8">
        <f t="shared" si="106"/>
        <v>1980</v>
      </c>
      <c r="P986" s="8">
        <f t="shared" si="107"/>
        <v>1980</v>
      </c>
      <c r="Q986" s="8">
        <f t="shared" si="108"/>
        <v>0</v>
      </c>
      <c r="R986" s="9">
        <f t="shared" si="109"/>
        <v>1980</v>
      </c>
      <c r="S986" s="10">
        <f t="shared" si="110"/>
        <v>165</v>
      </c>
      <c r="T986">
        <v>165</v>
      </c>
      <c r="U986">
        <f t="shared" si="111"/>
        <v>0</v>
      </c>
    </row>
    <row r="987" spans="1:21" ht="14.25" customHeight="1" x14ac:dyDescent="0.35">
      <c r="A987" s="6" t="s">
        <v>2718</v>
      </c>
      <c r="B987" s="6" t="s">
        <v>2719</v>
      </c>
      <c r="C987" s="6" t="s">
        <v>2720</v>
      </c>
      <c r="D987" s="6" t="s">
        <v>44</v>
      </c>
      <c r="E987" s="7" t="s">
        <v>23</v>
      </c>
      <c r="F987" s="6">
        <v>85050</v>
      </c>
      <c r="G987" s="6" t="s">
        <v>32</v>
      </c>
      <c r="H987" s="6" t="s">
        <v>169</v>
      </c>
      <c r="I987" s="6" t="s">
        <v>26</v>
      </c>
      <c r="J987" s="6" t="b">
        <v>0</v>
      </c>
      <c r="K987" s="6" t="s">
        <v>27</v>
      </c>
      <c r="L987" s="6">
        <v>0</v>
      </c>
      <c r="M987" s="6">
        <v>165</v>
      </c>
      <c r="N987" s="8" t="str">
        <f t="shared" si="105"/>
        <v>0</v>
      </c>
      <c r="O987" s="8">
        <f t="shared" si="106"/>
        <v>1980</v>
      </c>
      <c r="P987" s="8">
        <f t="shared" si="107"/>
        <v>1980</v>
      </c>
      <c r="Q987" s="8">
        <f t="shared" si="108"/>
        <v>0</v>
      </c>
      <c r="R987" s="9">
        <f t="shared" si="109"/>
        <v>1980</v>
      </c>
      <c r="S987" s="10">
        <f t="shared" si="110"/>
        <v>165</v>
      </c>
      <c r="T987">
        <v>165</v>
      </c>
      <c r="U987">
        <f t="shared" si="111"/>
        <v>0</v>
      </c>
    </row>
    <row r="988" spans="1:21" ht="14.25" customHeight="1" x14ac:dyDescent="0.35">
      <c r="A988" s="6" t="s">
        <v>2721</v>
      </c>
      <c r="B988" s="6" t="s">
        <v>2722</v>
      </c>
      <c r="C988" s="6" t="s">
        <v>2723</v>
      </c>
      <c r="D988" s="6" t="s">
        <v>44</v>
      </c>
      <c r="E988" s="7" t="s">
        <v>23</v>
      </c>
      <c r="F988" s="6">
        <v>85022</v>
      </c>
      <c r="G988" s="6" t="s">
        <v>173</v>
      </c>
      <c r="H988" s="6" t="s">
        <v>79</v>
      </c>
      <c r="I988" s="6" t="s">
        <v>26</v>
      </c>
      <c r="J988" s="6" t="b">
        <v>0</v>
      </c>
      <c r="K988" s="6" t="s">
        <v>27</v>
      </c>
      <c r="L988" s="6">
        <v>0</v>
      </c>
      <c r="M988" s="6">
        <v>165</v>
      </c>
      <c r="N988" s="8" t="str">
        <f t="shared" si="105"/>
        <v>0</v>
      </c>
      <c r="O988" s="8">
        <f t="shared" si="106"/>
        <v>1980</v>
      </c>
      <c r="P988" s="8">
        <f t="shared" si="107"/>
        <v>1980</v>
      </c>
      <c r="Q988" s="8">
        <f t="shared" si="108"/>
        <v>0</v>
      </c>
      <c r="R988" s="9">
        <f t="shared" si="109"/>
        <v>1980</v>
      </c>
      <c r="S988" s="10">
        <f t="shared" si="110"/>
        <v>165</v>
      </c>
      <c r="T988">
        <v>165</v>
      </c>
      <c r="U988">
        <f t="shared" si="111"/>
        <v>0</v>
      </c>
    </row>
    <row r="989" spans="1:21" ht="14.25" customHeight="1" x14ac:dyDescent="0.35">
      <c r="A989" s="6" t="s">
        <v>2724</v>
      </c>
      <c r="B989" s="6" t="s">
        <v>2725</v>
      </c>
      <c r="C989" s="6" t="s">
        <v>2726</v>
      </c>
      <c r="D989" s="6" t="s">
        <v>31</v>
      </c>
      <c r="E989" s="7" t="s">
        <v>23</v>
      </c>
      <c r="F989" s="6">
        <v>85259</v>
      </c>
      <c r="G989" s="6" t="s">
        <v>45</v>
      </c>
      <c r="H989" s="6" t="s">
        <v>291</v>
      </c>
      <c r="I989" s="6" t="s">
        <v>26</v>
      </c>
      <c r="J989" s="6" t="b">
        <v>0</v>
      </c>
      <c r="K989" s="6" t="s">
        <v>27</v>
      </c>
      <c r="L989" s="6">
        <v>0</v>
      </c>
      <c r="M989" s="6">
        <v>165</v>
      </c>
      <c r="N989" s="8" t="str">
        <f t="shared" si="105"/>
        <v>0</v>
      </c>
      <c r="O989" s="8">
        <f t="shared" si="106"/>
        <v>1980</v>
      </c>
      <c r="P989" s="8">
        <f t="shared" si="107"/>
        <v>1980</v>
      </c>
      <c r="Q989" s="8">
        <f t="shared" si="108"/>
        <v>0</v>
      </c>
      <c r="R989" s="9">
        <f t="shared" si="109"/>
        <v>1980</v>
      </c>
      <c r="S989" s="10">
        <f t="shared" si="110"/>
        <v>165</v>
      </c>
      <c r="T989">
        <v>165</v>
      </c>
      <c r="U989">
        <f t="shared" si="111"/>
        <v>0</v>
      </c>
    </row>
    <row r="990" spans="1:21" ht="14.25" customHeight="1" x14ac:dyDescent="0.35">
      <c r="A990" s="6" t="s">
        <v>2727</v>
      </c>
      <c r="B990" s="6" t="s">
        <v>2728</v>
      </c>
      <c r="C990" s="6" t="s">
        <v>2729</v>
      </c>
      <c r="D990" s="6" t="s">
        <v>44</v>
      </c>
      <c r="E990" s="7" t="s">
        <v>23</v>
      </c>
      <c r="F990" s="6">
        <v>85085</v>
      </c>
      <c r="G990" s="6" t="s">
        <v>32</v>
      </c>
      <c r="H990" s="6" t="s">
        <v>50</v>
      </c>
      <c r="I990" s="6" t="s">
        <v>40</v>
      </c>
      <c r="J990" s="6" t="b">
        <v>0</v>
      </c>
      <c r="K990" s="6" t="s">
        <v>27</v>
      </c>
      <c r="L990" s="6">
        <v>0</v>
      </c>
      <c r="M990" s="6">
        <v>165</v>
      </c>
      <c r="N990" s="8" t="str">
        <f t="shared" si="105"/>
        <v>0</v>
      </c>
      <c r="O990" s="8">
        <f t="shared" si="106"/>
        <v>1980</v>
      </c>
      <c r="P990" s="8">
        <f t="shared" si="107"/>
        <v>1980</v>
      </c>
      <c r="Q990" s="8">
        <f t="shared" si="108"/>
        <v>0</v>
      </c>
      <c r="R990" s="9">
        <f t="shared" si="109"/>
        <v>1980</v>
      </c>
      <c r="S990" s="10">
        <f t="shared" si="110"/>
        <v>165</v>
      </c>
      <c r="T990">
        <v>165</v>
      </c>
      <c r="U990">
        <f t="shared" si="111"/>
        <v>0</v>
      </c>
    </row>
    <row r="991" spans="1:21" ht="14.25" customHeight="1" x14ac:dyDescent="0.35">
      <c r="A991" s="6" t="s">
        <v>2730</v>
      </c>
      <c r="B991" s="6" t="s">
        <v>2731</v>
      </c>
      <c r="C991" s="6" t="s">
        <v>2732</v>
      </c>
      <c r="D991" s="6" t="s">
        <v>363</v>
      </c>
      <c r="E991" s="7" t="s">
        <v>23</v>
      </c>
      <c r="F991" s="6">
        <v>85284</v>
      </c>
      <c r="G991" s="6" t="s">
        <v>24</v>
      </c>
      <c r="H991" s="6" t="s">
        <v>25</v>
      </c>
      <c r="I991" s="6" t="s">
        <v>26</v>
      </c>
      <c r="J991" s="6" t="b">
        <v>0</v>
      </c>
      <c r="K991" s="6" t="s">
        <v>27</v>
      </c>
      <c r="L991" s="6">
        <v>0</v>
      </c>
      <c r="M991" s="6">
        <v>165</v>
      </c>
      <c r="N991" s="8" t="str">
        <f t="shared" si="105"/>
        <v>0</v>
      </c>
      <c r="O991" s="8">
        <f t="shared" si="106"/>
        <v>1980</v>
      </c>
      <c r="P991" s="8">
        <f t="shared" si="107"/>
        <v>1980</v>
      </c>
      <c r="Q991" s="8">
        <f t="shared" si="108"/>
        <v>0</v>
      </c>
      <c r="R991" s="9">
        <f t="shared" si="109"/>
        <v>1980</v>
      </c>
      <c r="S991" s="10">
        <f t="shared" si="110"/>
        <v>165</v>
      </c>
      <c r="T991">
        <v>165</v>
      </c>
      <c r="U991">
        <f t="shared" si="111"/>
        <v>0</v>
      </c>
    </row>
    <row r="992" spans="1:21" ht="14.25" customHeight="1" x14ac:dyDescent="0.35">
      <c r="A992" s="6" t="s">
        <v>2733</v>
      </c>
      <c r="B992" s="6" t="s">
        <v>2734</v>
      </c>
      <c r="C992" s="6" t="s">
        <v>2735</v>
      </c>
      <c r="D992" s="6" t="s">
        <v>44</v>
      </c>
      <c r="E992" s="7" t="s">
        <v>23</v>
      </c>
      <c r="F992" s="6">
        <v>85053</v>
      </c>
      <c r="G992" s="6" t="s">
        <v>72</v>
      </c>
      <c r="H992" s="6" t="s">
        <v>93</v>
      </c>
      <c r="J992" s="6" t="b">
        <v>0</v>
      </c>
      <c r="K992" s="6" t="s">
        <v>27</v>
      </c>
      <c r="L992" s="6">
        <v>0</v>
      </c>
      <c r="M992" s="6">
        <v>165</v>
      </c>
      <c r="N992" s="8" t="str">
        <f t="shared" si="105"/>
        <v>0</v>
      </c>
      <c r="O992" s="8">
        <f t="shared" si="106"/>
        <v>1980</v>
      </c>
      <c r="P992" s="8">
        <f t="shared" si="107"/>
        <v>1980</v>
      </c>
      <c r="Q992" s="8">
        <f t="shared" si="108"/>
        <v>0</v>
      </c>
      <c r="R992" s="9">
        <f t="shared" si="109"/>
        <v>1980</v>
      </c>
      <c r="S992" s="10">
        <f t="shared" si="110"/>
        <v>165</v>
      </c>
      <c r="T992">
        <v>165</v>
      </c>
      <c r="U992">
        <f t="shared" si="111"/>
        <v>0</v>
      </c>
    </row>
    <row r="993" spans="1:21" ht="14.25" customHeight="1" x14ac:dyDescent="0.35">
      <c r="A993" s="6" t="s">
        <v>2736</v>
      </c>
      <c r="B993" s="6" t="s">
        <v>2737</v>
      </c>
      <c r="C993" s="6" t="s">
        <v>2738</v>
      </c>
      <c r="D993" s="6" t="s">
        <v>44</v>
      </c>
      <c r="E993" s="7" t="s">
        <v>23</v>
      </c>
      <c r="F993" s="6">
        <v>85029</v>
      </c>
      <c r="G993" s="6" t="s">
        <v>72</v>
      </c>
      <c r="H993" s="6" t="s">
        <v>93</v>
      </c>
      <c r="I993" s="6" t="s">
        <v>26</v>
      </c>
      <c r="J993" s="6" t="b">
        <v>0</v>
      </c>
      <c r="K993" s="6" t="s">
        <v>27</v>
      </c>
      <c r="L993" s="6">
        <v>0</v>
      </c>
      <c r="M993" s="6">
        <v>165</v>
      </c>
      <c r="N993" s="8" t="str">
        <f t="shared" si="105"/>
        <v>0</v>
      </c>
      <c r="O993" s="8">
        <f t="shared" si="106"/>
        <v>1980</v>
      </c>
      <c r="P993" s="8">
        <f t="shared" si="107"/>
        <v>1980</v>
      </c>
      <c r="Q993" s="8">
        <f t="shared" si="108"/>
        <v>0</v>
      </c>
      <c r="R993" s="9">
        <f t="shared" si="109"/>
        <v>1980</v>
      </c>
      <c r="S993" s="10">
        <f t="shared" si="110"/>
        <v>165</v>
      </c>
      <c r="T993">
        <v>165</v>
      </c>
      <c r="U993">
        <f t="shared" si="111"/>
        <v>0</v>
      </c>
    </row>
    <row r="994" spans="1:21" ht="14.25" customHeight="1" x14ac:dyDescent="0.35">
      <c r="A994" s="6" t="s">
        <v>2739</v>
      </c>
      <c r="B994" s="6" t="s">
        <v>2740</v>
      </c>
      <c r="C994" s="6" t="s">
        <v>2741</v>
      </c>
      <c r="D994" s="6" t="s">
        <v>165</v>
      </c>
      <c r="E994" s="7" t="s">
        <v>23</v>
      </c>
      <c r="F994" s="6">
        <v>85296</v>
      </c>
      <c r="G994" s="6" t="s">
        <v>125</v>
      </c>
      <c r="H994" s="6" t="s">
        <v>225</v>
      </c>
      <c r="I994" s="6" t="s">
        <v>26</v>
      </c>
      <c r="J994" s="6" t="b">
        <v>0</v>
      </c>
      <c r="K994" s="6" t="s">
        <v>27</v>
      </c>
      <c r="L994" s="6">
        <v>0</v>
      </c>
      <c r="M994" s="6">
        <v>165</v>
      </c>
      <c r="N994" s="8" t="str">
        <f t="shared" si="105"/>
        <v>0</v>
      </c>
      <c r="O994" s="8">
        <f t="shared" si="106"/>
        <v>1980</v>
      </c>
      <c r="P994" s="8">
        <f t="shared" si="107"/>
        <v>1980</v>
      </c>
      <c r="Q994" s="8">
        <f t="shared" si="108"/>
        <v>0</v>
      </c>
      <c r="R994" s="9">
        <f t="shared" si="109"/>
        <v>1980</v>
      </c>
      <c r="S994" s="10">
        <f t="shared" si="110"/>
        <v>165</v>
      </c>
      <c r="T994">
        <v>165</v>
      </c>
      <c r="U994">
        <f t="shared" si="111"/>
        <v>0</v>
      </c>
    </row>
    <row r="995" spans="1:21" ht="14.25" customHeight="1" x14ac:dyDescent="0.35">
      <c r="A995" s="6" t="s">
        <v>2742</v>
      </c>
      <c r="B995" s="6" t="s">
        <v>2743</v>
      </c>
      <c r="C995" s="6" t="s">
        <v>2744</v>
      </c>
      <c r="D995" s="6" t="s">
        <v>22</v>
      </c>
      <c r="E995" s="7" t="s">
        <v>23</v>
      </c>
      <c r="F995" s="6">
        <v>85286</v>
      </c>
      <c r="G995" s="6" t="s">
        <v>125</v>
      </c>
      <c r="H995" s="6" t="s">
        <v>126</v>
      </c>
      <c r="I995" s="6" t="s">
        <v>26</v>
      </c>
      <c r="J995" s="6" t="b">
        <v>0</v>
      </c>
      <c r="K995" s="6" t="s">
        <v>27</v>
      </c>
      <c r="L995" s="6">
        <v>0</v>
      </c>
      <c r="M995" s="6">
        <v>165</v>
      </c>
      <c r="N995" s="8" t="str">
        <f t="shared" si="105"/>
        <v>0</v>
      </c>
      <c r="O995" s="8">
        <f t="shared" si="106"/>
        <v>1980</v>
      </c>
      <c r="P995" s="8">
        <f t="shared" si="107"/>
        <v>1980</v>
      </c>
      <c r="Q995" s="8">
        <f t="shared" si="108"/>
        <v>0</v>
      </c>
      <c r="R995" s="9">
        <f t="shared" si="109"/>
        <v>1980</v>
      </c>
      <c r="S995" s="10">
        <f t="shared" si="110"/>
        <v>165</v>
      </c>
      <c r="T995">
        <v>165</v>
      </c>
      <c r="U995">
        <f t="shared" si="111"/>
        <v>0</v>
      </c>
    </row>
    <row r="996" spans="1:21" ht="14.25" customHeight="1" x14ac:dyDescent="0.35">
      <c r="A996" s="6" t="s">
        <v>2745</v>
      </c>
      <c r="B996" s="6" t="s">
        <v>2746</v>
      </c>
      <c r="C996" s="6" t="s">
        <v>2747</v>
      </c>
      <c r="D996" s="6" t="s">
        <v>77</v>
      </c>
      <c r="E996" s="7" t="s">
        <v>23</v>
      </c>
      <c r="F996" s="6">
        <v>85302</v>
      </c>
      <c r="G996" s="6" t="s">
        <v>72</v>
      </c>
      <c r="H996" s="6" t="s">
        <v>93</v>
      </c>
      <c r="I996" s="6" t="s">
        <v>61</v>
      </c>
      <c r="J996" s="6" t="b">
        <v>0</v>
      </c>
      <c r="K996" s="6" t="s">
        <v>27</v>
      </c>
      <c r="L996" s="6">
        <v>0</v>
      </c>
      <c r="M996" s="6">
        <v>165</v>
      </c>
      <c r="N996" s="8" t="str">
        <f t="shared" si="105"/>
        <v>0</v>
      </c>
      <c r="O996" s="8">
        <f t="shared" si="106"/>
        <v>1980</v>
      </c>
      <c r="P996" s="8">
        <f t="shared" si="107"/>
        <v>1980</v>
      </c>
      <c r="Q996" s="8">
        <f t="shared" si="108"/>
        <v>0</v>
      </c>
      <c r="R996" s="9">
        <f t="shared" si="109"/>
        <v>1980</v>
      </c>
      <c r="S996" s="10">
        <f t="shared" si="110"/>
        <v>165</v>
      </c>
      <c r="T996">
        <v>165</v>
      </c>
      <c r="U996">
        <f t="shared" si="111"/>
        <v>0</v>
      </c>
    </row>
    <row r="997" spans="1:21" ht="14.25" customHeight="1" x14ac:dyDescent="0.35">
      <c r="A997" s="6" t="s">
        <v>2748</v>
      </c>
      <c r="B997" s="6" t="s">
        <v>2749</v>
      </c>
      <c r="C997" s="6" t="s">
        <v>2750</v>
      </c>
      <c r="D997" s="6" t="s">
        <v>44</v>
      </c>
      <c r="E997" s="7" t="s">
        <v>23</v>
      </c>
      <c r="F997" s="6">
        <v>85003</v>
      </c>
      <c r="G997" s="6" t="s">
        <v>213</v>
      </c>
      <c r="H997" s="6" t="s">
        <v>202</v>
      </c>
      <c r="J997" s="6" t="b">
        <v>0</v>
      </c>
      <c r="K997" s="6" t="s">
        <v>27</v>
      </c>
      <c r="L997" s="6">
        <v>0</v>
      </c>
      <c r="M997" s="6">
        <v>165</v>
      </c>
      <c r="N997" s="8" t="str">
        <f t="shared" si="105"/>
        <v>0</v>
      </c>
      <c r="O997" s="8">
        <f t="shared" si="106"/>
        <v>1980</v>
      </c>
      <c r="P997" s="8">
        <f t="shared" si="107"/>
        <v>1980</v>
      </c>
      <c r="Q997" s="8">
        <f t="shared" si="108"/>
        <v>0</v>
      </c>
      <c r="R997" s="9">
        <f t="shared" si="109"/>
        <v>1980</v>
      </c>
      <c r="S997" s="10">
        <f t="shared" si="110"/>
        <v>165</v>
      </c>
      <c r="T997">
        <v>165</v>
      </c>
      <c r="U997">
        <f t="shared" si="111"/>
        <v>0</v>
      </c>
    </row>
    <row r="998" spans="1:21" ht="14.25" customHeight="1" x14ac:dyDescent="0.35">
      <c r="A998" s="6" t="s">
        <v>2751</v>
      </c>
      <c r="B998" s="6" t="s">
        <v>2752</v>
      </c>
      <c r="C998" s="6" t="s">
        <v>2753</v>
      </c>
      <c r="D998" s="6" t="s">
        <v>206</v>
      </c>
      <c r="E998" s="7" t="s">
        <v>23</v>
      </c>
      <c r="F998" s="6">
        <v>85120</v>
      </c>
      <c r="G998" s="6" t="s">
        <v>66</v>
      </c>
      <c r="H998" s="6" t="s">
        <v>67</v>
      </c>
      <c r="I998" s="6" t="s">
        <v>61</v>
      </c>
      <c r="J998" s="6" t="b">
        <v>0</v>
      </c>
      <c r="K998" s="6" t="s">
        <v>27</v>
      </c>
      <c r="L998" s="6">
        <v>0</v>
      </c>
      <c r="M998" s="6">
        <v>165</v>
      </c>
      <c r="N998" s="8" t="str">
        <f t="shared" si="105"/>
        <v>0</v>
      </c>
      <c r="O998" s="8">
        <f t="shared" si="106"/>
        <v>1980</v>
      </c>
      <c r="P998" s="8">
        <f t="shared" si="107"/>
        <v>1980</v>
      </c>
      <c r="Q998" s="8">
        <f t="shared" si="108"/>
        <v>0</v>
      </c>
      <c r="R998" s="9">
        <f t="shared" si="109"/>
        <v>1980</v>
      </c>
      <c r="S998" s="10">
        <f t="shared" si="110"/>
        <v>165</v>
      </c>
      <c r="T998">
        <v>165</v>
      </c>
      <c r="U998">
        <f t="shared" si="111"/>
        <v>0</v>
      </c>
    </row>
    <row r="999" spans="1:21" ht="14.25" customHeight="1" x14ac:dyDescent="0.35">
      <c r="A999" s="6" t="s">
        <v>2754</v>
      </c>
      <c r="B999" s="6" t="s">
        <v>2755</v>
      </c>
      <c r="C999" s="6" t="s">
        <v>2756</v>
      </c>
      <c r="D999" s="6" t="s">
        <v>77</v>
      </c>
      <c r="E999" s="7" t="s">
        <v>23</v>
      </c>
      <c r="F999" s="6">
        <v>85302</v>
      </c>
      <c r="G999" s="6" t="s">
        <v>72</v>
      </c>
      <c r="H999" s="6" t="s">
        <v>93</v>
      </c>
      <c r="J999" s="6" t="b">
        <v>0</v>
      </c>
      <c r="K999" s="6" t="s">
        <v>27</v>
      </c>
      <c r="L999" s="6">
        <v>0</v>
      </c>
      <c r="M999" s="6">
        <v>165</v>
      </c>
      <c r="N999" s="8" t="str">
        <f t="shared" si="105"/>
        <v>0</v>
      </c>
      <c r="O999" s="8">
        <f t="shared" si="106"/>
        <v>1980</v>
      </c>
      <c r="P999" s="8">
        <f t="shared" si="107"/>
        <v>1980</v>
      </c>
      <c r="Q999" s="8">
        <f t="shared" si="108"/>
        <v>0</v>
      </c>
      <c r="R999" s="9">
        <f t="shared" si="109"/>
        <v>1980</v>
      </c>
      <c r="S999" s="10">
        <f t="shared" si="110"/>
        <v>165</v>
      </c>
      <c r="T999">
        <v>165</v>
      </c>
      <c r="U999">
        <f t="shared" si="111"/>
        <v>0</v>
      </c>
    </row>
    <row r="1000" spans="1:21" ht="14.25" customHeight="1" x14ac:dyDescent="0.35">
      <c r="A1000" s="6" t="s">
        <v>2757</v>
      </c>
      <c r="B1000" s="6" t="s">
        <v>2758</v>
      </c>
      <c r="C1000" s="6" t="s">
        <v>2759</v>
      </c>
      <c r="D1000" s="6" t="s">
        <v>44</v>
      </c>
      <c r="E1000" s="7" t="s">
        <v>23</v>
      </c>
      <c r="F1000" s="6">
        <v>85041</v>
      </c>
      <c r="G1000" s="6" t="s">
        <v>213</v>
      </c>
      <c r="H1000" s="6" t="s">
        <v>39</v>
      </c>
      <c r="I1000" s="6" t="s">
        <v>57</v>
      </c>
      <c r="J1000" s="6" t="b">
        <v>0</v>
      </c>
      <c r="K1000" s="6" t="s">
        <v>27</v>
      </c>
      <c r="L1000" s="6">
        <v>0</v>
      </c>
      <c r="M1000" s="6">
        <v>165</v>
      </c>
      <c r="N1000" s="8" t="str">
        <f t="shared" si="105"/>
        <v>0</v>
      </c>
      <c r="O1000" s="8">
        <f t="shared" si="106"/>
        <v>1980</v>
      </c>
      <c r="P1000" s="8">
        <f t="shared" si="107"/>
        <v>1980</v>
      </c>
      <c r="Q1000" s="8">
        <f t="shared" si="108"/>
        <v>0</v>
      </c>
      <c r="R1000" s="9">
        <f t="shared" si="109"/>
        <v>1980</v>
      </c>
      <c r="S1000" s="10">
        <f t="shared" si="110"/>
        <v>165</v>
      </c>
      <c r="T1000">
        <v>165</v>
      </c>
      <c r="U1000">
        <f t="shared" si="111"/>
        <v>0</v>
      </c>
    </row>
    <row r="1001" spans="1:21" ht="14.25" customHeight="1" x14ac:dyDescent="0.35">
      <c r="A1001" s="6" t="s">
        <v>2760</v>
      </c>
      <c r="B1001" s="6" t="s">
        <v>2761</v>
      </c>
      <c r="C1001" s="6" t="s">
        <v>2762</v>
      </c>
      <c r="D1001" s="6" t="s">
        <v>44</v>
      </c>
      <c r="E1001" s="7" t="s">
        <v>23</v>
      </c>
      <c r="F1001" s="6">
        <v>85041</v>
      </c>
      <c r="G1001" s="6" t="s">
        <v>213</v>
      </c>
      <c r="H1001" s="6" t="s">
        <v>39</v>
      </c>
      <c r="I1001" s="6" t="s">
        <v>26</v>
      </c>
      <c r="J1001" s="6" t="b">
        <v>0</v>
      </c>
      <c r="K1001" s="6" t="s">
        <v>27</v>
      </c>
      <c r="L1001" s="6">
        <v>0</v>
      </c>
      <c r="M1001" s="6">
        <v>165</v>
      </c>
      <c r="N1001" s="8" t="str">
        <f t="shared" si="105"/>
        <v>0</v>
      </c>
      <c r="O1001" s="8">
        <f t="shared" si="106"/>
        <v>1980</v>
      </c>
      <c r="P1001" s="8">
        <f t="shared" si="107"/>
        <v>1980</v>
      </c>
      <c r="Q1001" s="8">
        <f t="shared" si="108"/>
        <v>0</v>
      </c>
      <c r="R1001" s="9">
        <f t="shared" si="109"/>
        <v>1980</v>
      </c>
      <c r="S1001" s="10">
        <f t="shared" si="110"/>
        <v>165</v>
      </c>
      <c r="T1001">
        <v>165</v>
      </c>
      <c r="U1001">
        <f t="shared" si="111"/>
        <v>0</v>
      </c>
    </row>
    <row r="1002" spans="1:21" ht="14.25" customHeight="1" x14ac:dyDescent="0.35">
      <c r="A1002" s="6" t="s">
        <v>2763</v>
      </c>
      <c r="B1002" s="6" t="s">
        <v>2764</v>
      </c>
      <c r="C1002" s="6" t="s">
        <v>2765</v>
      </c>
      <c r="D1002" s="6" t="s">
        <v>65</v>
      </c>
      <c r="E1002" s="7" t="s">
        <v>23</v>
      </c>
      <c r="F1002" s="6">
        <v>85207</v>
      </c>
      <c r="G1002" s="6" t="s">
        <v>66</v>
      </c>
      <c r="H1002" s="6" t="s">
        <v>67</v>
      </c>
      <c r="I1002" s="6" t="s">
        <v>26</v>
      </c>
      <c r="J1002" s="6" t="b">
        <v>0</v>
      </c>
      <c r="K1002" s="6" t="s">
        <v>27</v>
      </c>
      <c r="L1002" s="6">
        <v>0</v>
      </c>
      <c r="M1002" s="6">
        <v>165</v>
      </c>
      <c r="N1002" s="8" t="str">
        <f t="shared" si="105"/>
        <v>0</v>
      </c>
      <c r="O1002" s="8">
        <f t="shared" si="106"/>
        <v>1980</v>
      </c>
      <c r="P1002" s="8">
        <f t="shared" si="107"/>
        <v>1980</v>
      </c>
      <c r="Q1002" s="8">
        <f t="shared" si="108"/>
        <v>0</v>
      </c>
      <c r="R1002" s="9">
        <f t="shared" si="109"/>
        <v>1980</v>
      </c>
      <c r="S1002" s="10">
        <f t="shared" si="110"/>
        <v>165</v>
      </c>
      <c r="T1002">
        <v>165</v>
      </c>
      <c r="U1002">
        <f t="shared" si="111"/>
        <v>0</v>
      </c>
    </row>
    <row r="1003" spans="1:21" ht="14.25" customHeight="1" x14ac:dyDescent="0.35">
      <c r="A1003" s="6" t="s">
        <v>2766</v>
      </c>
      <c r="B1003" s="6" t="s">
        <v>2767</v>
      </c>
      <c r="C1003" s="6" t="s">
        <v>2768</v>
      </c>
      <c r="D1003" s="6" t="s">
        <v>44</v>
      </c>
      <c r="E1003" s="7" t="s">
        <v>23</v>
      </c>
      <c r="F1003" s="6">
        <v>85053</v>
      </c>
      <c r="G1003" s="6" t="s">
        <v>72</v>
      </c>
      <c r="H1003" s="6" t="s">
        <v>93</v>
      </c>
      <c r="J1003" s="6" t="b">
        <v>0</v>
      </c>
      <c r="K1003" s="6" t="s">
        <v>27</v>
      </c>
      <c r="L1003" s="6">
        <v>0</v>
      </c>
      <c r="M1003" s="6">
        <v>165</v>
      </c>
      <c r="N1003" s="8" t="str">
        <f t="shared" si="105"/>
        <v>0</v>
      </c>
      <c r="O1003" s="8">
        <f t="shared" si="106"/>
        <v>1980</v>
      </c>
      <c r="P1003" s="8">
        <f t="shared" si="107"/>
        <v>1980</v>
      </c>
      <c r="Q1003" s="8">
        <f t="shared" si="108"/>
        <v>0</v>
      </c>
      <c r="R1003" s="9">
        <f t="shared" si="109"/>
        <v>1980</v>
      </c>
      <c r="S1003" s="10">
        <f t="shared" si="110"/>
        <v>165</v>
      </c>
      <c r="T1003">
        <v>165</v>
      </c>
      <c r="U1003">
        <f t="shared" si="111"/>
        <v>0</v>
      </c>
    </row>
    <row r="1004" spans="1:21" ht="14.25" customHeight="1" x14ac:dyDescent="0.35">
      <c r="A1004" s="6" t="s">
        <v>2769</v>
      </c>
      <c r="B1004" s="6" t="s">
        <v>2770</v>
      </c>
      <c r="C1004" s="6" t="s">
        <v>2771</v>
      </c>
      <c r="D1004" s="6" t="s">
        <v>77</v>
      </c>
      <c r="E1004" s="7" t="s">
        <v>23</v>
      </c>
      <c r="F1004" s="6">
        <v>85306</v>
      </c>
      <c r="G1004" s="6" t="s">
        <v>72</v>
      </c>
      <c r="H1004" s="6" t="s">
        <v>93</v>
      </c>
      <c r="I1004" s="6" t="s">
        <v>26</v>
      </c>
      <c r="J1004" s="6" t="b">
        <v>0</v>
      </c>
      <c r="K1004" s="6" t="s">
        <v>27</v>
      </c>
      <c r="L1004" s="6">
        <v>0</v>
      </c>
      <c r="M1004" s="6">
        <v>165</v>
      </c>
      <c r="N1004" s="8" t="str">
        <f t="shared" si="105"/>
        <v>0</v>
      </c>
      <c r="O1004" s="8">
        <f t="shared" si="106"/>
        <v>1980</v>
      </c>
      <c r="P1004" s="8">
        <f t="shared" si="107"/>
        <v>1980</v>
      </c>
      <c r="Q1004" s="8">
        <f t="shared" si="108"/>
        <v>0</v>
      </c>
      <c r="R1004" s="9">
        <f t="shared" si="109"/>
        <v>1980</v>
      </c>
      <c r="S1004" s="10">
        <f t="shared" si="110"/>
        <v>165</v>
      </c>
      <c r="T1004">
        <v>165</v>
      </c>
      <c r="U1004">
        <f t="shared" si="111"/>
        <v>0</v>
      </c>
    </row>
    <row r="1005" spans="1:21" ht="14.25" customHeight="1" x14ac:dyDescent="0.35">
      <c r="A1005" s="6" t="s">
        <v>2772</v>
      </c>
      <c r="B1005" s="6" t="s">
        <v>2773</v>
      </c>
      <c r="C1005" s="6" t="s">
        <v>2774</v>
      </c>
      <c r="D1005" s="6" t="s">
        <v>454</v>
      </c>
      <c r="E1005" s="7" t="s">
        <v>23</v>
      </c>
      <c r="F1005" s="6">
        <v>85338</v>
      </c>
      <c r="G1005" s="6" t="s">
        <v>38</v>
      </c>
      <c r="H1005" s="6" t="s">
        <v>378</v>
      </c>
      <c r="J1005" s="6" t="b">
        <v>0</v>
      </c>
      <c r="K1005" s="6" t="s">
        <v>27</v>
      </c>
      <c r="L1005" s="6">
        <v>0</v>
      </c>
      <c r="M1005" s="6">
        <v>165</v>
      </c>
      <c r="N1005" s="8" t="str">
        <f t="shared" si="105"/>
        <v>0</v>
      </c>
      <c r="O1005" s="8">
        <f t="shared" si="106"/>
        <v>1980</v>
      </c>
      <c r="P1005" s="8">
        <f t="shared" si="107"/>
        <v>1980</v>
      </c>
      <c r="Q1005" s="8">
        <f t="shared" si="108"/>
        <v>0</v>
      </c>
      <c r="R1005" s="9">
        <f t="shared" si="109"/>
        <v>1980</v>
      </c>
      <c r="S1005" s="10">
        <f t="shared" si="110"/>
        <v>165</v>
      </c>
      <c r="T1005">
        <v>165</v>
      </c>
      <c r="U1005">
        <f t="shared" si="111"/>
        <v>0</v>
      </c>
    </row>
    <row r="1006" spans="1:21" ht="14.25" customHeight="1" x14ac:dyDescent="0.35">
      <c r="A1006" s="6" t="s">
        <v>2775</v>
      </c>
      <c r="B1006" s="6" t="s">
        <v>2776</v>
      </c>
      <c r="C1006" s="6" t="s">
        <v>2777</v>
      </c>
      <c r="D1006" s="6" t="s">
        <v>54</v>
      </c>
      <c r="E1006" s="7" t="s">
        <v>23</v>
      </c>
      <c r="F1006" s="6">
        <v>85741</v>
      </c>
      <c r="G1006" s="6" t="s">
        <v>55</v>
      </c>
      <c r="H1006" s="6" t="s">
        <v>56</v>
      </c>
      <c r="I1006" s="6" t="s">
        <v>40</v>
      </c>
      <c r="J1006" s="6" t="b">
        <v>0</v>
      </c>
      <c r="K1006" s="6" t="s">
        <v>27</v>
      </c>
      <c r="L1006" s="6">
        <v>0</v>
      </c>
      <c r="M1006" s="6">
        <v>165</v>
      </c>
      <c r="N1006" s="8" t="str">
        <f t="shared" si="105"/>
        <v>0</v>
      </c>
      <c r="O1006" s="8">
        <f t="shared" si="106"/>
        <v>1980</v>
      </c>
      <c r="P1006" s="8">
        <f t="shared" si="107"/>
        <v>1980</v>
      </c>
      <c r="Q1006" s="8">
        <f t="shared" si="108"/>
        <v>0</v>
      </c>
      <c r="R1006" s="9">
        <f t="shared" si="109"/>
        <v>1980</v>
      </c>
      <c r="S1006" s="10">
        <f t="shared" si="110"/>
        <v>165</v>
      </c>
      <c r="T1006">
        <v>165</v>
      </c>
      <c r="U1006">
        <f t="shared" si="111"/>
        <v>0</v>
      </c>
    </row>
    <row r="1007" spans="1:21" ht="14.25" customHeight="1" x14ac:dyDescent="0.35">
      <c r="A1007" s="6" t="s">
        <v>2778</v>
      </c>
      <c r="B1007" s="6" t="s">
        <v>2779</v>
      </c>
      <c r="C1007" s="6" t="s">
        <v>2780</v>
      </c>
      <c r="D1007" s="6" t="s">
        <v>71</v>
      </c>
      <c r="E1007" s="7" t="s">
        <v>23</v>
      </c>
      <c r="F1007" s="6">
        <v>85383</v>
      </c>
      <c r="G1007" s="6" t="s">
        <v>78</v>
      </c>
      <c r="H1007" s="6" t="s">
        <v>73</v>
      </c>
      <c r="I1007" s="6" t="s">
        <v>26</v>
      </c>
      <c r="J1007" s="6" t="b">
        <v>0</v>
      </c>
      <c r="K1007" s="6" t="s">
        <v>27</v>
      </c>
      <c r="L1007" s="6">
        <v>0</v>
      </c>
      <c r="M1007" s="6">
        <v>165</v>
      </c>
      <c r="N1007" s="8" t="str">
        <f t="shared" si="105"/>
        <v>0</v>
      </c>
      <c r="O1007" s="8">
        <f t="shared" si="106"/>
        <v>1980</v>
      </c>
      <c r="P1007" s="8">
        <f t="shared" si="107"/>
        <v>1980</v>
      </c>
      <c r="Q1007" s="8">
        <f t="shared" si="108"/>
        <v>0</v>
      </c>
      <c r="R1007" s="9">
        <f t="shared" si="109"/>
        <v>1980</v>
      </c>
      <c r="S1007" s="10">
        <f t="shared" si="110"/>
        <v>165</v>
      </c>
      <c r="T1007">
        <v>165</v>
      </c>
      <c r="U1007">
        <f t="shared" si="111"/>
        <v>0</v>
      </c>
    </row>
    <row r="1008" spans="1:21" ht="14.25" customHeight="1" x14ac:dyDescent="0.35">
      <c r="A1008" s="6" t="s">
        <v>2781</v>
      </c>
      <c r="B1008" s="6" t="s">
        <v>2782</v>
      </c>
      <c r="C1008" s="6" t="s">
        <v>2783</v>
      </c>
      <c r="D1008" s="6" t="s">
        <v>65</v>
      </c>
      <c r="E1008" s="7" t="s">
        <v>23</v>
      </c>
      <c r="F1008" s="6">
        <v>85203</v>
      </c>
      <c r="G1008" s="6" t="s">
        <v>66</v>
      </c>
      <c r="H1008" s="6" t="s">
        <v>1047</v>
      </c>
      <c r="I1008" s="6" t="s">
        <v>26</v>
      </c>
      <c r="J1008" s="6" t="b">
        <v>0</v>
      </c>
      <c r="K1008" s="6" t="s">
        <v>27</v>
      </c>
      <c r="L1008" s="6">
        <v>0</v>
      </c>
      <c r="M1008" s="6">
        <v>165</v>
      </c>
      <c r="N1008" s="8" t="str">
        <f t="shared" si="105"/>
        <v>0</v>
      </c>
      <c r="O1008" s="8">
        <f t="shared" si="106"/>
        <v>1980</v>
      </c>
      <c r="P1008" s="8">
        <f t="shared" si="107"/>
        <v>1980</v>
      </c>
      <c r="Q1008" s="8">
        <f t="shared" si="108"/>
        <v>0</v>
      </c>
      <c r="R1008" s="9">
        <f t="shared" si="109"/>
        <v>1980</v>
      </c>
      <c r="S1008" s="10">
        <f t="shared" si="110"/>
        <v>165</v>
      </c>
      <c r="T1008">
        <v>165</v>
      </c>
      <c r="U1008">
        <f t="shared" si="111"/>
        <v>0</v>
      </c>
    </row>
    <row r="1009" spans="1:21" ht="14.25" customHeight="1" x14ac:dyDescent="0.35">
      <c r="A1009" s="6" t="s">
        <v>2784</v>
      </c>
      <c r="B1009" s="6" t="s">
        <v>2785</v>
      </c>
      <c r="C1009" s="6" t="s">
        <v>2786</v>
      </c>
      <c r="D1009" s="6" t="s">
        <v>54</v>
      </c>
      <c r="E1009" s="7" t="s">
        <v>23</v>
      </c>
      <c r="F1009" s="6">
        <v>85739</v>
      </c>
      <c r="G1009" s="6" t="s">
        <v>55</v>
      </c>
      <c r="H1009" s="6" t="s">
        <v>56</v>
      </c>
      <c r="I1009" s="6" t="s">
        <v>26</v>
      </c>
      <c r="J1009" s="6" t="b">
        <v>0</v>
      </c>
      <c r="K1009" s="6" t="s">
        <v>27</v>
      </c>
      <c r="L1009" s="6">
        <v>0</v>
      </c>
      <c r="M1009" s="6">
        <v>165</v>
      </c>
      <c r="N1009" s="8" t="str">
        <f t="shared" si="105"/>
        <v>0</v>
      </c>
      <c r="O1009" s="8">
        <f t="shared" si="106"/>
        <v>1980</v>
      </c>
      <c r="P1009" s="8">
        <f t="shared" si="107"/>
        <v>1980</v>
      </c>
      <c r="Q1009" s="8">
        <f t="shared" si="108"/>
        <v>0</v>
      </c>
      <c r="R1009" s="9">
        <f t="shared" si="109"/>
        <v>1980</v>
      </c>
      <c r="S1009" s="10">
        <f t="shared" si="110"/>
        <v>165</v>
      </c>
      <c r="T1009">
        <v>165</v>
      </c>
      <c r="U1009">
        <f t="shared" si="111"/>
        <v>0</v>
      </c>
    </row>
    <row r="1010" spans="1:21" ht="14.25" customHeight="1" x14ac:dyDescent="0.35">
      <c r="A1010" s="6" t="s">
        <v>2787</v>
      </c>
      <c r="B1010" s="6" t="s">
        <v>2788</v>
      </c>
      <c r="C1010" s="6" t="s">
        <v>2789</v>
      </c>
      <c r="D1010" s="6" t="s">
        <v>22</v>
      </c>
      <c r="E1010" s="7" t="s">
        <v>23</v>
      </c>
      <c r="F1010" s="6">
        <v>85224</v>
      </c>
      <c r="G1010" s="6" t="s">
        <v>24</v>
      </c>
      <c r="H1010" s="6" t="s">
        <v>25</v>
      </c>
      <c r="I1010" s="6" t="s">
        <v>26</v>
      </c>
      <c r="J1010" s="6" t="b">
        <v>0</v>
      </c>
      <c r="K1010" s="6" t="s">
        <v>27</v>
      </c>
      <c r="L1010" s="6">
        <v>0</v>
      </c>
      <c r="M1010" s="6">
        <v>165</v>
      </c>
      <c r="N1010" s="8" t="str">
        <f t="shared" si="105"/>
        <v>0</v>
      </c>
      <c r="O1010" s="8">
        <f t="shared" si="106"/>
        <v>1980</v>
      </c>
      <c r="P1010" s="8">
        <f t="shared" si="107"/>
        <v>1980</v>
      </c>
      <c r="Q1010" s="8">
        <f t="shared" si="108"/>
        <v>0</v>
      </c>
      <c r="R1010" s="9">
        <f t="shared" si="109"/>
        <v>1980</v>
      </c>
      <c r="S1010" s="10">
        <f t="shared" si="110"/>
        <v>165</v>
      </c>
      <c r="T1010">
        <v>165</v>
      </c>
      <c r="U1010">
        <f t="shared" si="111"/>
        <v>0</v>
      </c>
    </row>
    <row r="1011" spans="1:21" ht="14.25" customHeight="1" x14ac:dyDescent="0.35">
      <c r="A1011" s="6" t="s">
        <v>2790</v>
      </c>
      <c r="B1011" s="6" t="s">
        <v>2791</v>
      </c>
      <c r="C1011" s="6" t="s">
        <v>2792</v>
      </c>
      <c r="D1011" s="6" t="s">
        <v>54</v>
      </c>
      <c r="E1011" s="7" t="s">
        <v>23</v>
      </c>
      <c r="F1011" s="6">
        <v>85742</v>
      </c>
      <c r="G1011" s="6" t="s">
        <v>55</v>
      </c>
      <c r="H1011" s="6" t="s">
        <v>56</v>
      </c>
      <c r="I1011" s="6" t="s">
        <v>57</v>
      </c>
      <c r="J1011" s="6" t="b">
        <v>0</v>
      </c>
      <c r="K1011" s="6" t="s">
        <v>27</v>
      </c>
      <c r="L1011" s="6">
        <v>0</v>
      </c>
      <c r="M1011" s="6">
        <v>165</v>
      </c>
      <c r="N1011" s="8" t="str">
        <f t="shared" si="105"/>
        <v>0</v>
      </c>
      <c r="O1011" s="8">
        <f t="shared" si="106"/>
        <v>1980</v>
      </c>
      <c r="P1011" s="8">
        <f t="shared" si="107"/>
        <v>1980</v>
      </c>
      <c r="Q1011" s="8">
        <f t="shared" si="108"/>
        <v>0</v>
      </c>
      <c r="R1011" s="9">
        <f t="shared" si="109"/>
        <v>1980</v>
      </c>
      <c r="S1011" s="10">
        <f t="shared" si="110"/>
        <v>165</v>
      </c>
      <c r="T1011">
        <v>165</v>
      </c>
      <c r="U1011">
        <f t="shared" si="111"/>
        <v>0</v>
      </c>
    </row>
    <row r="1012" spans="1:21" ht="14.25" customHeight="1" x14ac:dyDescent="0.35">
      <c r="A1012" s="6" t="s">
        <v>2793</v>
      </c>
      <c r="B1012" s="6" t="s">
        <v>2794</v>
      </c>
      <c r="C1012" s="6" t="s">
        <v>2795</v>
      </c>
      <c r="D1012" s="6" t="s">
        <v>31</v>
      </c>
      <c r="E1012" s="7" t="s">
        <v>23</v>
      </c>
      <c r="F1012" s="6">
        <v>85254</v>
      </c>
      <c r="G1012" s="6" t="s">
        <v>45</v>
      </c>
      <c r="H1012" s="6" t="s">
        <v>33</v>
      </c>
      <c r="I1012" s="6" t="s">
        <v>26</v>
      </c>
      <c r="J1012" s="6" t="b">
        <v>0</v>
      </c>
      <c r="K1012" s="6" t="s">
        <v>27</v>
      </c>
      <c r="L1012" s="6">
        <v>0</v>
      </c>
      <c r="M1012" s="6">
        <v>165</v>
      </c>
      <c r="N1012" s="8" t="str">
        <f t="shared" si="105"/>
        <v>0</v>
      </c>
      <c r="O1012" s="8">
        <f t="shared" si="106"/>
        <v>1980</v>
      </c>
      <c r="P1012" s="8">
        <f t="shared" si="107"/>
        <v>1980</v>
      </c>
      <c r="Q1012" s="8">
        <f t="shared" si="108"/>
        <v>0</v>
      </c>
      <c r="R1012" s="9">
        <f t="shared" si="109"/>
        <v>1980</v>
      </c>
      <c r="S1012" s="10">
        <f t="shared" si="110"/>
        <v>165</v>
      </c>
      <c r="T1012">
        <v>165</v>
      </c>
      <c r="U1012">
        <f t="shared" si="111"/>
        <v>0</v>
      </c>
    </row>
    <row r="1013" spans="1:21" ht="14.25" customHeight="1" x14ac:dyDescent="0.35">
      <c r="A1013" s="6" t="s">
        <v>2796</v>
      </c>
      <c r="B1013" s="6" t="s">
        <v>2797</v>
      </c>
      <c r="C1013" s="6" t="s">
        <v>2798</v>
      </c>
      <c r="D1013" s="6" t="s">
        <v>44</v>
      </c>
      <c r="E1013" s="7" t="s">
        <v>23</v>
      </c>
      <c r="F1013" s="6">
        <v>85018</v>
      </c>
      <c r="G1013" s="6" t="s">
        <v>49</v>
      </c>
      <c r="H1013" s="6" t="s">
        <v>202</v>
      </c>
      <c r="I1013" s="6" t="s">
        <v>26</v>
      </c>
      <c r="J1013" s="6" t="b">
        <v>0</v>
      </c>
      <c r="K1013" s="6" t="s">
        <v>27</v>
      </c>
      <c r="L1013" s="6">
        <v>0</v>
      </c>
      <c r="M1013" s="6">
        <v>165</v>
      </c>
      <c r="N1013" s="8" t="str">
        <f t="shared" si="105"/>
        <v>0</v>
      </c>
      <c r="O1013" s="8">
        <f t="shared" si="106"/>
        <v>1980</v>
      </c>
      <c r="P1013" s="8">
        <f t="shared" si="107"/>
        <v>1980</v>
      </c>
      <c r="Q1013" s="8">
        <f t="shared" si="108"/>
        <v>0</v>
      </c>
      <c r="R1013" s="9">
        <f t="shared" si="109"/>
        <v>1980</v>
      </c>
      <c r="S1013" s="10">
        <f t="shared" si="110"/>
        <v>165</v>
      </c>
      <c r="T1013">
        <v>165</v>
      </c>
      <c r="U1013">
        <f t="shared" si="111"/>
        <v>0</v>
      </c>
    </row>
    <row r="1014" spans="1:21" ht="14.25" customHeight="1" x14ac:dyDescent="0.35">
      <c r="A1014" s="6" t="s">
        <v>2799</v>
      </c>
      <c r="B1014" s="6" t="s">
        <v>2800</v>
      </c>
      <c r="C1014" s="6" t="s">
        <v>2801</v>
      </c>
      <c r="D1014" s="6" t="s">
        <v>31</v>
      </c>
      <c r="E1014" s="7" t="s">
        <v>23</v>
      </c>
      <c r="F1014" s="6">
        <v>85254</v>
      </c>
      <c r="G1014" s="6" t="s">
        <v>45</v>
      </c>
      <c r="H1014" s="6" t="s">
        <v>291</v>
      </c>
      <c r="J1014" s="6" t="b">
        <v>0</v>
      </c>
      <c r="K1014" s="6" t="s">
        <v>27</v>
      </c>
      <c r="L1014" s="6">
        <v>0</v>
      </c>
      <c r="M1014" s="6">
        <v>165</v>
      </c>
      <c r="N1014" s="8" t="str">
        <f t="shared" si="105"/>
        <v>0</v>
      </c>
      <c r="O1014" s="8">
        <f t="shared" si="106"/>
        <v>1980</v>
      </c>
      <c r="P1014" s="8">
        <f t="shared" si="107"/>
        <v>1980</v>
      </c>
      <c r="Q1014" s="8">
        <f t="shared" si="108"/>
        <v>0</v>
      </c>
      <c r="R1014" s="9">
        <f t="shared" si="109"/>
        <v>1980</v>
      </c>
      <c r="S1014" s="10">
        <f t="shared" si="110"/>
        <v>165</v>
      </c>
      <c r="T1014">
        <v>165</v>
      </c>
      <c r="U1014">
        <f t="shared" si="111"/>
        <v>0</v>
      </c>
    </row>
    <row r="1015" spans="1:21" ht="14.25" customHeight="1" x14ac:dyDescent="0.35">
      <c r="A1015" s="6" t="s">
        <v>2802</v>
      </c>
      <c r="B1015" s="6" t="s">
        <v>2803</v>
      </c>
      <c r="C1015" s="6" t="s">
        <v>2804</v>
      </c>
      <c r="D1015" s="6" t="s">
        <v>71</v>
      </c>
      <c r="E1015" s="7" t="s">
        <v>23</v>
      </c>
      <c r="F1015" s="6">
        <v>85382</v>
      </c>
      <c r="G1015" s="6" t="s">
        <v>78</v>
      </c>
      <c r="H1015" s="6" t="s">
        <v>268</v>
      </c>
      <c r="I1015" s="6" t="s">
        <v>40</v>
      </c>
      <c r="J1015" s="6" t="b">
        <v>0</v>
      </c>
      <c r="K1015" s="6" t="s">
        <v>27</v>
      </c>
      <c r="L1015" s="6">
        <v>0</v>
      </c>
      <c r="M1015" s="6">
        <v>165</v>
      </c>
      <c r="N1015" s="8" t="str">
        <f t="shared" si="105"/>
        <v>0</v>
      </c>
      <c r="O1015" s="8">
        <f t="shared" si="106"/>
        <v>1980</v>
      </c>
      <c r="P1015" s="8">
        <f t="shared" si="107"/>
        <v>1980</v>
      </c>
      <c r="Q1015" s="8">
        <f t="shared" si="108"/>
        <v>0</v>
      </c>
      <c r="R1015" s="9">
        <f t="shared" si="109"/>
        <v>1980</v>
      </c>
      <c r="S1015" s="10">
        <f t="shared" si="110"/>
        <v>165</v>
      </c>
      <c r="T1015">
        <v>165</v>
      </c>
      <c r="U1015">
        <f t="shared" si="111"/>
        <v>0</v>
      </c>
    </row>
    <row r="1016" spans="1:21" ht="14.25" customHeight="1" x14ac:dyDescent="0.35">
      <c r="A1016" s="6" t="s">
        <v>2805</v>
      </c>
      <c r="B1016" s="6" t="s">
        <v>2806</v>
      </c>
      <c r="C1016" s="6" t="s">
        <v>2807</v>
      </c>
      <c r="D1016" s="6" t="s">
        <v>98</v>
      </c>
      <c r="E1016" s="7" t="s">
        <v>23</v>
      </c>
      <c r="F1016" s="6">
        <v>85122</v>
      </c>
      <c r="G1016" s="6" t="s">
        <v>87</v>
      </c>
      <c r="H1016" s="6" t="s">
        <v>99</v>
      </c>
      <c r="I1016" s="6" t="s">
        <v>40</v>
      </c>
      <c r="J1016" s="6" t="b">
        <v>0</v>
      </c>
      <c r="K1016" s="6" t="s">
        <v>27</v>
      </c>
      <c r="L1016" s="6">
        <v>0</v>
      </c>
      <c r="M1016" s="6">
        <v>165</v>
      </c>
      <c r="N1016" s="8" t="str">
        <f t="shared" si="105"/>
        <v>0</v>
      </c>
      <c r="O1016" s="8">
        <f t="shared" si="106"/>
        <v>1980</v>
      </c>
      <c r="P1016" s="8">
        <f t="shared" si="107"/>
        <v>1980</v>
      </c>
      <c r="Q1016" s="8">
        <f t="shared" si="108"/>
        <v>0</v>
      </c>
      <c r="R1016" s="9">
        <f t="shared" si="109"/>
        <v>1980</v>
      </c>
      <c r="S1016" s="10">
        <f t="shared" si="110"/>
        <v>165</v>
      </c>
      <c r="T1016">
        <v>165</v>
      </c>
      <c r="U1016">
        <f t="shared" si="111"/>
        <v>0</v>
      </c>
    </row>
    <row r="1017" spans="1:21" ht="14.25" customHeight="1" x14ac:dyDescent="0.35">
      <c r="A1017" s="6" t="s">
        <v>2808</v>
      </c>
      <c r="B1017" s="6" t="s">
        <v>2809</v>
      </c>
      <c r="C1017" s="6" t="s">
        <v>2810</v>
      </c>
      <c r="D1017" s="6" t="s">
        <v>165</v>
      </c>
      <c r="E1017" s="7" t="s">
        <v>23</v>
      </c>
      <c r="F1017" s="6">
        <v>85234</v>
      </c>
      <c r="G1017" s="6" t="s">
        <v>125</v>
      </c>
      <c r="H1017" s="6" t="s">
        <v>126</v>
      </c>
      <c r="J1017" s="6" t="b">
        <v>0</v>
      </c>
      <c r="K1017" s="6" t="s">
        <v>27</v>
      </c>
      <c r="L1017" s="6">
        <v>0</v>
      </c>
      <c r="M1017" s="6">
        <v>165</v>
      </c>
      <c r="N1017" s="8" t="str">
        <f t="shared" si="105"/>
        <v>0</v>
      </c>
      <c r="O1017" s="8">
        <f t="shared" si="106"/>
        <v>1980</v>
      </c>
      <c r="P1017" s="8">
        <f t="shared" si="107"/>
        <v>1980</v>
      </c>
      <c r="Q1017" s="8">
        <f t="shared" si="108"/>
        <v>0</v>
      </c>
      <c r="R1017" s="9">
        <f t="shared" si="109"/>
        <v>1980</v>
      </c>
      <c r="S1017" s="10">
        <f t="shared" si="110"/>
        <v>165</v>
      </c>
      <c r="T1017">
        <v>165</v>
      </c>
      <c r="U1017">
        <f t="shared" si="111"/>
        <v>0</v>
      </c>
    </row>
    <row r="1018" spans="1:21" ht="14.25" customHeight="1" x14ac:dyDescent="0.35">
      <c r="A1018" s="6" t="s">
        <v>2811</v>
      </c>
      <c r="B1018" s="6" t="s">
        <v>2812</v>
      </c>
      <c r="C1018" s="6" t="s">
        <v>2813</v>
      </c>
      <c r="D1018" s="6" t="s">
        <v>77</v>
      </c>
      <c r="E1018" s="7" t="s">
        <v>23</v>
      </c>
      <c r="F1018" s="6">
        <v>85302</v>
      </c>
      <c r="G1018" s="6" t="s">
        <v>72</v>
      </c>
      <c r="H1018" s="6" t="s">
        <v>93</v>
      </c>
      <c r="I1018" s="6" t="s">
        <v>26</v>
      </c>
      <c r="J1018" s="6" t="b">
        <v>0</v>
      </c>
      <c r="K1018" s="6" t="s">
        <v>27</v>
      </c>
      <c r="L1018" s="6">
        <v>0</v>
      </c>
      <c r="M1018" s="6">
        <v>165</v>
      </c>
      <c r="N1018" s="8" t="str">
        <f t="shared" si="105"/>
        <v>0</v>
      </c>
      <c r="O1018" s="8">
        <f t="shared" si="106"/>
        <v>1980</v>
      </c>
      <c r="P1018" s="8">
        <f t="shared" si="107"/>
        <v>1980</v>
      </c>
      <c r="Q1018" s="8">
        <f t="shared" si="108"/>
        <v>0</v>
      </c>
      <c r="R1018" s="9">
        <f t="shared" si="109"/>
        <v>1980</v>
      </c>
      <c r="S1018" s="10">
        <f t="shared" si="110"/>
        <v>165</v>
      </c>
      <c r="T1018">
        <v>165</v>
      </c>
      <c r="U1018">
        <f t="shared" si="111"/>
        <v>0</v>
      </c>
    </row>
    <row r="1019" spans="1:21" ht="14.25" customHeight="1" x14ac:dyDescent="0.35">
      <c r="A1019" s="6" t="s">
        <v>2814</v>
      </c>
      <c r="B1019" s="6" t="s">
        <v>2815</v>
      </c>
      <c r="C1019" s="6" t="s">
        <v>2816</v>
      </c>
      <c r="D1019" s="6" t="s">
        <v>241</v>
      </c>
      <c r="E1019" s="7" t="s">
        <v>23</v>
      </c>
      <c r="F1019" s="6">
        <v>85331</v>
      </c>
      <c r="G1019" s="6" t="s">
        <v>32</v>
      </c>
      <c r="H1019" s="6" t="s">
        <v>50</v>
      </c>
      <c r="I1019" s="6" t="s">
        <v>61</v>
      </c>
      <c r="J1019" s="6" t="b">
        <v>0</v>
      </c>
      <c r="K1019" s="6" t="s">
        <v>27</v>
      </c>
      <c r="L1019" s="6">
        <v>0</v>
      </c>
      <c r="M1019" s="6">
        <v>165</v>
      </c>
      <c r="N1019" s="8" t="str">
        <f t="shared" si="105"/>
        <v>0</v>
      </c>
      <c r="O1019" s="8">
        <f t="shared" si="106"/>
        <v>1980</v>
      </c>
      <c r="P1019" s="8">
        <f t="shared" si="107"/>
        <v>1980</v>
      </c>
      <c r="Q1019" s="8">
        <f t="shared" si="108"/>
        <v>0</v>
      </c>
      <c r="R1019" s="9">
        <f t="shared" si="109"/>
        <v>1980</v>
      </c>
      <c r="S1019" s="10">
        <f t="shared" si="110"/>
        <v>165</v>
      </c>
      <c r="T1019">
        <v>165</v>
      </c>
      <c r="U1019">
        <f t="shared" si="111"/>
        <v>0</v>
      </c>
    </row>
    <row r="1020" spans="1:21" ht="14.25" customHeight="1" x14ac:dyDescent="0.35">
      <c r="A1020" s="6" t="s">
        <v>2817</v>
      </c>
      <c r="B1020" s="6" t="s">
        <v>2818</v>
      </c>
      <c r="C1020" s="6" t="s">
        <v>2819</v>
      </c>
      <c r="D1020" s="6" t="s">
        <v>77</v>
      </c>
      <c r="E1020" s="7" t="s">
        <v>23</v>
      </c>
      <c r="F1020" s="6">
        <v>85303</v>
      </c>
      <c r="G1020" s="6" t="s">
        <v>72</v>
      </c>
      <c r="H1020" s="6" t="s">
        <v>73</v>
      </c>
      <c r="I1020" s="6" t="s">
        <v>26</v>
      </c>
      <c r="J1020" s="6" t="b">
        <v>0</v>
      </c>
      <c r="K1020" s="6" t="s">
        <v>27</v>
      </c>
      <c r="L1020" s="6">
        <v>0</v>
      </c>
      <c r="M1020" s="6">
        <v>165</v>
      </c>
      <c r="N1020" s="8" t="str">
        <f t="shared" si="105"/>
        <v>0</v>
      </c>
      <c r="O1020" s="8">
        <f t="shared" si="106"/>
        <v>1980</v>
      </c>
      <c r="P1020" s="8">
        <f t="shared" si="107"/>
        <v>1980</v>
      </c>
      <c r="Q1020" s="8">
        <f t="shared" si="108"/>
        <v>0</v>
      </c>
      <c r="R1020" s="9">
        <f t="shared" si="109"/>
        <v>1980</v>
      </c>
      <c r="S1020" s="10">
        <f t="shared" si="110"/>
        <v>165</v>
      </c>
      <c r="T1020">
        <v>165</v>
      </c>
      <c r="U1020">
        <f t="shared" si="111"/>
        <v>0</v>
      </c>
    </row>
    <row r="1021" spans="1:21" ht="14.25" customHeight="1" x14ac:dyDescent="0.35">
      <c r="A1021" s="6" t="s">
        <v>2820</v>
      </c>
      <c r="B1021" s="6" t="s">
        <v>2821</v>
      </c>
      <c r="C1021" s="6" t="s">
        <v>2822</v>
      </c>
      <c r="D1021" s="6" t="s">
        <v>165</v>
      </c>
      <c r="E1021" s="7" t="s">
        <v>23</v>
      </c>
      <c r="F1021" s="6">
        <v>85233</v>
      </c>
      <c r="G1021" s="6" t="s">
        <v>125</v>
      </c>
      <c r="H1021" s="6" t="s">
        <v>225</v>
      </c>
      <c r="I1021" s="6" t="s">
        <v>26</v>
      </c>
      <c r="J1021" s="6" t="b">
        <v>0</v>
      </c>
      <c r="K1021" s="6" t="s">
        <v>27</v>
      </c>
      <c r="L1021" s="6">
        <v>0</v>
      </c>
      <c r="M1021" s="6">
        <v>165</v>
      </c>
      <c r="N1021" s="8" t="str">
        <f t="shared" si="105"/>
        <v>0</v>
      </c>
      <c r="O1021" s="8">
        <f t="shared" si="106"/>
        <v>1980</v>
      </c>
      <c r="P1021" s="8">
        <f t="shared" si="107"/>
        <v>1980</v>
      </c>
      <c r="Q1021" s="8">
        <f t="shared" si="108"/>
        <v>0</v>
      </c>
      <c r="R1021" s="9">
        <f t="shared" si="109"/>
        <v>1980</v>
      </c>
      <c r="S1021" s="10">
        <f t="shared" si="110"/>
        <v>165</v>
      </c>
      <c r="T1021">
        <v>165</v>
      </c>
      <c r="U1021">
        <f t="shared" si="111"/>
        <v>0</v>
      </c>
    </row>
    <row r="1022" spans="1:21" ht="14.25" customHeight="1" x14ac:dyDescent="0.35">
      <c r="A1022" s="6" t="s">
        <v>2823</v>
      </c>
      <c r="B1022" s="6" t="s">
        <v>2824</v>
      </c>
      <c r="C1022" s="6" t="s">
        <v>2825</v>
      </c>
      <c r="D1022" s="6" t="s">
        <v>165</v>
      </c>
      <c r="E1022" s="7" t="s">
        <v>23</v>
      </c>
      <c r="F1022" s="6">
        <v>85234</v>
      </c>
      <c r="G1022" s="6" t="s">
        <v>125</v>
      </c>
      <c r="H1022" s="6" t="s">
        <v>225</v>
      </c>
      <c r="J1022" s="6" t="b">
        <v>0</v>
      </c>
      <c r="K1022" s="6" t="s">
        <v>27</v>
      </c>
      <c r="L1022" s="6">
        <v>0</v>
      </c>
      <c r="M1022" s="6">
        <v>165</v>
      </c>
      <c r="N1022" s="8" t="str">
        <f t="shared" si="105"/>
        <v>0</v>
      </c>
      <c r="O1022" s="8">
        <f t="shared" si="106"/>
        <v>1980</v>
      </c>
      <c r="P1022" s="8">
        <f t="shared" si="107"/>
        <v>1980</v>
      </c>
      <c r="Q1022" s="8">
        <f t="shared" si="108"/>
        <v>0</v>
      </c>
      <c r="R1022" s="9">
        <f t="shared" si="109"/>
        <v>1980</v>
      </c>
      <c r="S1022" s="10">
        <f t="shared" si="110"/>
        <v>165</v>
      </c>
      <c r="T1022">
        <v>165</v>
      </c>
      <c r="U1022">
        <f t="shared" si="111"/>
        <v>0</v>
      </c>
    </row>
    <row r="1023" spans="1:21" ht="14.25" customHeight="1" x14ac:dyDescent="0.35">
      <c r="A1023" s="6" t="s">
        <v>2826</v>
      </c>
      <c r="B1023" s="6" t="s">
        <v>2827</v>
      </c>
      <c r="C1023" s="6" t="s">
        <v>2828</v>
      </c>
      <c r="D1023" s="6" t="s">
        <v>44</v>
      </c>
      <c r="E1023" s="7" t="s">
        <v>23</v>
      </c>
      <c r="F1023" s="6">
        <v>85027</v>
      </c>
      <c r="G1023" s="6" t="s">
        <v>78</v>
      </c>
      <c r="H1023" s="6" t="s">
        <v>268</v>
      </c>
      <c r="J1023" s="6" t="b">
        <v>0</v>
      </c>
      <c r="K1023" s="6" t="s">
        <v>27</v>
      </c>
      <c r="L1023" s="6">
        <v>0</v>
      </c>
      <c r="M1023" s="6">
        <v>165</v>
      </c>
      <c r="N1023" s="8" t="str">
        <f t="shared" si="105"/>
        <v>0</v>
      </c>
      <c r="O1023" s="8">
        <f t="shared" si="106"/>
        <v>1980</v>
      </c>
      <c r="P1023" s="8">
        <f t="shared" si="107"/>
        <v>1980</v>
      </c>
      <c r="Q1023" s="8">
        <f t="shared" si="108"/>
        <v>0</v>
      </c>
      <c r="R1023" s="9">
        <f t="shared" si="109"/>
        <v>1980</v>
      </c>
      <c r="S1023" s="10">
        <f t="shared" si="110"/>
        <v>165</v>
      </c>
      <c r="T1023">
        <v>165</v>
      </c>
      <c r="U1023">
        <f t="shared" si="111"/>
        <v>0</v>
      </c>
    </row>
    <row r="1024" spans="1:21" ht="14.25" customHeight="1" x14ac:dyDescent="0.35">
      <c r="A1024" s="6" t="s">
        <v>2829</v>
      </c>
      <c r="B1024" s="6" t="s">
        <v>2830</v>
      </c>
      <c r="C1024" s="6" t="s">
        <v>2831</v>
      </c>
      <c r="D1024" s="6" t="s">
        <v>77</v>
      </c>
      <c r="E1024" s="7" t="s">
        <v>23</v>
      </c>
      <c r="F1024" s="6">
        <v>85310</v>
      </c>
      <c r="G1024" s="6" t="s">
        <v>78</v>
      </c>
      <c r="H1024" s="6" t="s">
        <v>268</v>
      </c>
      <c r="I1024" s="6" t="s">
        <v>61</v>
      </c>
      <c r="J1024" s="6" t="b">
        <v>0</v>
      </c>
      <c r="K1024" s="6" t="s">
        <v>27</v>
      </c>
      <c r="L1024" s="6">
        <v>0</v>
      </c>
      <c r="M1024" s="6">
        <v>165</v>
      </c>
      <c r="N1024" s="8" t="str">
        <f t="shared" si="105"/>
        <v>0</v>
      </c>
      <c r="O1024" s="8">
        <f t="shared" si="106"/>
        <v>1980</v>
      </c>
      <c r="P1024" s="8">
        <f t="shared" si="107"/>
        <v>1980</v>
      </c>
      <c r="Q1024" s="8">
        <f t="shared" si="108"/>
        <v>0</v>
      </c>
      <c r="R1024" s="9">
        <f t="shared" si="109"/>
        <v>1980</v>
      </c>
      <c r="S1024" s="10">
        <f t="shared" si="110"/>
        <v>165</v>
      </c>
      <c r="T1024">
        <v>165</v>
      </c>
      <c r="U1024">
        <f t="shared" si="111"/>
        <v>0</v>
      </c>
    </row>
    <row r="1025" spans="1:21" ht="14.25" customHeight="1" x14ac:dyDescent="0.35">
      <c r="A1025" s="6" t="s">
        <v>2832</v>
      </c>
      <c r="B1025" s="6" t="s">
        <v>2833</v>
      </c>
      <c r="C1025" s="6" t="s">
        <v>2834</v>
      </c>
      <c r="D1025" s="6" t="s">
        <v>165</v>
      </c>
      <c r="E1025" s="7" t="s">
        <v>23</v>
      </c>
      <c r="F1025" s="6">
        <v>85296</v>
      </c>
      <c r="G1025" s="6" t="s">
        <v>125</v>
      </c>
      <c r="H1025" s="6" t="s">
        <v>225</v>
      </c>
      <c r="I1025" s="6" t="s">
        <v>26</v>
      </c>
      <c r="J1025" s="6" t="b">
        <v>0</v>
      </c>
      <c r="K1025" s="6" t="s">
        <v>27</v>
      </c>
      <c r="L1025" s="6">
        <v>0</v>
      </c>
      <c r="M1025" s="6">
        <v>165</v>
      </c>
      <c r="N1025" s="8" t="str">
        <f t="shared" si="105"/>
        <v>0</v>
      </c>
      <c r="O1025" s="8">
        <f t="shared" si="106"/>
        <v>1980</v>
      </c>
      <c r="P1025" s="8">
        <f t="shared" si="107"/>
        <v>1980</v>
      </c>
      <c r="Q1025" s="8">
        <f t="shared" si="108"/>
        <v>0</v>
      </c>
      <c r="R1025" s="9">
        <f t="shared" si="109"/>
        <v>1980</v>
      </c>
      <c r="S1025" s="10">
        <f t="shared" si="110"/>
        <v>165</v>
      </c>
      <c r="T1025">
        <v>165</v>
      </c>
      <c r="U1025">
        <f t="shared" si="111"/>
        <v>0</v>
      </c>
    </row>
    <row r="1026" spans="1:21" ht="14.25" customHeight="1" x14ac:dyDescent="0.35">
      <c r="A1026" s="6" t="s">
        <v>2835</v>
      </c>
      <c r="B1026" s="6" t="s">
        <v>2836</v>
      </c>
      <c r="C1026" s="6" t="s">
        <v>2837</v>
      </c>
      <c r="D1026" s="6" t="s">
        <v>77</v>
      </c>
      <c r="E1026" s="7" t="s">
        <v>23</v>
      </c>
      <c r="F1026" s="6">
        <v>85305</v>
      </c>
      <c r="G1026" s="6" t="s">
        <v>38</v>
      </c>
      <c r="H1026" s="6" t="s">
        <v>73</v>
      </c>
      <c r="I1026" s="6" t="s">
        <v>26</v>
      </c>
      <c r="J1026" s="6" t="b">
        <v>0</v>
      </c>
      <c r="K1026" s="6" t="s">
        <v>27</v>
      </c>
      <c r="L1026" s="6">
        <v>0</v>
      </c>
      <c r="M1026" s="6">
        <v>165</v>
      </c>
      <c r="N1026" s="8" t="str">
        <f t="shared" ref="N1026:N1089" si="112">IF(J1026=TRUE, 6.39*12, "0")</f>
        <v>0</v>
      </c>
      <c r="O1026" s="8">
        <f t="shared" ref="O1026:O1089" si="113">L1026+(M1026*12)+N1026</f>
        <v>1980</v>
      </c>
      <c r="P1026" s="8">
        <f t="shared" ref="P1026:P1089" si="114">IF(OR(K1026="Check",K1026="ACH"), O1026*0.97, O1026)</f>
        <v>1980</v>
      </c>
      <c r="Q1026" s="8">
        <f t="shared" ref="Q1026:Q1089" si="115">P1026-O1026</f>
        <v>0</v>
      </c>
      <c r="R1026" s="9">
        <f t="shared" ref="R1026:R1089" si="116">O1026-Q1026</f>
        <v>1980</v>
      </c>
      <c r="S1026" s="10">
        <f t="shared" ref="S1026:S1089" si="117">R1026/12</f>
        <v>165</v>
      </c>
      <c r="T1026">
        <v>165</v>
      </c>
      <c r="U1026">
        <f t="shared" si="111"/>
        <v>0</v>
      </c>
    </row>
    <row r="1027" spans="1:21" ht="14.25" customHeight="1" x14ac:dyDescent="0.35">
      <c r="A1027" s="6" t="s">
        <v>2838</v>
      </c>
      <c r="B1027" s="6" t="s">
        <v>2839</v>
      </c>
      <c r="C1027" s="6" t="s">
        <v>2840</v>
      </c>
      <c r="D1027" s="6" t="s">
        <v>44</v>
      </c>
      <c r="E1027" s="7" t="s">
        <v>23</v>
      </c>
      <c r="F1027" s="6">
        <v>85053</v>
      </c>
      <c r="G1027" s="6" t="s">
        <v>72</v>
      </c>
      <c r="H1027" s="6" t="s">
        <v>93</v>
      </c>
      <c r="I1027" s="6" t="s">
        <v>26</v>
      </c>
      <c r="J1027" s="6" t="b">
        <v>0</v>
      </c>
      <c r="K1027" s="6" t="s">
        <v>27</v>
      </c>
      <c r="L1027" s="6">
        <v>0</v>
      </c>
      <c r="M1027" s="6">
        <v>165</v>
      </c>
      <c r="N1027" s="8" t="str">
        <f t="shared" si="112"/>
        <v>0</v>
      </c>
      <c r="O1027" s="8">
        <f t="shared" si="113"/>
        <v>1980</v>
      </c>
      <c r="P1027" s="8">
        <f t="shared" si="114"/>
        <v>1980</v>
      </c>
      <c r="Q1027" s="8">
        <f t="shared" si="115"/>
        <v>0</v>
      </c>
      <c r="R1027" s="9">
        <f t="shared" si="116"/>
        <v>1980</v>
      </c>
      <c r="S1027" s="10">
        <f t="shared" si="117"/>
        <v>165</v>
      </c>
      <c r="T1027">
        <v>165</v>
      </c>
      <c r="U1027">
        <f t="shared" si="111"/>
        <v>0</v>
      </c>
    </row>
    <row r="1028" spans="1:21" ht="14.25" customHeight="1" x14ac:dyDescent="0.35">
      <c r="A1028" s="6" t="s">
        <v>2841</v>
      </c>
      <c r="B1028" s="6" t="s">
        <v>2842</v>
      </c>
      <c r="C1028" s="6" t="s">
        <v>2843</v>
      </c>
      <c r="D1028" s="6" t="s">
        <v>77</v>
      </c>
      <c r="E1028" s="7" t="s">
        <v>23</v>
      </c>
      <c r="F1028" s="6">
        <v>85306</v>
      </c>
      <c r="G1028" s="6" t="s">
        <v>72</v>
      </c>
      <c r="H1028" s="6" t="s">
        <v>93</v>
      </c>
      <c r="I1028" s="6" t="s">
        <v>26</v>
      </c>
      <c r="J1028" s="6" t="b">
        <v>0</v>
      </c>
      <c r="K1028" s="6" t="s">
        <v>27</v>
      </c>
      <c r="L1028" s="6">
        <v>0</v>
      </c>
      <c r="M1028" s="6">
        <v>165</v>
      </c>
      <c r="N1028" s="8" t="str">
        <f t="shared" si="112"/>
        <v>0</v>
      </c>
      <c r="O1028" s="8">
        <f t="shared" si="113"/>
        <v>1980</v>
      </c>
      <c r="P1028" s="8">
        <f t="shared" si="114"/>
        <v>1980</v>
      </c>
      <c r="Q1028" s="8">
        <f t="shared" si="115"/>
        <v>0</v>
      </c>
      <c r="R1028" s="9">
        <f t="shared" si="116"/>
        <v>1980</v>
      </c>
      <c r="S1028" s="10">
        <f t="shared" si="117"/>
        <v>165</v>
      </c>
      <c r="T1028">
        <v>165</v>
      </c>
      <c r="U1028">
        <f t="shared" ref="U1028:U1091" si="118">SUM(T1028-M1028)</f>
        <v>0</v>
      </c>
    </row>
    <row r="1029" spans="1:21" ht="14.25" customHeight="1" x14ac:dyDescent="0.35">
      <c r="A1029" s="6" t="s">
        <v>2844</v>
      </c>
      <c r="B1029" s="6" t="s">
        <v>2845</v>
      </c>
      <c r="C1029" s="6" t="s">
        <v>2846</v>
      </c>
      <c r="D1029" s="6" t="s">
        <v>31</v>
      </c>
      <c r="E1029" s="7" t="s">
        <v>23</v>
      </c>
      <c r="F1029" s="6">
        <v>85254</v>
      </c>
      <c r="G1029" s="6" t="s">
        <v>45</v>
      </c>
      <c r="H1029" s="6" t="s">
        <v>291</v>
      </c>
      <c r="I1029" s="6" t="s">
        <v>26</v>
      </c>
      <c r="J1029" s="6" t="b">
        <v>0</v>
      </c>
      <c r="K1029" s="6" t="s">
        <v>27</v>
      </c>
      <c r="L1029" s="6">
        <v>0</v>
      </c>
      <c r="M1029" s="6">
        <v>165</v>
      </c>
      <c r="N1029" s="8" t="str">
        <f t="shared" si="112"/>
        <v>0</v>
      </c>
      <c r="O1029" s="8">
        <f t="shared" si="113"/>
        <v>1980</v>
      </c>
      <c r="P1029" s="8">
        <f t="shared" si="114"/>
        <v>1980</v>
      </c>
      <c r="Q1029" s="8">
        <f t="shared" si="115"/>
        <v>0</v>
      </c>
      <c r="R1029" s="9">
        <f t="shared" si="116"/>
        <v>1980</v>
      </c>
      <c r="S1029" s="10">
        <f t="shared" si="117"/>
        <v>165</v>
      </c>
      <c r="T1029">
        <v>165</v>
      </c>
      <c r="U1029">
        <f t="shared" si="118"/>
        <v>0</v>
      </c>
    </row>
    <row r="1030" spans="1:21" ht="14.25" customHeight="1" x14ac:dyDescent="0.35">
      <c r="A1030" s="6" t="s">
        <v>2847</v>
      </c>
      <c r="B1030" s="6" t="s">
        <v>2848</v>
      </c>
      <c r="C1030" s="6" t="s">
        <v>2849</v>
      </c>
      <c r="D1030" s="6" t="s">
        <v>31</v>
      </c>
      <c r="E1030" s="7" t="s">
        <v>23</v>
      </c>
      <c r="F1030" s="6">
        <v>85256</v>
      </c>
      <c r="G1030" s="6" t="s">
        <v>49</v>
      </c>
      <c r="I1030" s="6" t="s">
        <v>61</v>
      </c>
      <c r="J1030" s="6" t="b">
        <v>0</v>
      </c>
      <c r="K1030" s="6" t="s">
        <v>27</v>
      </c>
      <c r="L1030" s="6">
        <v>0</v>
      </c>
      <c r="M1030" s="6">
        <v>165</v>
      </c>
      <c r="N1030" s="8" t="str">
        <f t="shared" si="112"/>
        <v>0</v>
      </c>
      <c r="O1030" s="8">
        <f t="shared" si="113"/>
        <v>1980</v>
      </c>
      <c r="P1030" s="8">
        <f t="shared" si="114"/>
        <v>1980</v>
      </c>
      <c r="Q1030" s="8">
        <f t="shared" si="115"/>
        <v>0</v>
      </c>
      <c r="R1030" s="9">
        <f t="shared" si="116"/>
        <v>1980</v>
      </c>
      <c r="S1030" s="10">
        <f t="shared" si="117"/>
        <v>165</v>
      </c>
      <c r="T1030">
        <v>165</v>
      </c>
      <c r="U1030">
        <f t="shared" si="118"/>
        <v>0</v>
      </c>
    </row>
    <row r="1031" spans="1:21" ht="14.25" customHeight="1" x14ac:dyDescent="0.35">
      <c r="A1031" s="6" t="s">
        <v>2850</v>
      </c>
      <c r="B1031" s="6" t="s">
        <v>2851</v>
      </c>
      <c r="C1031" s="6" t="s">
        <v>2852</v>
      </c>
      <c r="D1031" s="6" t="s">
        <v>363</v>
      </c>
      <c r="E1031" s="7" t="s">
        <v>23</v>
      </c>
      <c r="F1031" s="6">
        <v>85282</v>
      </c>
      <c r="G1031" s="6" t="s">
        <v>364</v>
      </c>
      <c r="H1031" s="6" t="s">
        <v>365</v>
      </c>
      <c r="I1031" s="6" t="s">
        <v>40</v>
      </c>
      <c r="J1031" s="6" t="b">
        <v>0</v>
      </c>
      <c r="K1031" s="6" t="s">
        <v>27</v>
      </c>
      <c r="L1031" s="6">
        <v>0</v>
      </c>
      <c r="M1031" s="6">
        <v>165</v>
      </c>
      <c r="N1031" s="8" t="str">
        <f t="shared" si="112"/>
        <v>0</v>
      </c>
      <c r="O1031" s="8">
        <f t="shared" si="113"/>
        <v>1980</v>
      </c>
      <c r="P1031" s="8">
        <f t="shared" si="114"/>
        <v>1980</v>
      </c>
      <c r="Q1031" s="8">
        <f t="shared" si="115"/>
        <v>0</v>
      </c>
      <c r="R1031" s="9">
        <f t="shared" si="116"/>
        <v>1980</v>
      </c>
      <c r="S1031" s="10">
        <f t="shared" si="117"/>
        <v>165</v>
      </c>
      <c r="T1031">
        <v>165</v>
      </c>
      <c r="U1031">
        <f t="shared" si="118"/>
        <v>0</v>
      </c>
    </row>
    <row r="1032" spans="1:21" ht="14.25" customHeight="1" x14ac:dyDescent="0.35">
      <c r="A1032" s="6" t="s">
        <v>2853</v>
      </c>
      <c r="B1032" s="6" t="s">
        <v>2854</v>
      </c>
      <c r="C1032" s="6" t="s">
        <v>2855</v>
      </c>
      <c r="D1032" s="6" t="s">
        <v>363</v>
      </c>
      <c r="E1032" s="7" t="s">
        <v>23</v>
      </c>
      <c r="F1032" s="6">
        <v>85281</v>
      </c>
      <c r="G1032" s="6" t="s">
        <v>364</v>
      </c>
      <c r="H1032" s="6" t="s">
        <v>365</v>
      </c>
      <c r="J1032" s="6" t="b">
        <v>0</v>
      </c>
      <c r="K1032" s="6" t="s">
        <v>27</v>
      </c>
      <c r="L1032" s="6">
        <v>0</v>
      </c>
      <c r="M1032" s="6">
        <v>165</v>
      </c>
      <c r="N1032" s="8" t="str">
        <f t="shared" si="112"/>
        <v>0</v>
      </c>
      <c r="O1032" s="8">
        <f t="shared" si="113"/>
        <v>1980</v>
      </c>
      <c r="P1032" s="8">
        <f t="shared" si="114"/>
        <v>1980</v>
      </c>
      <c r="Q1032" s="8">
        <f t="shared" si="115"/>
        <v>0</v>
      </c>
      <c r="R1032" s="9">
        <f t="shared" si="116"/>
        <v>1980</v>
      </c>
      <c r="S1032" s="10">
        <f t="shared" si="117"/>
        <v>165</v>
      </c>
      <c r="T1032">
        <v>165</v>
      </c>
      <c r="U1032">
        <f t="shared" si="118"/>
        <v>0</v>
      </c>
    </row>
    <row r="1033" spans="1:21" ht="14.25" customHeight="1" x14ac:dyDescent="0.35">
      <c r="A1033" s="6" t="s">
        <v>2856</v>
      </c>
      <c r="B1033" s="6" t="s">
        <v>2857</v>
      </c>
      <c r="C1033" s="6" t="s">
        <v>2858</v>
      </c>
      <c r="D1033" s="6" t="s">
        <v>206</v>
      </c>
      <c r="E1033" s="7" t="s">
        <v>23</v>
      </c>
      <c r="F1033" s="6">
        <v>85120</v>
      </c>
      <c r="G1033" s="6" t="s">
        <v>66</v>
      </c>
      <c r="H1033" s="6" t="s">
        <v>67</v>
      </c>
      <c r="I1033" s="6" t="s">
        <v>26</v>
      </c>
      <c r="J1033" s="6" t="b">
        <v>0</v>
      </c>
      <c r="K1033" s="6" t="s">
        <v>27</v>
      </c>
      <c r="L1033" s="6">
        <v>0</v>
      </c>
      <c r="M1033" s="6">
        <v>165</v>
      </c>
      <c r="N1033" s="8" t="str">
        <f t="shared" si="112"/>
        <v>0</v>
      </c>
      <c r="O1033" s="8">
        <f t="shared" si="113"/>
        <v>1980</v>
      </c>
      <c r="P1033" s="8">
        <f t="shared" si="114"/>
        <v>1980</v>
      </c>
      <c r="Q1033" s="8">
        <f t="shared" si="115"/>
        <v>0</v>
      </c>
      <c r="R1033" s="9">
        <f t="shared" si="116"/>
        <v>1980</v>
      </c>
      <c r="S1033" s="10">
        <f t="shared" si="117"/>
        <v>165</v>
      </c>
      <c r="T1033">
        <v>165</v>
      </c>
      <c r="U1033">
        <f t="shared" si="118"/>
        <v>0</v>
      </c>
    </row>
    <row r="1034" spans="1:21" ht="14.25" customHeight="1" x14ac:dyDescent="0.35">
      <c r="A1034" s="6" t="s">
        <v>2859</v>
      </c>
      <c r="B1034" s="6" t="s">
        <v>2860</v>
      </c>
      <c r="C1034" s="6" t="s">
        <v>2861</v>
      </c>
      <c r="D1034" s="6" t="s">
        <v>44</v>
      </c>
      <c r="E1034" s="7" t="s">
        <v>23</v>
      </c>
      <c r="F1034" s="6">
        <v>85022</v>
      </c>
      <c r="G1034" s="6" t="s">
        <v>173</v>
      </c>
      <c r="H1034" s="6" t="s">
        <v>79</v>
      </c>
      <c r="I1034" s="6" t="s">
        <v>26</v>
      </c>
      <c r="J1034" s="6" t="b">
        <v>0</v>
      </c>
      <c r="K1034" s="6" t="s">
        <v>27</v>
      </c>
      <c r="L1034" s="6">
        <v>0</v>
      </c>
      <c r="M1034" s="6">
        <v>165</v>
      </c>
      <c r="N1034" s="8" t="str">
        <f t="shared" si="112"/>
        <v>0</v>
      </c>
      <c r="O1034" s="8">
        <f t="shared" si="113"/>
        <v>1980</v>
      </c>
      <c r="P1034" s="8">
        <f t="shared" si="114"/>
        <v>1980</v>
      </c>
      <c r="Q1034" s="8">
        <f t="shared" si="115"/>
        <v>0</v>
      </c>
      <c r="R1034" s="9">
        <f t="shared" si="116"/>
        <v>1980</v>
      </c>
      <c r="S1034" s="10">
        <f t="shared" si="117"/>
        <v>165</v>
      </c>
      <c r="T1034">
        <v>165</v>
      </c>
      <c r="U1034">
        <f t="shared" si="118"/>
        <v>0</v>
      </c>
    </row>
    <row r="1035" spans="1:21" ht="14.25" customHeight="1" x14ac:dyDescent="0.35">
      <c r="A1035" s="6" t="s">
        <v>2862</v>
      </c>
      <c r="B1035" s="6" t="s">
        <v>2863</v>
      </c>
      <c r="C1035" s="6" t="s">
        <v>2864</v>
      </c>
      <c r="D1035" s="6" t="s">
        <v>54</v>
      </c>
      <c r="E1035" s="7" t="s">
        <v>23</v>
      </c>
      <c r="F1035" s="6">
        <v>85757</v>
      </c>
      <c r="G1035" s="6" t="s">
        <v>55</v>
      </c>
      <c r="H1035" s="6" t="s">
        <v>56</v>
      </c>
      <c r="I1035" s="6" t="s">
        <v>40</v>
      </c>
      <c r="J1035" s="6" t="b">
        <v>0</v>
      </c>
      <c r="K1035" s="6" t="s">
        <v>27</v>
      </c>
      <c r="L1035" s="6">
        <v>0</v>
      </c>
      <c r="M1035" s="6">
        <v>165</v>
      </c>
      <c r="N1035" s="8" t="str">
        <f t="shared" si="112"/>
        <v>0</v>
      </c>
      <c r="O1035" s="8">
        <f t="shared" si="113"/>
        <v>1980</v>
      </c>
      <c r="P1035" s="8">
        <f t="shared" si="114"/>
        <v>1980</v>
      </c>
      <c r="Q1035" s="8">
        <f t="shared" si="115"/>
        <v>0</v>
      </c>
      <c r="R1035" s="9">
        <f t="shared" si="116"/>
        <v>1980</v>
      </c>
      <c r="S1035" s="10">
        <f t="shared" si="117"/>
        <v>165</v>
      </c>
      <c r="T1035">
        <v>165</v>
      </c>
      <c r="U1035">
        <f t="shared" si="118"/>
        <v>0</v>
      </c>
    </row>
    <row r="1036" spans="1:21" ht="14.25" customHeight="1" x14ac:dyDescent="0.35">
      <c r="A1036" s="6" t="s">
        <v>2865</v>
      </c>
      <c r="B1036" s="6" t="s">
        <v>2866</v>
      </c>
      <c r="C1036" s="6" t="s">
        <v>2867</v>
      </c>
      <c r="D1036" s="6" t="s">
        <v>22</v>
      </c>
      <c r="E1036" s="7" t="s">
        <v>23</v>
      </c>
      <c r="F1036" s="6">
        <v>85249</v>
      </c>
      <c r="G1036" s="6" t="s">
        <v>125</v>
      </c>
      <c r="H1036" s="6" t="s">
        <v>126</v>
      </c>
      <c r="J1036" s="6" t="b">
        <v>0</v>
      </c>
      <c r="K1036" s="6" t="s">
        <v>27</v>
      </c>
      <c r="L1036" s="6">
        <v>0</v>
      </c>
      <c r="M1036" s="6">
        <v>165</v>
      </c>
      <c r="N1036" s="8" t="str">
        <f t="shared" si="112"/>
        <v>0</v>
      </c>
      <c r="O1036" s="8">
        <f t="shared" si="113"/>
        <v>1980</v>
      </c>
      <c r="P1036" s="8">
        <f t="shared" si="114"/>
        <v>1980</v>
      </c>
      <c r="Q1036" s="8">
        <f t="shared" si="115"/>
        <v>0</v>
      </c>
      <c r="R1036" s="9">
        <f t="shared" si="116"/>
        <v>1980</v>
      </c>
      <c r="S1036" s="10">
        <f t="shared" si="117"/>
        <v>165</v>
      </c>
      <c r="T1036">
        <v>165</v>
      </c>
      <c r="U1036">
        <f t="shared" si="118"/>
        <v>0</v>
      </c>
    </row>
    <row r="1037" spans="1:21" ht="14.25" customHeight="1" x14ac:dyDescent="0.35">
      <c r="A1037" s="6" t="s">
        <v>2868</v>
      </c>
      <c r="B1037" s="6" t="s">
        <v>2869</v>
      </c>
      <c r="C1037" s="6" t="s">
        <v>2870</v>
      </c>
      <c r="D1037" s="6" t="s">
        <v>98</v>
      </c>
      <c r="E1037" s="7" t="s">
        <v>23</v>
      </c>
      <c r="F1037" s="6">
        <v>85122</v>
      </c>
      <c r="G1037" s="6" t="s">
        <v>87</v>
      </c>
      <c r="H1037" s="6" t="s">
        <v>88</v>
      </c>
      <c r="I1037" s="6" t="s">
        <v>61</v>
      </c>
      <c r="J1037" s="6" t="b">
        <v>0</v>
      </c>
      <c r="K1037" s="6" t="s">
        <v>27</v>
      </c>
      <c r="L1037" s="6">
        <v>0</v>
      </c>
      <c r="M1037" s="6">
        <v>165</v>
      </c>
      <c r="N1037" s="8" t="str">
        <f t="shared" si="112"/>
        <v>0</v>
      </c>
      <c r="O1037" s="8">
        <f t="shared" si="113"/>
        <v>1980</v>
      </c>
      <c r="P1037" s="8">
        <f t="shared" si="114"/>
        <v>1980</v>
      </c>
      <c r="Q1037" s="8">
        <f t="shared" si="115"/>
        <v>0</v>
      </c>
      <c r="R1037" s="9">
        <f t="shared" si="116"/>
        <v>1980</v>
      </c>
      <c r="S1037" s="10">
        <f t="shared" si="117"/>
        <v>165</v>
      </c>
      <c r="T1037">
        <v>165</v>
      </c>
      <c r="U1037">
        <f t="shared" si="118"/>
        <v>0</v>
      </c>
    </row>
    <row r="1038" spans="1:21" ht="14.25" customHeight="1" x14ac:dyDescent="0.35">
      <c r="A1038" s="6" t="s">
        <v>2871</v>
      </c>
      <c r="B1038" s="6" t="s">
        <v>2872</v>
      </c>
      <c r="C1038" s="6" t="s">
        <v>2873</v>
      </c>
      <c r="D1038" s="6" t="s">
        <v>65</v>
      </c>
      <c r="E1038" s="7" t="s">
        <v>23</v>
      </c>
      <c r="F1038" s="6">
        <v>85207</v>
      </c>
      <c r="G1038" s="6" t="s">
        <v>66</v>
      </c>
      <c r="H1038" s="6" t="s">
        <v>67</v>
      </c>
      <c r="I1038" s="6" t="s">
        <v>26</v>
      </c>
      <c r="J1038" s="6" t="b">
        <v>0</v>
      </c>
      <c r="K1038" s="6" t="s">
        <v>27</v>
      </c>
      <c r="L1038" s="6">
        <v>0</v>
      </c>
      <c r="M1038" s="6">
        <v>165</v>
      </c>
      <c r="N1038" s="8" t="str">
        <f t="shared" si="112"/>
        <v>0</v>
      </c>
      <c r="O1038" s="8">
        <f t="shared" si="113"/>
        <v>1980</v>
      </c>
      <c r="P1038" s="8">
        <f t="shared" si="114"/>
        <v>1980</v>
      </c>
      <c r="Q1038" s="8">
        <f t="shared" si="115"/>
        <v>0</v>
      </c>
      <c r="R1038" s="9">
        <f t="shared" si="116"/>
        <v>1980</v>
      </c>
      <c r="S1038" s="10">
        <f t="shared" si="117"/>
        <v>165</v>
      </c>
      <c r="T1038">
        <v>165</v>
      </c>
      <c r="U1038">
        <f t="shared" si="118"/>
        <v>0</v>
      </c>
    </row>
    <row r="1039" spans="1:21" ht="14.25" customHeight="1" x14ac:dyDescent="0.35">
      <c r="A1039" s="6" t="s">
        <v>2874</v>
      </c>
      <c r="B1039" s="6" t="s">
        <v>2875</v>
      </c>
      <c r="C1039" s="6" t="s">
        <v>2876</v>
      </c>
      <c r="D1039" s="6" t="s">
        <v>31</v>
      </c>
      <c r="E1039" s="7" t="s">
        <v>23</v>
      </c>
      <c r="F1039" s="6">
        <v>85259</v>
      </c>
      <c r="G1039" s="6" t="s">
        <v>45</v>
      </c>
      <c r="I1039" s="6" t="s">
        <v>61</v>
      </c>
      <c r="J1039" s="6" t="b">
        <v>0</v>
      </c>
      <c r="K1039" s="6" t="s">
        <v>27</v>
      </c>
      <c r="L1039" s="6">
        <v>0</v>
      </c>
      <c r="M1039" s="6">
        <v>165</v>
      </c>
      <c r="N1039" s="8" t="str">
        <f t="shared" si="112"/>
        <v>0</v>
      </c>
      <c r="O1039" s="8">
        <f t="shared" si="113"/>
        <v>1980</v>
      </c>
      <c r="P1039" s="8">
        <f t="shared" si="114"/>
        <v>1980</v>
      </c>
      <c r="Q1039" s="8">
        <f t="shared" si="115"/>
        <v>0</v>
      </c>
      <c r="R1039" s="9">
        <f t="shared" si="116"/>
        <v>1980</v>
      </c>
      <c r="S1039" s="10">
        <f t="shared" si="117"/>
        <v>165</v>
      </c>
      <c r="T1039">
        <v>165</v>
      </c>
      <c r="U1039">
        <f t="shared" si="118"/>
        <v>0</v>
      </c>
    </row>
    <row r="1040" spans="1:21" ht="14.25" customHeight="1" x14ac:dyDescent="0.35">
      <c r="A1040" s="6" t="s">
        <v>2877</v>
      </c>
      <c r="B1040" s="6" t="s">
        <v>2878</v>
      </c>
      <c r="C1040" s="6" t="s">
        <v>2879</v>
      </c>
      <c r="D1040" s="6" t="s">
        <v>65</v>
      </c>
      <c r="E1040" s="7" t="s">
        <v>23</v>
      </c>
      <c r="F1040" s="6">
        <v>85207</v>
      </c>
      <c r="G1040" s="6" t="s">
        <v>66</v>
      </c>
      <c r="H1040" s="6" t="s">
        <v>67</v>
      </c>
      <c r="I1040" s="6" t="s">
        <v>26</v>
      </c>
      <c r="J1040" s="6" t="b">
        <v>0</v>
      </c>
      <c r="K1040" s="6" t="s">
        <v>27</v>
      </c>
      <c r="L1040" s="6">
        <v>0</v>
      </c>
      <c r="M1040" s="6">
        <v>165</v>
      </c>
      <c r="N1040" s="8" t="str">
        <f t="shared" si="112"/>
        <v>0</v>
      </c>
      <c r="O1040" s="8">
        <f t="shared" si="113"/>
        <v>1980</v>
      </c>
      <c r="P1040" s="8">
        <f t="shared" si="114"/>
        <v>1980</v>
      </c>
      <c r="Q1040" s="8">
        <f t="shared" si="115"/>
        <v>0</v>
      </c>
      <c r="R1040" s="9">
        <f t="shared" si="116"/>
        <v>1980</v>
      </c>
      <c r="S1040" s="10">
        <f t="shared" si="117"/>
        <v>165</v>
      </c>
      <c r="T1040">
        <v>165</v>
      </c>
      <c r="U1040">
        <f t="shared" si="118"/>
        <v>0</v>
      </c>
    </row>
    <row r="1041" spans="1:21" ht="14.25" customHeight="1" x14ac:dyDescent="0.35">
      <c r="A1041" s="6" t="s">
        <v>2880</v>
      </c>
      <c r="B1041" s="6" t="s">
        <v>2881</v>
      </c>
      <c r="C1041" s="6" t="s">
        <v>2882</v>
      </c>
      <c r="D1041" s="6" t="s">
        <v>44</v>
      </c>
      <c r="E1041" s="7" t="s">
        <v>23</v>
      </c>
      <c r="F1041" s="6">
        <v>85022</v>
      </c>
      <c r="G1041" s="6" t="s">
        <v>173</v>
      </c>
      <c r="H1041" s="6" t="s">
        <v>79</v>
      </c>
      <c r="J1041" s="6" t="b">
        <v>0</v>
      </c>
      <c r="K1041" s="6" t="s">
        <v>27</v>
      </c>
      <c r="L1041" s="6">
        <v>0</v>
      </c>
      <c r="M1041" s="6">
        <v>165</v>
      </c>
      <c r="N1041" s="8" t="str">
        <f t="shared" si="112"/>
        <v>0</v>
      </c>
      <c r="O1041" s="8">
        <f t="shared" si="113"/>
        <v>1980</v>
      </c>
      <c r="P1041" s="8">
        <f t="shared" si="114"/>
        <v>1980</v>
      </c>
      <c r="Q1041" s="8">
        <f t="shared" si="115"/>
        <v>0</v>
      </c>
      <c r="R1041" s="9">
        <f t="shared" si="116"/>
        <v>1980</v>
      </c>
      <c r="S1041" s="10">
        <f t="shared" si="117"/>
        <v>165</v>
      </c>
      <c r="T1041">
        <v>165</v>
      </c>
      <c r="U1041">
        <f t="shared" si="118"/>
        <v>0</v>
      </c>
    </row>
    <row r="1042" spans="1:21" ht="14.25" customHeight="1" x14ac:dyDescent="0.35">
      <c r="A1042" s="6" t="s">
        <v>2883</v>
      </c>
      <c r="B1042" s="6" t="s">
        <v>2884</v>
      </c>
      <c r="C1042" s="6" t="s">
        <v>2885</v>
      </c>
      <c r="D1042" s="6" t="s">
        <v>44</v>
      </c>
      <c r="E1042" s="7" t="s">
        <v>23</v>
      </c>
      <c r="F1042" s="6">
        <v>85045</v>
      </c>
      <c r="G1042" s="6" t="s">
        <v>24</v>
      </c>
      <c r="H1042" s="6" t="s">
        <v>161</v>
      </c>
      <c r="I1042" s="6" t="s">
        <v>26</v>
      </c>
      <c r="J1042" s="6" t="b">
        <v>0</v>
      </c>
      <c r="K1042" s="6" t="s">
        <v>27</v>
      </c>
      <c r="L1042" s="6">
        <v>0</v>
      </c>
      <c r="M1042" s="6">
        <v>165</v>
      </c>
      <c r="N1042" s="8" t="str">
        <f t="shared" si="112"/>
        <v>0</v>
      </c>
      <c r="O1042" s="8">
        <f t="shared" si="113"/>
        <v>1980</v>
      </c>
      <c r="P1042" s="8">
        <f t="shared" si="114"/>
        <v>1980</v>
      </c>
      <c r="Q1042" s="8">
        <f t="shared" si="115"/>
        <v>0</v>
      </c>
      <c r="R1042" s="9">
        <f t="shared" si="116"/>
        <v>1980</v>
      </c>
      <c r="S1042" s="10">
        <f t="shared" si="117"/>
        <v>165</v>
      </c>
      <c r="T1042">
        <v>165</v>
      </c>
      <c r="U1042">
        <f t="shared" si="118"/>
        <v>0</v>
      </c>
    </row>
    <row r="1043" spans="1:21" ht="14.25" customHeight="1" x14ac:dyDescent="0.35">
      <c r="A1043" s="6" t="s">
        <v>2886</v>
      </c>
      <c r="B1043" s="6" t="s">
        <v>2887</v>
      </c>
      <c r="C1043" s="6" t="s">
        <v>2888</v>
      </c>
      <c r="D1043" s="6" t="s">
        <v>98</v>
      </c>
      <c r="E1043" s="7" t="s">
        <v>23</v>
      </c>
      <c r="F1043" s="6">
        <v>85194</v>
      </c>
      <c r="G1043" s="6" t="s">
        <v>87</v>
      </c>
      <c r="H1043" s="6" t="s">
        <v>99</v>
      </c>
      <c r="I1043" s="6" t="s">
        <v>40</v>
      </c>
      <c r="J1043" s="6" t="b">
        <v>0</v>
      </c>
      <c r="K1043" s="6" t="s">
        <v>27</v>
      </c>
      <c r="L1043" s="6">
        <v>0</v>
      </c>
      <c r="M1043" s="6">
        <v>165</v>
      </c>
      <c r="N1043" s="8" t="str">
        <f t="shared" si="112"/>
        <v>0</v>
      </c>
      <c r="O1043" s="8">
        <f t="shared" si="113"/>
        <v>1980</v>
      </c>
      <c r="P1043" s="8">
        <f t="shared" si="114"/>
        <v>1980</v>
      </c>
      <c r="Q1043" s="8">
        <f t="shared" si="115"/>
        <v>0</v>
      </c>
      <c r="R1043" s="9">
        <f t="shared" si="116"/>
        <v>1980</v>
      </c>
      <c r="S1043" s="10">
        <f t="shared" si="117"/>
        <v>165</v>
      </c>
      <c r="T1043">
        <v>165</v>
      </c>
      <c r="U1043">
        <f t="shared" si="118"/>
        <v>0</v>
      </c>
    </row>
    <row r="1044" spans="1:21" ht="14.25" customHeight="1" x14ac:dyDescent="0.35">
      <c r="A1044" s="6" t="s">
        <v>2889</v>
      </c>
      <c r="B1044" s="6" t="s">
        <v>2890</v>
      </c>
      <c r="C1044" s="6" t="s">
        <v>2891</v>
      </c>
      <c r="D1044" s="6" t="s">
        <v>98</v>
      </c>
      <c r="E1044" s="7" t="s">
        <v>23</v>
      </c>
      <c r="F1044" s="6">
        <v>85122</v>
      </c>
      <c r="G1044" s="6" t="s">
        <v>87</v>
      </c>
      <c r="H1044" s="6" t="s">
        <v>88</v>
      </c>
      <c r="I1044" s="6" t="s">
        <v>61</v>
      </c>
      <c r="J1044" s="6" t="b">
        <v>0</v>
      </c>
      <c r="K1044" s="6" t="s">
        <v>27</v>
      </c>
      <c r="L1044" s="6">
        <v>0</v>
      </c>
      <c r="M1044" s="6">
        <v>165</v>
      </c>
      <c r="N1044" s="8" t="str">
        <f t="shared" si="112"/>
        <v>0</v>
      </c>
      <c r="O1044" s="8">
        <f t="shared" si="113"/>
        <v>1980</v>
      </c>
      <c r="P1044" s="8">
        <f t="shared" si="114"/>
        <v>1980</v>
      </c>
      <c r="Q1044" s="8">
        <f t="shared" si="115"/>
        <v>0</v>
      </c>
      <c r="R1044" s="9">
        <f t="shared" si="116"/>
        <v>1980</v>
      </c>
      <c r="S1044" s="10">
        <f t="shared" si="117"/>
        <v>165</v>
      </c>
      <c r="T1044">
        <v>165</v>
      </c>
      <c r="U1044">
        <f t="shared" si="118"/>
        <v>0</v>
      </c>
    </row>
    <row r="1045" spans="1:21" ht="14.25" customHeight="1" x14ac:dyDescent="0.35">
      <c r="A1045" s="6" t="s">
        <v>2892</v>
      </c>
      <c r="B1045" s="6" t="s">
        <v>2893</v>
      </c>
      <c r="C1045" s="6" t="s">
        <v>2894</v>
      </c>
      <c r="D1045" s="6" t="s">
        <v>165</v>
      </c>
      <c r="E1045" s="7" t="s">
        <v>23</v>
      </c>
      <c r="F1045" s="6">
        <v>85297</v>
      </c>
      <c r="G1045" s="6" t="s">
        <v>125</v>
      </c>
      <c r="H1045" s="6" t="s">
        <v>126</v>
      </c>
      <c r="J1045" s="6" t="b">
        <v>0</v>
      </c>
      <c r="K1045" s="6" t="s">
        <v>27</v>
      </c>
      <c r="L1045" s="6">
        <v>0</v>
      </c>
      <c r="M1045" s="6">
        <v>165</v>
      </c>
      <c r="N1045" s="8" t="str">
        <f t="shared" si="112"/>
        <v>0</v>
      </c>
      <c r="O1045" s="8">
        <f t="shared" si="113"/>
        <v>1980</v>
      </c>
      <c r="P1045" s="8">
        <f t="shared" si="114"/>
        <v>1980</v>
      </c>
      <c r="Q1045" s="8">
        <f t="shared" si="115"/>
        <v>0</v>
      </c>
      <c r="R1045" s="9">
        <f t="shared" si="116"/>
        <v>1980</v>
      </c>
      <c r="S1045" s="10">
        <f t="shared" si="117"/>
        <v>165</v>
      </c>
      <c r="T1045">
        <v>165</v>
      </c>
      <c r="U1045">
        <f t="shared" si="118"/>
        <v>0</v>
      </c>
    </row>
    <row r="1046" spans="1:21" ht="14.25" customHeight="1" x14ac:dyDescent="0.35">
      <c r="A1046" s="6" t="s">
        <v>2895</v>
      </c>
      <c r="B1046" s="6" t="s">
        <v>2896</v>
      </c>
      <c r="C1046" s="6" t="s">
        <v>2897</v>
      </c>
      <c r="D1046" s="6" t="s">
        <v>71</v>
      </c>
      <c r="E1046" s="7" t="s">
        <v>23</v>
      </c>
      <c r="F1046" s="6">
        <v>85382</v>
      </c>
      <c r="G1046" s="6" t="s">
        <v>78</v>
      </c>
      <c r="H1046" s="6" t="s">
        <v>268</v>
      </c>
      <c r="I1046" s="6" t="s">
        <v>40</v>
      </c>
      <c r="J1046" s="6" t="b">
        <v>0</v>
      </c>
      <c r="K1046" s="6" t="s">
        <v>27</v>
      </c>
      <c r="L1046" s="6">
        <v>0</v>
      </c>
      <c r="M1046" s="6">
        <v>165</v>
      </c>
      <c r="N1046" s="8" t="str">
        <f t="shared" si="112"/>
        <v>0</v>
      </c>
      <c r="O1046" s="8">
        <f t="shared" si="113"/>
        <v>1980</v>
      </c>
      <c r="P1046" s="8">
        <f t="shared" si="114"/>
        <v>1980</v>
      </c>
      <c r="Q1046" s="8">
        <f t="shared" si="115"/>
        <v>0</v>
      </c>
      <c r="R1046" s="9">
        <f t="shared" si="116"/>
        <v>1980</v>
      </c>
      <c r="S1046" s="10">
        <f t="shared" si="117"/>
        <v>165</v>
      </c>
      <c r="T1046">
        <v>165</v>
      </c>
      <c r="U1046">
        <f t="shared" si="118"/>
        <v>0</v>
      </c>
    </row>
    <row r="1047" spans="1:21" ht="14.25" customHeight="1" x14ac:dyDescent="0.35">
      <c r="A1047" s="6" t="s">
        <v>2898</v>
      </c>
      <c r="B1047" s="6" t="s">
        <v>2899</v>
      </c>
      <c r="C1047" s="6" t="s">
        <v>2900</v>
      </c>
      <c r="D1047" s="6" t="s">
        <v>818</v>
      </c>
      <c r="E1047" s="7" t="s">
        <v>23</v>
      </c>
      <c r="F1047" s="6">
        <v>85340</v>
      </c>
      <c r="G1047" s="6" t="s">
        <v>38</v>
      </c>
      <c r="H1047" s="6" t="s">
        <v>378</v>
      </c>
      <c r="I1047" s="6" t="s">
        <v>26</v>
      </c>
      <c r="J1047" s="6" t="b">
        <v>0</v>
      </c>
      <c r="K1047" s="6" t="s">
        <v>27</v>
      </c>
      <c r="L1047" s="6">
        <v>0</v>
      </c>
      <c r="M1047" s="6">
        <v>165</v>
      </c>
      <c r="N1047" s="8" t="str">
        <f t="shared" si="112"/>
        <v>0</v>
      </c>
      <c r="O1047" s="8">
        <f t="shared" si="113"/>
        <v>1980</v>
      </c>
      <c r="P1047" s="8">
        <f t="shared" si="114"/>
        <v>1980</v>
      </c>
      <c r="Q1047" s="8">
        <f t="shared" si="115"/>
        <v>0</v>
      </c>
      <c r="R1047" s="9">
        <f t="shared" si="116"/>
        <v>1980</v>
      </c>
      <c r="S1047" s="10">
        <f t="shared" si="117"/>
        <v>165</v>
      </c>
      <c r="T1047">
        <v>165</v>
      </c>
      <c r="U1047">
        <f t="shared" si="118"/>
        <v>0</v>
      </c>
    </row>
    <row r="1048" spans="1:21" ht="14.25" customHeight="1" x14ac:dyDescent="0.35">
      <c r="A1048" s="6" t="s">
        <v>2901</v>
      </c>
      <c r="B1048" s="6" t="s">
        <v>2902</v>
      </c>
      <c r="C1048" s="6" t="s">
        <v>2903</v>
      </c>
      <c r="D1048" s="6" t="s">
        <v>22</v>
      </c>
      <c r="E1048" s="7" t="s">
        <v>23</v>
      </c>
      <c r="F1048" s="6">
        <v>85226</v>
      </c>
      <c r="G1048" s="6" t="s">
        <v>24</v>
      </c>
      <c r="H1048" s="6" t="s">
        <v>161</v>
      </c>
      <c r="I1048" s="6" t="s">
        <v>26</v>
      </c>
      <c r="J1048" s="6" t="b">
        <v>0</v>
      </c>
      <c r="K1048" s="6" t="s">
        <v>27</v>
      </c>
      <c r="L1048" s="6">
        <v>0</v>
      </c>
      <c r="M1048" s="6">
        <v>165</v>
      </c>
      <c r="N1048" s="8" t="str">
        <f t="shared" si="112"/>
        <v>0</v>
      </c>
      <c r="O1048" s="8">
        <f t="shared" si="113"/>
        <v>1980</v>
      </c>
      <c r="P1048" s="8">
        <f t="shared" si="114"/>
        <v>1980</v>
      </c>
      <c r="Q1048" s="8">
        <f t="shared" si="115"/>
        <v>0</v>
      </c>
      <c r="R1048" s="9">
        <f t="shared" si="116"/>
        <v>1980</v>
      </c>
      <c r="S1048" s="10">
        <f t="shared" si="117"/>
        <v>165</v>
      </c>
      <c r="T1048">
        <v>165</v>
      </c>
      <c r="U1048">
        <f t="shared" si="118"/>
        <v>0</v>
      </c>
    </row>
    <row r="1049" spans="1:21" ht="14.25" customHeight="1" x14ac:dyDescent="0.35">
      <c r="A1049" s="6" t="s">
        <v>2904</v>
      </c>
      <c r="B1049" s="6" t="s">
        <v>2905</v>
      </c>
      <c r="C1049" s="6" t="s">
        <v>2906</v>
      </c>
      <c r="D1049" s="6" t="s">
        <v>267</v>
      </c>
      <c r="E1049" s="7" t="s">
        <v>23</v>
      </c>
      <c r="F1049" s="6">
        <v>85374</v>
      </c>
      <c r="G1049" s="6" t="s">
        <v>78</v>
      </c>
      <c r="H1049" s="6" t="s">
        <v>281</v>
      </c>
      <c r="I1049" s="6" t="s">
        <v>26</v>
      </c>
      <c r="J1049" s="6" t="b">
        <v>0</v>
      </c>
      <c r="K1049" s="6" t="s">
        <v>27</v>
      </c>
      <c r="L1049" s="6">
        <v>0</v>
      </c>
      <c r="M1049" s="6">
        <v>165</v>
      </c>
      <c r="N1049" s="8" t="str">
        <f t="shared" si="112"/>
        <v>0</v>
      </c>
      <c r="O1049" s="8">
        <f t="shared" si="113"/>
        <v>1980</v>
      </c>
      <c r="P1049" s="8">
        <f t="shared" si="114"/>
        <v>1980</v>
      </c>
      <c r="Q1049" s="8">
        <f t="shared" si="115"/>
        <v>0</v>
      </c>
      <c r="R1049" s="9">
        <f t="shared" si="116"/>
        <v>1980</v>
      </c>
      <c r="S1049" s="10">
        <f t="shared" si="117"/>
        <v>165</v>
      </c>
      <c r="T1049">
        <v>165</v>
      </c>
      <c r="U1049">
        <f t="shared" si="118"/>
        <v>0</v>
      </c>
    </row>
    <row r="1050" spans="1:21" ht="14.25" customHeight="1" x14ac:dyDescent="0.35">
      <c r="A1050" s="6" t="s">
        <v>2907</v>
      </c>
      <c r="B1050" s="6" t="s">
        <v>2908</v>
      </c>
      <c r="C1050" s="6" t="s">
        <v>2909</v>
      </c>
      <c r="D1050" s="6" t="s">
        <v>44</v>
      </c>
      <c r="E1050" s="7" t="s">
        <v>23</v>
      </c>
      <c r="F1050" s="6">
        <v>85017</v>
      </c>
      <c r="G1050" s="6" t="s">
        <v>72</v>
      </c>
      <c r="H1050" s="6" t="s">
        <v>73</v>
      </c>
      <c r="I1050" s="6" t="s">
        <v>57</v>
      </c>
      <c r="J1050" s="6" t="b">
        <v>0</v>
      </c>
      <c r="K1050" s="6" t="s">
        <v>27</v>
      </c>
      <c r="L1050" s="6">
        <v>0</v>
      </c>
      <c r="M1050" s="6">
        <v>165</v>
      </c>
      <c r="N1050" s="8" t="str">
        <f t="shared" si="112"/>
        <v>0</v>
      </c>
      <c r="O1050" s="8">
        <f t="shared" si="113"/>
        <v>1980</v>
      </c>
      <c r="P1050" s="8">
        <f t="shared" si="114"/>
        <v>1980</v>
      </c>
      <c r="Q1050" s="8">
        <f t="shared" si="115"/>
        <v>0</v>
      </c>
      <c r="R1050" s="9">
        <f t="shared" si="116"/>
        <v>1980</v>
      </c>
      <c r="S1050" s="10">
        <f t="shared" si="117"/>
        <v>165</v>
      </c>
      <c r="T1050">
        <v>165</v>
      </c>
      <c r="U1050">
        <f t="shared" si="118"/>
        <v>0</v>
      </c>
    </row>
    <row r="1051" spans="1:21" ht="14.25" customHeight="1" x14ac:dyDescent="0.35">
      <c r="A1051" s="6" t="s">
        <v>2910</v>
      </c>
      <c r="B1051" s="6" t="s">
        <v>2911</v>
      </c>
      <c r="C1051" s="6" t="s">
        <v>2912</v>
      </c>
      <c r="D1051" s="6" t="s">
        <v>71</v>
      </c>
      <c r="E1051" s="7" t="s">
        <v>23</v>
      </c>
      <c r="F1051" s="6">
        <v>85383</v>
      </c>
      <c r="G1051" s="6" t="s">
        <v>78</v>
      </c>
      <c r="H1051" s="6" t="s">
        <v>281</v>
      </c>
      <c r="I1051" s="6" t="s">
        <v>26</v>
      </c>
      <c r="J1051" s="6" t="b">
        <v>0</v>
      </c>
      <c r="K1051" s="6" t="s">
        <v>27</v>
      </c>
      <c r="L1051" s="6">
        <v>0</v>
      </c>
      <c r="M1051" s="6">
        <v>165</v>
      </c>
      <c r="N1051" s="8" t="str">
        <f t="shared" si="112"/>
        <v>0</v>
      </c>
      <c r="O1051" s="8">
        <f t="shared" si="113"/>
        <v>1980</v>
      </c>
      <c r="P1051" s="8">
        <f t="shared" si="114"/>
        <v>1980</v>
      </c>
      <c r="Q1051" s="8">
        <f t="shared" si="115"/>
        <v>0</v>
      </c>
      <c r="R1051" s="9">
        <f t="shared" si="116"/>
        <v>1980</v>
      </c>
      <c r="S1051" s="10">
        <f t="shared" si="117"/>
        <v>165</v>
      </c>
      <c r="T1051">
        <v>165</v>
      </c>
      <c r="U1051">
        <f t="shared" si="118"/>
        <v>0</v>
      </c>
    </row>
    <row r="1052" spans="1:21" ht="14.25" customHeight="1" x14ac:dyDescent="0.35">
      <c r="A1052" s="6" t="s">
        <v>2913</v>
      </c>
      <c r="B1052" s="6" t="s">
        <v>2914</v>
      </c>
      <c r="C1052" s="6" t="s">
        <v>2915</v>
      </c>
      <c r="D1052" s="6" t="s">
        <v>77</v>
      </c>
      <c r="E1052" s="7" t="s">
        <v>23</v>
      </c>
      <c r="F1052" s="6">
        <v>85310</v>
      </c>
      <c r="G1052" s="6" t="s">
        <v>78</v>
      </c>
      <c r="H1052" s="6" t="s">
        <v>79</v>
      </c>
      <c r="I1052" s="6" t="s">
        <v>26</v>
      </c>
      <c r="J1052" s="6" t="b">
        <v>0</v>
      </c>
      <c r="K1052" s="6" t="s">
        <v>27</v>
      </c>
      <c r="L1052" s="6">
        <v>0</v>
      </c>
      <c r="M1052" s="6">
        <v>165</v>
      </c>
      <c r="N1052" s="8" t="str">
        <f t="shared" si="112"/>
        <v>0</v>
      </c>
      <c r="O1052" s="8">
        <f t="shared" si="113"/>
        <v>1980</v>
      </c>
      <c r="P1052" s="8">
        <f t="shared" si="114"/>
        <v>1980</v>
      </c>
      <c r="Q1052" s="8">
        <f t="shared" si="115"/>
        <v>0</v>
      </c>
      <c r="R1052" s="9">
        <f t="shared" si="116"/>
        <v>1980</v>
      </c>
      <c r="S1052" s="10">
        <f t="shared" si="117"/>
        <v>165</v>
      </c>
      <c r="T1052">
        <v>165</v>
      </c>
      <c r="U1052">
        <f t="shared" si="118"/>
        <v>0</v>
      </c>
    </row>
    <row r="1053" spans="1:21" ht="14.25" customHeight="1" x14ac:dyDescent="0.35">
      <c r="A1053" s="6" t="s">
        <v>2916</v>
      </c>
      <c r="B1053" s="6" t="s">
        <v>2917</v>
      </c>
      <c r="C1053" s="6" t="s">
        <v>2918</v>
      </c>
      <c r="D1053" s="6" t="s">
        <v>31</v>
      </c>
      <c r="E1053" s="7" t="s">
        <v>23</v>
      </c>
      <c r="F1053" s="6">
        <v>85260</v>
      </c>
      <c r="G1053" s="6" t="s">
        <v>45</v>
      </c>
      <c r="H1053" s="6" t="s">
        <v>33</v>
      </c>
      <c r="J1053" s="6" t="b">
        <v>0</v>
      </c>
      <c r="K1053" s="6" t="s">
        <v>27</v>
      </c>
      <c r="L1053" s="6">
        <v>0</v>
      </c>
      <c r="M1053" s="6">
        <v>165</v>
      </c>
      <c r="N1053" s="8" t="str">
        <f t="shared" si="112"/>
        <v>0</v>
      </c>
      <c r="O1053" s="8">
        <f t="shared" si="113"/>
        <v>1980</v>
      </c>
      <c r="P1053" s="8">
        <f t="shared" si="114"/>
        <v>1980</v>
      </c>
      <c r="Q1053" s="8">
        <f t="shared" si="115"/>
        <v>0</v>
      </c>
      <c r="R1053" s="9">
        <f t="shared" si="116"/>
        <v>1980</v>
      </c>
      <c r="S1053" s="10">
        <f t="shared" si="117"/>
        <v>165</v>
      </c>
      <c r="T1053">
        <v>165</v>
      </c>
      <c r="U1053">
        <f t="shared" si="118"/>
        <v>0</v>
      </c>
    </row>
    <row r="1054" spans="1:21" ht="14.25" customHeight="1" x14ac:dyDescent="0.35">
      <c r="A1054" s="6" t="s">
        <v>2919</v>
      </c>
      <c r="B1054" s="6" t="s">
        <v>2920</v>
      </c>
      <c r="C1054" s="6" t="s">
        <v>2921</v>
      </c>
      <c r="D1054" s="6" t="s">
        <v>22</v>
      </c>
      <c r="E1054" s="7" t="s">
        <v>23</v>
      </c>
      <c r="F1054" s="6">
        <v>85249</v>
      </c>
      <c r="G1054" s="6" t="s">
        <v>125</v>
      </c>
      <c r="H1054" s="6" t="s">
        <v>126</v>
      </c>
      <c r="I1054" s="6" t="s">
        <v>26</v>
      </c>
      <c r="J1054" s="6" t="b">
        <v>0</v>
      </c>
      <c r="K1054" s="6" t="s">
        <v>27</v>
      </c>
      <c r="L1054" s="6">
        <v>0</v>
      </c>
      <c r="M1054" s="6">
        <v>165</v>
      </c>
      <c r="N1054" s="8" t="str">
        <f t="shared" si="112"/>
        <v>0</v>
      </c>
      <c r="O1054" s="8">
        <f t="shared" si="113"/>
        <v>1980</v>
      </c>
      <c r="P1054" s="8">
        <f t="shared" si="114"/>
        <v>1980</v>
      </c>
      <c r="Q1054" s="8">
        <f t="shared" si="115"/>
        <v>0</v>
      </c>
      <c r="R1054" s="9">
        <f t="shared" si="116"/>
        <v>1980</v>
      </c>
      <c r="S1054" s="10">
        <f t="shared" si="117"/>
        <v>165</v>
      </c>
      <c r="T1054">
        <v>165</v>
      </c>
      <c r="U1054">
        <f t="shared" si="118"/>
        <v>0</v>
      </c>
    </row>
    <row r="1055" spans="1:21" ht="14.25" customHeight="1" x14ac:dyDescent="0.35">
      <c r="A1055" s="6" t="s">
        <v>2922</v>
      </c>
      <c r="B1055" s="6" t="s">
        <v>2923</v>
      </c>
      <c r="C1055" s="6" t="s">
        <v>2924</v>
      </c>
      <c r="D1055" s="6" t="s">
        <v>489</v>
      </c>
      <c r="E1055" s="7" t="s">
        <v>23</v>
      </c>
      <c r="F1055" s="6">
        <v>85087</v>
      </c>
      <c r="G1055" s="6" t="s">
        <v>32</v>
      </c>
      <c r="H1055" s="6" t="s">
        <v>79</v>
      </c>
      <c r="J1055" s="6" t="b">
        <v>0</v>
      </c>
      <c r="K1055" s="6" t="s">
        <v>27</v>
      </c>
      <c r="L1055" s="6">
        <v>0</v>
      </c>
      <c r="M1055" s="6">
        <v>165</v>
      </c>
      <c r="N1055" s="8" t="str">
        <f t="shared" si="112"/>
        <v>0</v>
      </c>
      <c r="O1055" s="8">
        <f t="shared" si="113"/>
        <v>1980</v>
      </c>
      <c r="P1055" s="8">
        <f t="shared" si="114"/>
        <v>1980</v>
      </c>
      <c r="Q1055" s="8">
        <f t="shared" si="115"/>
        <v>0</v>
      </c>
      <c r="R1055" s="9">
        <f t="shared" si="116"/>
        <v>1980</v>
      </c>
      <c r="S1055" s="10">
        <f t="shared" si="117"/>
        <v>165</v>
      </c>
      <c r="T1055">
        <v>165</v>
      </c>
      <c r="U1055">
        <f t="shared" si="118"/>
        <v>0</v>
      </c>
    </row>
    <row r="1056" spans="1:21" ht="14.25" customHeight="1" x14ac:dyDescent="0.35">
      <c r="A1056" s="6" t="s">
        <v>2925</v>
      </c>
      <c r="B1056" s="6" t="s">
        <v>2926</v>
      </c>
      <c r="C1056" s="6" t="s">
        <v>2927</v>
      </c>
      <c r="D1056" s="6" t="s">
        <v>117</v>
      </c>
      <c r="E1056" s="7" t="s">
        <v>23</v>
      </c>
      <c r="F1056" s="6">
        <v>85138</v>
      </c>
      <c r="G1056" s="6" t="s">
        <v>87</v>
      </c>
      <c r="H1056" s="6" t="s">
        <v>88</v>
      </c>
      <c r="I1056" s="6" t="s">
        <v>26</v>
      </c>
      <c r="J1056" s="6" t="b">
        <v>0</v>
      </c>
      <c r="K1056" s="6" t="s">
        <v>27</v>
      </c>
      <c r="L1056" s="6">
        <v>0</v>
      </c>
      <c r="M1056" s="6">
        <v>165</v>
      </c>
      <c r="N1056" s="8" t="str">
        <f t="shared" si="112"/>
        <v>0</v>
      </c>
      <c r="O1056" s="8">
        <f t="shared" si="113"/>
        <v>1980</v>
      </c>
      <c r="P1056" s="8">
        <f t="shared" si="114"/>
        <v>1980</v>
      </c>
      <c r="Q1056" s="8">
        <f t="shared" si="115"/>
        <v>0</v>
      </c>
      <c r="R1056" s="9">
        <f t="shared" si="116"/>
        <v>1980</v>
      </c>
      <c r="S1056" s="10">
        <f t="shared" si="117"/>
        <v>165</v>
      </c>
      <c r="T1056">
        <v>165</v>
      </c>
      <c r="U1056">
        <f t="shared" si="118"/>
        <v>0</v>
      </c>
    </row>
    <row r="1057" spans="1:21" ht="14.25" customHeight="1" x14ac:dyDescent="0.35">
      <c r="A1057" s="6" t="s">
        <v>2928</v>
      </c>
      <c r="B1057" s="6" t="s">
        <v>2929</v>
      </c>
      <c r="C1057" s="6" t="s">
        <v>2930</v>
      </c>
      <c r="D1057" s="6" t="s">
        <v>363</v>
      </c>
      <c r="E1057" s="7" t="s">
        <v>23</v>
      </c>
      <c r="F1057" s="6">
        <v>85283</v>
      </c>
      <c r="G1057" s="6" t="s">
        <v>364</v>
      </c>
      <c r="H1057" s="6" t="s">
        <v>365</v>
      </c>
      <c r="I1057" s="6" t="s">
        <v>26</v>
      </c>
      <c r="J1057" s="6" t="b">
        <v>0</v>
      </c>
      <c r="K1057" s="6" t="s">
        <v>27</v>
      </c>
      <c r="L1057" s="6">
        <v>0</v>
      </c>
      <c r="M1057" s="6">
        <v>165</v>
      </c>
      <c r="N1057" s="8" t="str">
        <f t="shared" si="112"/>
        <v>0</v>
      </c>
      <c r="O1057" s="8">
        <f t="shared" si="113"/>
        <v>1980</v>
      </c>
      <c r="P1057" s="8">
        <f t="shared" si="114"/>
        <v>1980</v>
      </c>
      <c r="Q1057" s="8">
        <f t="shared" si="115"/>
        <v>0</v>
      </c>
      <c r="R1057" s="9">
        <f t="shared" si="116"/>
        <v>1980</v>
      </c>
      <c r="S1057" s="10">
        <f t="shared" si="117"/>
        <v>165</v>
      </c>
      <c r="T1057">
        <v>165</v>
      </c>
      <c r="U1057">
        <f t="shared" si="118"/>
        <v>0</v>
      </c>
    </row>
    <row r="1058" spans="1:21" ht="14.25" customHeight="1" x14ac:dyDescent="0.35">
      <c r="A1058" s="6" t="s">
        <v>2931</v>
      </c>
      <c r="B1058" s="6" t="s">
        <v>2932</v>
      </c>
      <c r="C1058" s="6" t="s">
        <v>2933</v>
      </c>
      <c r="D1058" s="6" t="s">
        <v>65</v>
      </c>
      <c r="E1058" s="7" t="s">
        <v>23</v>
      </c>
      <c r="F1058" s="6">
        <v>85213</v>
      </c>
      <c r="G1058" s="6" t="s">
        <v>66</v>
      </c>
      <c r="H1058" s="6" t="s">
        <v>1047</v>
      </c>
      <c r="I1058" s="6" t="s">
        <v>26</v>
      </c>
      <c r="J1058" s="6" t="b">
        <v>0</v>
      </c>
      <c r="K1058" s="6" t="s">
        <v>27</v>
      </c>
      <c r="L1058" s="6">
        <v>0</v>
      </c>
      <c r="M1058" s="6">
        <v>165</v>
      </c>
      <c r="N1058" s="8" t="str">
        <f t="shared" si="112"/>
        <v>0</v>
      </c>
      <c r="O1058" s="8">
        <f t="shared" si="113"/>
        <v>1980</v>
      </c>
      <c r="P1058" s="8">
        <f t="shared" si="114"/>
        <v>1980</v>
      </c>
      <c r="Q1058" s="8">
        <f t="shared" si="115"/>
        <v>0</v>
      </c>
      <c r="R1058" s="9">
        <f t="shared" si="116"/>
        <v>1980</v>
      </c>
      <c r="S1058" s="10">
        <f t="shared" si="117"/>
        <v>165</v>
      </c>
      <c r="T1058">
        <v>165</v>
      </c>
      <c r="U1058">
        <f t="shared" si="118"/>
        <v>0</v>
      </c>
    </row>
    <row r="1059" spans="1:21" ht="14.25" customHeight="1" x14ac:dyDescent="0.35">
      <c r="A1059" s="6" t="s">
        <v>2934</v>
      </c>
      <c r="B1059" s="6" t="s">
        <v>2935</v>
      </c>
      <c r="C1059" s="6" t="s">
        <v>2936</v>
      </c>
      <c r="D1059" s="6" t="s">
        <v>31</v>
      </c>
      <c r="E1059" s="7" t="s">
        <v>23</v>
      </c>
      <c r="F1059" s="6">
        <v>85260</v>
      </c>
      <c r="G1059" s="6" t="s">
        <v>45</v>
      </c>
      <c r="H1059" s="6" t="s">
        <v>33</v>
      </c>
      <c r="I1059" s="6" t="s">
        <v>26</v>
      </c>
      <c r="J1059" s="6" t="b">
        <v>0</v>
      </c>
      <c r="K1059" s="6" t="s">
        <v>27</v>
      </c>
      <c r="L1059" s="6">
        <v>0</v>
      </c>
      <c r="M1059" s="6">
        <v>165</v>
      </c>
      <c r="N1059" s="8" t="str">
        <f t="shared" si="112"/>
        <v>0</v>
      </c>
      <c r="O1059" s="8">
        <f t="shared" si="113"/>
        <v>1980</v>
      </c>
      <c r="P1059" s="8">
        <f t="shared" si="114"/>
        <v>1980</v>
      </c>
      <c r="Q1059" s="8">
        <f t="shared" si="115"/>
        <v>0</v>
      </c>
      <c r="R1059" s="9">
        <f t="shared" si="116"/>
        <v>1980</v>
      </c>
      <c r="S1059" s="10">
        <f t="shared" si="117"/>
        <v>165</v>
      </c>
      <c r="T1059">
        <v>165</v>
      </c>
      <c r="U1059">
        <f t="shared" si="118"/>
        <v>0</v>
      </c>
    </row>
    <row r="1060" spans="1:21" ht="14.25" customHeight="1" x14ac:dyDescent="0.35">
      <c r="A1060" s="6" t="s">
        <v>2937</v>
      </c>
      <c r="B1060" s="6" t="s">
        <v>2938</v>
      </c>
      <c r="C1060" s="6" t="s">
        <v>2939</v>
      </c>
      <c r="D1060" s="6" t="s">
        <v>77</v>
      </c>
      <c r="E1060" s="7" t="s">
        <v>23</v>
      </c>
      <c r="F1060" s="6">
        <v>85308</v>
      </c>
      <c r="G1060" s="6" t="s">
        <v>78</v>
      </c>
      <c r="H1060" s="6" t="s">
        <v>79</v>
      </c>
      <c r="I1060" s="6" t="s">
        <v>110</v>
      </c>
      <c r="J1060" s="6" t="b">
        <v>0</v>
      </c>
      <c r="K1060" s="6" t="s">
        <v>27</v>
      </c>
      <c r="L1060" s="6">
        <v>0</v>
      </c>
      <c r="M1060" s="6">
        <v>165</v>
      </c>
      <c r="N1060" s="8" t="str">
        <f t="shared" si="112"/>
        <v>0</v>
      </c>
      <c r="O1060" s="8">
        <f t="shared" si="113"/>
        <v>1980</v>
      </c>
      <c r="P1060" s="8">
        <f t="shared" si="114"/>
        <v>1980</v>
      </c>
      <c r="Q1060" s="8">
        <f t="shared" si="115"/>
        <v>0</v>
      </c>
      <c r="R1060" s="9">
        <f t="shared" si="116"/>
        <v>1980</v>
      </c>
      <c r="S1060" s="10">
        <f t="shared" si="117"/>
        <v>165</v>
      </c>
      <c r="T1060">
        <v>165</v>
      </c>
      <c r="U1060">
        <f t="shared" si="118"/>
        <v>0</v>
      </c>
    </row>
    <row r="1061" spans="1:21" ht="14.25" customHeight="1" x14ac:dyDescent="0.35">
      <c r="A1061" s="6" t="s">
        <v>2940</v>
      </c>
      <c r="B1061" s="6" t="s">
        <v>2941</v>
      </c>
      <c r="C1061" s="6" t="s">
        <v>2942</v>
      </c>
      <c r="D1061" s="6" t="s">
        <v>165</v>
      </c>
      <c r="E1061" s="7" t="s">
        <v>23</v>
      </c>
      <c r="F1061" s="6">
        <v>85296</v>
      </c>
      <c r="G1061" s="6" t="s">
        <v>125</v>
      </c>
      <c r="H1061" s="6" t="s">
        <v>225</v>
      </c>
      <c r="I1061" s="6" t="s">
        <v>26</v>
      </c>
      <c r="J1061" s="6" t="b">
        <v>0</v>
      </c>
      <c r="K1061" s="6" t="s">
        <v>27</v>
      </c>
      <c r="L1061" s="6">
        <v>0</v>
      </c>
      <c r="M1061" s="6">
        <v>165</v>
      </c>
      <c r="N1061" s="8" t="str">
        <f t="shared" si="112"/>
        <v>0</v>
      </c>
      <c r="O1061" s="8">
        <f t="shared" si="113"/>
        <v>1980</v>
      </c>
      <c r="P1061" s="8">
        <f t="shared" si="114"/>
        <v>1980</v>
      </c>
      <c r="Q1061" s="8">
        <f t="shared" si="115"/>
        <v>0</v>
      </c>
      <c r="R1061" s="9">
        <f t="shared" si="116"/>
        <v>1980</v>
      </c>
      <c r="S1061" s="10">
        <f t="shared" si="117"/>
        <v>165</v>
      </c>
      <c r="T1061">
        <v>165</v>
      </c>
      <c r="U1061">
        <f t="shared" si="118"/>
        <v>0</v>
      </c>
    </row>
    <row r="1062" spans="1:21" ht="14.25" customHeight="1" x14ac:dyDescent="0.35">
      <c r="A1062" s="6" t="s">
        <v>2943</v>
      </c>
      <c r="B1062" s="6" t="s">
        <v>2944</v>
      </c>
      <c r="C1062" s="6" t="s">
        <v>2945</v>
      </c>
      <c r="D1062" s="6" t="s">
        <v>165</v>
      </c>
      <c r="E1062" s="7" t="s">
        <v>23</v>
      </c>
      <c r="F1062" s="6">
        <v>85295</v>
      </c>
      <c r="G1062" s="6" t="s">
        <v>125</v>
      </c>
      <c r="H1062" s="6" t="s">
        <v>180</v>
      </c>
      <c r="J1062" s="6" t="b">
        <v>0</v>
      </c>
      <c r="K1062" s="6" t="s">
        <v>27</v>
      </c>
      <c r="L1062" s="6">
        <v>0</v>
      </c>
      <c r="M1062" s="6">
        <v>165</v>
      </c>
      <c r="N1062" s="8" t="str">
        <f t="shared" si="112"/>
        <v>0</v>
      </c>
      <c r="O1062" s="8">
        <f t="shared" si="113"/>
        <v>1980</v>
      </c>
      <c r="P1062" s="8">
        <f t="shared" si="114"/>
        <v>1980</v>
      </c>
      <c r="Q1062" s="8">
        <f t="shared" si="115"/>
        <v>0</v>
      </c>
      <c r="R1062" s="9">
        <f t="shared" si="116"/>
        <v>1980</v>
      </c>
      <c r="S1062" s="10">
        <f t="shared" si="117"/>
        <v>165</v>
      </c>
      <c r="T1062">
        <v>165</v>
      </c>
      <c r="U1062">
        <f t="shared" si="118"/>
        <v>0</v>
      </c>
    </row>
    <row r="1063" spans="1:21" ht="14.25" customHeight="1" x14ac:dyDescent="0.35">
      <c r="A1063" s="6" t="s">
        <v>2946</v>
      </c>
      <c r="B1063" s="6" t="s">
        <v>2947</v>
      </c>
      <c r="C1063" s="6" t="s">
        <v>2948</v>
      </c>
      <c r="D1063" s="6" t="s">
        <v>31</v>
      </c>
      <c r="E1063" s="7" t="s">
        <v>23</v>
      </c>
      <c r="F1063" s="6">
        <v>85258</v>
      </c>
      <c r="G1063" s="6" t="s">
        <v>45</v>
      </c>
      <c r="H1063" s="6" t="s">
        <v>291</v>
      </c>
      <c r="I1063" s="6" t="s">
        <v>26</v>
      </c>
      <c r="J1063" s="6" t="b">
        <v>0</v>
      </c>
      <c r="K1063" s="6" t="s">
        <v>27</v>
      </c>
      <c r="L1063" s="6">
        <v>0</v>
      </c>
      <c r="M1063" s="6">
        <v>165</v>
      </c>
      <c r="N1063" s="8" t="str">
        <f t="shared" si="112"/>
        <v>0</v>
      </c>
      <c r="O1063" s="8">
        <f t="shared" si="113"/>
        <v>1980</v>
      </c>
      <c r="P1063" s="8">
        <f t="shared" si="114"/>
        <v>1980</v>
      </c>
      <c r="Q1063" s="8">
        <f t="shared" si="115"/>
        <v>0</v>
      </c>
      <c r="R1063" s="9">
        <f t="shared" si="116"/>
        <v>1980</v>
      </c>
      <c r="S1063" s="10">
        <f t="shared" si="117"/>
        <v>165</v>
      </c>
      <c r="T1063">
        <v>165</v>
      </c>
      <c r="U1063">
        <f t="shared" si="118"/>
        <v>0</v>
      </c>
    </row>
    <row r="1064" spans="1:21" ht="14.25" customHeight="1" x14ac:dyDescent="0.35">
      <c r="A1064" s="6" t="s">
        <v>2949</v>
      </c>
      <c r="B1064" s="6" t="s">
        <v>2950</v>
      </c>
      <c r="C1064" s="6" t="s">
        <v>2951</v>
      </c>
      <c r="D1064" s="6" t="s">
        <v>165</v>
      </c>
      <c r="E1064" s="7" t="s">
        <v>23</v>
      </c>
      <c r="F1064" s="6">
        <v>85234</v>
      </c>
      <c r="G1064" s="6" t="s">
        <v>125</v>
      </c>
      <c r="H1064" s="6" t="s">
        <v>25</v>
      </c>
      <c r="I1064" s="6" t="s">
        <v>26</v>
      </c>
      <c r="J1064" s="6" t="b">
        <v>0</v>
      </c>
      <c r="K1064" s="6" t="s">
        <v>27</v>
      </c>
      <c r="L1064" s="6">
        <v>0</v>
      </c>
      <c r="M1064" s="6">
        <v>165</v>
      </c>
      <c r="N1064" s="8" t="str">
        <f t="shared" si="112"/>
        <v>0</v>
      </c>
      <c r="O1064" s="8">
        <f t="shared" si="113"/>
        <v>1980</v>
      </c>
      <c r="P1064" s="8">
        <f t="shared" si="114"/>
        <v>1980</v>
      </c>
      <c r="Q1064" s="8">
        <f t="shared" si="115"/>
        <v>0</v>
      </c>
      <c r="R1064" s="9">
        <f t="shared" si="116"/>
        <v>1980</v>
      </c>
      <c r="S1064" s="10">
        <f t="shared" si="117"/>
        <v>165</v>
      </c>
      <c r="T1064">
        <v>165</v>
      </c>
      <c r="U1064">
        <f t="shared" si="118"/>
        <v>0</v>
      </c>
    </row>
    <row r="1065" spans="1:21" ht="14.25" customHeight="1" x14ac:dyDescent="0.35">
      <c r="A1065" s="6" t="s">
        <v>2952</v>
      </c>
      <c r="B1065" s="6" t="s">
        <v>2953</v>
      </c>
      <c r="C1065" s="6" t="s">
        <v>2954</v>
      </c>
      <c r="D1065" s="6" t="s">
        <v>71</v>
      </c>
      <c r="E1065" s="7" t="s">
        <v>23</v>
      </c>
      <c r="F1065" s="6">
        <v>85382</v>
      </c>
      <c r="G1065" s="6" t="s">
        <v>78</v>
      </c>
      <c r="H1065" s="6" t="s">
        <v>268</v>
      </c>
      <c r="J1065" s="6" t="b">
        <v>0</v>
      </c>
      <c r="K1065" s="6" t="s">
        <v>27</v>
      </c>
      <c r="L1065" s="6">
        <v>0</v>
      </c>
      <c r="M1065" s="6">
        <v>165</v>
      </c>
      <c r="N1065" s="8" t="str">
        <f t="shared" si="112"/>
        <v>0</v>
      </c>
      <c r="O1065" s="8">
        <f t="shared" si="113"/>
        <v>1980</v>
      </c>
      <c r="P1065" s="8">
        <f t="shared" si="114"/>
        <v>1980</v>
      </c>
      <c r="Q1065" s="8">
        <f t="shared" si="115"/>
        <v>0</v>
      </c>
      <c r="R1065" s="9">
        <f t="shared" si="116"/>
        <v>1980</v>
      </c>
      <c r="S1065" s="10">
        <f t="shared" si="117"/>
        <v>165</v>
      </c>
      <c r="T1065">
        <v>165</v>
      </c>
      <c r="U1065">
        <f t="shared" si="118"/>
        <v>0</v>
      </c>
    </row>
    <row r="1066" spans="1:21" ht="14.25" customHeight="1" x14ac:dyDescent="0.35">
      <c r="A1066" s="6" t="s">
        <v>2955</v>
      </c>
      <c r="B1066" s="6" t="s">
        <v>2956</v>
      </c>
      <c r="C1066" s="6" t="s">
        <v>2957</v>
      </c>
      <c r="D1066" s="6" t="s">
        <v>44</v>
      </c>
      <c r="E1066" s="7" t="s">
        <v>23</v>
      </c>
      <c r="F1066" s="6">
        <v>85022</v>
      </c>
      <c r="G1066" s="6" t="s">
        <v>173</v>
      </c>
      <c r="H1066" s="6" t="s">
        <v>79</v>
      </c>
      <c r="I1066" s="6" t="s">
        <v>26</v>
      </c>
      <c r="J1066" s="6" t="b">
        <v>0</v>
      </c>
      <c r="K1066" s="6" t="s">
        <v>27</v>
      </c>
      <c r="L1066" s="6">
        <v>0</v>
      </c>
      <c r="M1066" s="6">
        <v>165</v>
      </c>
      <c r="N1066" s="8" t="str">
        <f t="shared" si="112"/>
        <v>0</v>
      </c>
      <c r="O1066" s="8">
        <f t="shared" si="113"/>
        <v>1980</v>
      </c>
      <c r="P1066" s="8">
        <f t="shared" si="114"/>
        <v>1980</v>
      </c>
      <c r="Q1066" s="8">
        <f t="shared" si="115"/>
        <v>0</v>
      </c>
      <c r="R1066" s="9">
        <f t="shared" si="116"/>
        <v>1980</v>
      </c>
      <c r="S1066" s="10">
        <f t="shared" si="117"/>
        <v>165</v>
      </c>
      <c r="T1066">
        <v>165</v>
      </c>
      <c r="U1066">
        <f t="shared" si="118"/>
        <v>0</v>
      </c>
    </row>
    <row r="1067" spans="1:21" ht="14.25" customHeight="1" x14ac:dyDescent="0.35">
      <c r="A1067" s="6" t="s">
        <v>2958</v>
      </c>
      <c r="B1067" s="6" t="s">
        <v>2959</v>
      </c>
      <c r="C1067" s="6" t="s">
        <v>2960</v>
      </c>
      <c r="D1067" s="6" t="s">
        <v>31</v>
      </c>
      <c r="E1067" s="7" t="s">
        <v>23</v>
      </c>
      <c r="F1067" s="6">
        <v>85257</v>
      </c>
      <c r="G1067" s="6" t="s">
        <v>49</v>
      </c>
      <c r="H1067" s="6" t="s">
        <v>202</v>
      </c>
      <c r="J1067" s="6" t="b">
        <v>0</v>
      </c>
      <c r="K1067" s="6" t="s">
        <v>27</v>
      </c>
      <c r="L1067" s="6">
        <v>0</v>
      </c>
      <c r="M1067" s="6">
        <v>165</v>
      </c>
      <c r="N1067" s="8" t="str">
        <f t="shared" si="112"/>
        <v>0</v>
      </c>
      <c r="O1067" s="8">
        <f t="shared" si="113"/>
        <v>1980</v>
      </c>
      <c r="P1067" s="8">
        <f t="shared" si="114"/>
        <v>1980</v>
      </c>
      <c r="Q1067" s="8">
        <f t="shared" si="115"/>
        <v>0</v>
      </c>
      <c r="R1067" s="9">
        <f t="shared" si="116"/>
        <v>1980</v>
      </c>
      <c r="S1067" s="10">
        <f t="shared" si="117"/>
        <v>165</v>
      </c>
      <c r="T1067">
        <v>165</v>
      </c>
      <c r="U1067">
        <f t="shared" si="118"/>
        <v>0</v>
      </c>
    </row>
    <row r="1068" spans="1:21" ht="14.25" customHeight="1" x14ac:dyDescent="0.35">
      <c r="A1068" s="6" t="s">
        <v>2961</v>
      </c>
      <c r="B1068" s="6" t="s">
        <v>2962</v>
      </c>
      <c r="C1068" s="6" t="s">
        <v>2963</v>
      </c>
      <c r="D1068" s="6" t="s">
        <v>1551</v>
      </c>
      <c r="E1068" s="7" t="s">
        <v>23</v>
      </c>
      <c r="F1068" s="6">
        <v>85373</v>
      </c>
      <c r="G1068" s="6" t="s">
        <v>78</v>
      </c>
      <c r="H1068" s="6" t="s">
        <v>281</v>
      </c>
      <c r="I1068" s="6" t="s">
        <v>26</v>
      </c>
      <c r="J1068" s="6" t="b">
        <v>0</v>
      </c>
      <c r="K1068" s="6" t="s">
        <v>27</v>
      </c>
      <c r="L1068" s="6">
        <v>0</v>
      </c>
      <c r="M1068" s="6">
        <v>165</v>
      </c>
      <c r="N1068" s="8" t="str">
        <f t="shared" si="112"/>
        <v>0</v>
      </c>
      <c r="O1068" s="8">
        <f t="shared" si="113"/>
        <v>1980</v>
      </c>
      <c r="P1068" s="8">
        <f t="shared" si="114"/>
        <v>1980</v>
      </c>
      <c r="Q1068" s="8">
        <f t="shared" si="115"/>
        <v>0</v>
      </c>
      <c r="R1068" s="9">
        <f t="shared" si="116"/>
        <v>1980</v>
      </c>
      <c r="S1068" s="10">
        <f t="shared" si="117"/>
        <v>165</v>
      </c>
      <c r="T1068">
        <v>165</v>
      </c>
      <c r="U1068">
        <f t="shared" si="118"/>
        <v>0</v>
      </c>
    </row>
    <row r="1069" spans="1:21" ht="14.25" customHeight="1" x14ac:dyDescent="0.35">
      <c r="A1069" s="6" t="s">
        <v>2964</v>
      </c>
      <c r="B1069" s="6" t="s">
        <v>2965</v>
      </c>
      <c r="C1069" s="6" t="s">
        <v>2966</v>
      </c>
      <c r="D1069" s="6" t="s">
        <v>65</v>
      </c>
      <c r="E1069" s="7" t="s">
        <v>23</v>
      </c>
      <c r="F1069" s="6">
        <v>85212</v>
      </c>
      <c r="G1069" s="6" t="s">
        <v>125</v>
      </c>
      <c r="H1069" s="6" t="s">
        <v>180</v>
      </c>
      <c r="J1069" s="6" t="b">
        <v>0</v>
      </c>
      <c r="K1069" s="6" t="s">
        <v>27</v>
      </c>
      <c r="L1069" s="6">
        <v>0</v>
      </c>
      <c r="M1069" s="6">
        <v>165</v>
      </c>
      <c r="N1069" s="8" t="str">
        <f t="shared" si="112"/>
        <v>0</v>
      </c>
      <c r="O1069" s="8">
        <f t="shared" si="113"/>
        <v>1980</v>
      </c>
      <c r="P1069" s="8">
        <f t="shared" si="114"/>
        <v>1980</v>
      </c>
      <c r="Q1069" s="8">
        <f t="shared" si="115"/>
        <v>0</v>
      </c>
      <c r="R1069" s="9">
        <f t="shared" si="116"/>
        <v>1980</v>
      </c>
      <c r="S1069" s="10">
        <f t="shared" si="117"/>
        <v>165</v>
      </c>
      <c r="T1069">
        <v>165</v>
      </c>
      <c r="U1069">
        <f t="shared" si="118"/>
        <v>0</v>
      </c>
    </row>
    <row r="1070" spans="1:21" ht="14.25" customHeight="1" x14ac:dyDescent="0.35">
      <c r="A1070" s="6" t="s">
        <v>2967</v>
      </c>
      <c r="B1070" s="6" t="s">
        <v>2968</v>
      </c>
      <c r="C1070" s="6" t="s">
        <v>2969</v>
      </c>
      <c r="D1070" s="6" t="s">
        <v>65</v>
      </c>
      <c r="E1070" s="7" t="s">
        <v>23</v>
      </c>
      <c r="F1070" s="6">
        <v>85207</v>
      </c>
      <c r="G1070" s="6" t="s">
        <v>66</v>
      </c>
      <c r="H1070" s="6" t="s">
        <v>67</v>
      </c>
      <c r="I1070" s="6" t="s">
        <v>61</v>
      </c>
      <c r="J1070" s="6" t="b">
        <v>0</v>
      </c>
      <c r="K1070" s="6" t="s">
        <v>27</v>
      </c>
      <c r="L1070" s="6">
        <v>0</v>
      </c>
      <c r="M1070" s="6">
        <v>165</v>
      </c>
      <c r="N1070" s="8" t="str">
        <f t="shared" si="112"/>
        <v>0</v>
      </c>
      <c r="O1070" s="8">
        <f t="shared" si="113"/>
        <v>1980</v>
      </c>
      <c r="P1070" s="8">
        <f t="shared" si="114"/>
        <v>1980</v>
      </c>
      <c r="Q1070" s="8">
        <f t="shared" si="115"/>
        <v>0</v>
      </c>
      <c r="R1070" s="9">
        <f t="shared" si="116"/>
        <v>1980</v>
      </c>
      <c r="S1070" s="10">
        <f t="shared" si="117"/>
        <v>165</v>
      </c>
      <c r="T1070">
        <v>165</v>
      </c>
      <c r="U1070">
        <f t="shared" si="118"/>
        <v>0</v>
      </c>
    </row>
    <row r="1071" spans="1:21" ht="14.25" customHeight="1" x14ac:dyDescent="0.35">
      <c r="A1071" s="6" t="s">
        <v>2970</v>
      </c>
      <c r="B1071" s="6" t="s">
        <v>2971</v>
      </c>
      <c r="C1071" s="6" t="s">
        <v>2972</v>
      </c>
      <c r="D1071" s="6" t="s">
        <v>31</v>
      </c>
      <c r="E1071" s="7" t="s">
        <v>23</v>
      </c>
      <c r="F1071" s="6">
        <v>85255</v>
      </c>
      <c r="G1071" s="6" t="s">
        <v>32</v>
      </c>
      <c r="H1071" s="6" t="s">
        <v>33</v>
      </c>
      <c r="I1071" s="6" t="s">
        <v>26</v>
      </c>
      <c r="J1071" s="6" t="b">
        <v>0</v>
      </c>
      <c r="K1071" s="6" t="s">
        <v>27</v>
      </c>
      <c r="L1071" s="6">
        <v>0</v>
      </c>
      <c r="M1071" s="6">
        <v>165</v>
      </c>
      <c r="N1071" s="8" t="str">
        <f t="shared" si="112"/>
        <v>0</v>
      </c>
      <c r="O1071" s="8">
        <f t="shared" si="113"/>
        <v>1980</v>
      </c>
      <c r="P1071" s="8">
        <f t="shared" si="114"/>
        <v>1980</v>
      </c>
      <c r="Q1071" s="8">
        <f t="shared" si="115"/>
        <v>0</v>
      </c>
      <c r="R1071" s="9">
        <f t="shared" si="116"/>
        <v>1980</v>
      </c>
      <c r="S1071" s="10">
        <f t="shared" si="117"/>
        <v>165</v>
      </c>
      <c r="T1071">
        <v>165</v>
      </c>
      <c r="U1071">
        <f t="shared" si="118"/>
        <v>0</v>
      </c>
    </row>
    <row r="1072" spans="1:21" ht="14.25" customHeight="1" x14ac:dyDescent="0.35">
      <c r="A1072" s="6" t="s">
        <v>2973</v>
      </c>
      <c r="B1072" s="6" t="s">
        <v>2974</v>
      </c>
      <c r="C1072" s="6" t="s">
        <v>2975</v>
      </c>
      <c r="D1072" s="6" t="s">
        <v>65</v>
      </c>
      <c r="E1072" s="7" t="s">
        <v>23</v>
      </c>
      <c r="F1072" s="6">
        <v>85213</v>
      </c>
      <c r="G1072" s="6" t="s">
        <v>66</v>
      </c>
      <c r="H1072" s="6" t="s">
        <v>67</v>
      </c>
      <c r="I1072" s="6" t="s">
        <v>26</v>
      </c>
      <c r="J1072" s="6" t="b">
        <v>0</v>
      </c>
      <c r="K1072" s="6" t="s">
        <v>27</v>
      </c>
      <c r="L1072" s="6">
        <v>0</v>
      </c>
      <c r="M1072" s="6">
        <v>165</v>
      </c>
      <c r="N1072" s="8" t="str">
        <f t="shared" si="112"/>
        <v>0</v>
      </c>
      <c r="O1072" s="8">
        <f t="shared" si="113"/>
        <v>1980</v>
      </c>
      <c r="P1072" s="8">
        <f t="shared" si="114"/>
        <v>1980</v>
      </c>
      <c r="Q1072" s="8">
        <f t="shared" si="115"/>
        <v>0</v>
      </c>
      <c r="R1072" s="9">
        <f t="shared" si="116"/>
        <v>1980</v>
      </c>
      <c r="S1072" s="10">
        <f t="shared" si="117"/>
        <v>165</v>
      </c>
      <c r="T1072">
        <v>165</v>
      </c>
      <c r="U1072">
        <f t="shared" si="118"/>
        <v>0</v>
      </c>
    </row>
    <row r="1073" spans="1:21" ht="14.25" customHeight="1" x14ac:dyDescent="0.35">
      <c r="A1073" s="6" t="s">
        <v>2976</v>
      </c>
      <c r="B1073" s="6" t="s">
        <v>2977</v>
      </c>
      <c r="C1073" s="6" t="s">
        <v>2978</v>
      </c>
      <c r="D1073" s="6" t="s">
        <v>71</v>
      </c>
      <c r="E1073" s="7" t="s">
        <v>23</v>
      </c>
      <c r="F1073" s="6">
        <v>85383</v>
      </c>
      <c r="G1073" s="6" t="s">
        <v>78</v>
      </c>
      <c r="H1073" s="6" t="s">
        <v>281</v>
      </c>
      <c r="J1073" s="6" t="b">
        <v>0</v>
      </c>
      <c r="K1073" s="6" t="s">
        <v>27</v>
      </c>
      <c r="L1073" s="6">
        <v>0</v>
      </c>
      <c r="M1073" s="6">
        <v>165</v>
      </c>
      <c r="N1073" s="8" t="str">
        <f t="shared" si="112"/>
        <v>0</v>
      </c>
      <c r="O1073" s="8">
        <f t="shared" si="113"/>
        <v>1980</v>
      </c>
      <c r="P1073" s="8">
        <f t="shared" si="114"/>
        <v>1980</v>
      </c>
      <c r="Q1073" s="8">
        <f t="shared" si="115"/>
        <v>0</v>
      </c>
      <c r="R1073" s="9">
        <f t="shared" si="116"/>
        <v>1980</v>
      </c>
      <c r="S1073" s="10">
        <f t="shared" si="117"/>
        <v>165</v>
      </c>
      <c r="T1073">
        <v>165</v>
      </c>
      <c r="U1073">
        <f t="shared" si="118"/>
        <v>0</v>
      </c>
    </row>
    <row r="1074" spans="1:21" ht="14.25" customHeight="1" x14ac:dyDescent="0.35">
      <c r="A1074" s="6" t="s">
        <v>2979</v>
      </c>
      <c r="B1074" s="6" t="s">
        <v>2980</v>
      </c>
      <c r="C1074" s="6" t="s">
        <v>2981</v>
      </c>
      <c r="D1074" s="6" t="s">
        <v>77</v>
      </c>
      <c r="E1074" s="7" t="s">
        <v>23</v>
      </c>
      <c r="F1074" s="6">
        <v>85308</v>
      </c>
      <c r="G1074" s="6" t="s">
        <v>78</v>
      </c>
      <c r="H1074" s="6" t="s">
        <v>281</v>
      </c>
      <c r="I1074" s="6" t="s">
        <v>26</v>
      </c>
      <c r="J1074" s="6" t="b">
        <v>0</v>
      </c>
      <c r="K1074" s="6" t="s">
        <v>27</v>
      </c>
      <c r="L1074" s="6">
        <v>0</v>
      </c>
      <c r="M1074" s="6">
        <v>165</v>
      </c>
      <c r="N1074" s="8" t="str">
        <f t="shared" si="112"/>
        <v>0</v>
      </c>
      <c r="O1074" s="8">
        <f t="shared" si="113"/>
        <v>1980</v>
      </c>
      <c r="P1074" s="8">
        <f t="shared" si="114"/>
        <v>1980</v>
      </c>
      <c r="Q1074" s="8">
        <f t="shared" si="115"/>
        <v>0</v>
      </c>
      <c r="R1074" s="9">
        <f t="shared" si="116"/>
        <v>1980</v>
      </c>
      <c r="S1074" s="10">
        <f t="shared" si="117"/>
        <v>165</v>
      </c>
      <c r="T1074">
        <v>165</v>
      </c>
      <c r="U1074">
        <f t="shared" si="118"/>
        <v>0</v>
      </c>
    </row>
    <row r="1075" spans="1:21" ht="14.25" customHeight="1" x14ac:dyDescent="0.35">
      <c r="A1075" s="6" t="s">
        <v>2982</v>
      </c>
      <c r="B1075" s="6" t="s">
        <v>2983</v>
      </c>
      <c r="C1075" s="6" t="s">
        <v>2984</v>
      </c>
      <c r="D1075" s="6" t="s">
        <v>22</v>
      </c>
      <c r="E1075" s="7" t="s">
        <v>23</v>
      </c>
      <c r="F1075" s="6">
        <v>85249</v>
      </c>
      <c r="G1075" s="6" t="s">
        <v>125</v>
      </c>
      <c r="H1075" s="6" t="s">
        <v>225</v>
      </c>
      <c r="I1075" s="6" t="s">
        <v>26</v>
      </c>
      <c r="J1075" s="6" t="b">
        <v>0</v>
      </c>
      <c r="K1075" s="6" t="s">
        <v>27</v>
      </c>
      <c r="L1075" s="6">
        <v>0</v>
      </c>
      <c r="M1075" s="6">
        <v>165</v>
      </c>
      <c r="N1075" s="8" t="str">
        <f t="shared" si="112"/>
        <v>0</v>
      </c>
      <c r="O1075" s="8">
        <f t="shared" si="113"/>
        <v>1980</v>
      </c>
      <c r="P1075" s="8">
        <f t="shared" si="114"/>
        <v>1980</v>
      </c>
      <c r="Q1075" s="8">
        <f t="shared" si="115"/>
        <v>0</v>
      </c>
      <c r="R1075" s="9">
        <f t="shared" si="116"/>
        <v>1980</v>
      </c>
      <c r="S1075" s="10">
        <f t="shared" si="117"/>
        <v>165</v>
      </c>
      <c r="T1075">
        <v>165</v>
      </c>
      <c r="U1075">
        <f t="shared" si="118"/>
        <v>0</v>
      </c>
    </row>
    <row r="1076" spans="1:21" ht="14.25" customHeight="1" x14ac:dyDescent="0.35">
      <c r="A1076" s="6" t="s">
        <v>2985</v>
      </c>
      <c r="B1076" s="6" t="s">
        <v>2986</v>
      </c>
      <c r="C1076" s="6" t="s">
        <v>2987</v>
      </c>
      <c r="D1076" s="6" t="s">
        <v>31</v>
      </c>
      <c r="E1076" s="7" t="s">
        <v>23</v>
      </c>
      <c r="F1076" s="6">
        <v>85254</v>
      </c>
      <c r="G1076" s="6" t="s">
        <v>45</v>
      </c>
      <c r="H1076" s="6" t="s">
        <v>169</v>
      </c>
      <c r="J1076" s="6" t="b">
        <v>0</v>
      </c>
      <c r="K1076" s="6" t="s">
        <v>27</v>
      </c>
      <c r="L1076" s="6">
        <v>0</v>
      </c>
      <c r="M1076" s="6">
        <v>165</v>
      </c>
      <c r="N1076" s="8" t="str">
        <f t="shared" si="112"/>
        <v>0</v>
      </c>
      <c r="O1076" s="8">
        <f t="shared" si="113"/>
        <v>1980</v>
      </c>
      <c r="P1076" s="8">
        <f t="shared" si="114"/>
        <v>1980</v>
      </c>
      <c r="Q1076" s="8">
        <f t="shared" si="115"/>
        <v>0</v>
      </c>
      <c r="R1076" s="9">
        <f t="shared" si="116"/>
        <v>1980</v>
      </c>
      <c r="S1076" s="10">
        <f t="shared" si="117"/>
        <v>165</v>
      </c>
      <c r="T1076">
        <v>165</v>
      </c>
      <c r="U1076">
        <f t="shared" si="118"/>
        <v>0</v>
      </c>
    </row>
    <row r="1077" spans="1:21" ht="14.25" customHeight="1" x14ac:dyDescent="0.35">
      <c r="A1077" s="6" t="s">
        <v>2988</v>
      </c>
      <c r="B1077" s="6" t="s">
        <v>2989</v>
      </c>
      <c r="C1077" s="6" t="s">
        <v>2990</v>
      </c>
      <c r="D1077" s="6" t="s">
        <v>44</v>
      </c>
      <c r="E1077" s="7" t="s">
        <v>23</v>
      </c>
      <c r="F1077" s="6">
        <v>85024</v>
      </c>
      <c r="G1077" s="6" t="s">
        <v>32</v>
      </c>
      <c r="H1077" s="6" t="s">
        <v>33</v>
      </c>
      <c r="I1077" s="6" t="s">
        <v>26</v>
      </c>
      <c r="J1077" s="6" t="b">
        <v>0</v>
      </c>
      <c r="K1077" s="6" t="s">
        <v>27</v>
      </c>
      <c r="L1077" s="6">
        <v>0</v>
      </c>
      <c r="M1077" s="6">
        <v>165</v>
      </c>
      <c r="N1077" s="8" t="str">
        <f t="shared" si="112"/>
        <v>0</v>
      </c>
      <c r="O1077" s="8">
        <f t="shared" si="113"/>
        <v>1980</v>
      </c>
      <c r="P1077" s="8">
        <f t="shared" si="114"/>
        <v>1980</v>
      </c>
      <c r="Q1077" s="8">
        <f t="shared" si="115"/>
        <v>0</v>
      </c>
      <c r="R1077" s="9">
        <f t="shared" si="116"/>
        <v>1980</v>
      </c>
      <c r="S1077" s="10">
        <f t="shared" si="117"/>
        <v>165</v>
      </c>
      <c r="T1077">
        <v>165</v>
      </c>
      <c r="U1077">
        <f t="shared" si="118"/>
        <v>0</v>
      </c>
    </row>
    <row r="1078" spans="1:21" ht="14.25" customHeight="1" x14ac:dyDescent="0.35">
      <c r="A1078" s="6" t="s">
        <v>2991</v>
      </c>
      <c r="B1078" s="6" t="s">
        <v>2992</v>
      </c>
      <c r="C1078" s="6" t="s">
        <v>2993</v>
      </c>
      <c r="D1078" s="6" t="s">
        <v>65</v>
      </c>
      <c r="E1078" s="7" t="s">
        <v>23</v>
      </c>
      <c r="F1078" s="6">
        <v>85212</v>
      </c>
      <c r="G1078" s="6" t="s">
        <v>125</v>
      </c>
      <c r="H1078" s="6" t="s">
        <v>180</v>
      </c>
      <c r="J1078" s="6" t="b">
        <v>0</v>
      </c>
      <c r="K1078" s="6" t="s">
        <v>27</v>
      </c>
      <c r="L1078" s="6">
        <v>0</v>
      </c>
      <c r="M1078" s="6">
        <v>165</v>
      </c>
      <c r="N1078" s="8" t="str">
        <f t="shared" si="112"/>
        <v>0</v>
      </c>
      <c r="O1078" s="8">
        <f t="shared" si="113"/>
        <v>1980</v>
      </c>
      <c r="P1078" s="8">
        <f t="shared" si="114"/>
        <v>1980</v>
      </c>
      <c r="Q1078" s="8">
        <f t="shared" si="115"/>
        <v>0</v>
      </c>
      <c r="R1078" s="9">
        <f t="shared" si="116"/>
        <v>1980</v>
      </c>
      <c r="S1078" s="10">
        <f t="shared" si="117"/>
        <v>165</v>
      </c>
      <c r="T1078">
        <v>165</v>
      </c>
      <c r="U1078">
        <f t="shared" si="118"/>
        <v>0</v>
      </c>
    </row>
    <row r="1079" spans="1:21" ht="14.25" customHeight="1" x14ac:dyDescent="0.35">
      <c r="A1079" s="6" t="s">
        <v>2994</v>
      </c>
      <c r="B1079" s="6" t="s">
        <v>2995</v>
      </c>
      <c r="C1079" s="6" t="s">
        <v>2996</v>
      </c>
      <c r="D1079" s="6" t="s">
        <v>165</v>
      </c>
      <c r="E1079" s="7" t="s">
        <v>23</v>
      </c>
      <c r="F1079" s="6">
        <v>85234</v>
      </c>
      <c r="G1079" s="6" t="s">
        <v>125</v>
      </c>
      <c r="H1079" s="6" t="s">
        <v>126</v>
      </c>
      <c r="I1079" s="6" t="s">
        <v>26</v>
      </c>
      <c r="J1079" s="6" t="b">
        <v>0</v>
      </c>
      <c r="K1079" s="6" t="s">
        <v>27</v>
      </c>
      <c r="L1079" s="6">
        <v>0</v>
      </c>
      <c r="M1079" s="6">
        <v>165</v>
      </c>
      <c r="N1079" s="8" t="str">
        <f t="shared" si="112"/>
        <v>0</v>
      </c>
      <c r="O1079" s="8">
        <f t="shared" si="113"/>
        <v>1980</v>
      </c>
      <c r="P1079" s="8">
        <f t="shared" si="114"/>
        <v>1980</v>
      </c>
      <c r="Q1079" s="8">
        <f t="shared" si="115"/>
        <v>0</v>
      </c>
      <c r="R1079" s="9">
        <f t="shared" si="116"/>
        <v>1980</v>
      </c>
      <c r="S1079" s="10">
        <f t="shared" si="117"/>
        <v>165</v>
      </c>
      <c r="T1079">
        <v>165</v>
      </c>
      <c r="U1079">
        <f t="shared" si="118"/>
        <v>0</v>
      </c>
    </row>
    <row r="1080" spans="1:21" ht="14.25" customHeight="1" x14ac:dyDescent="0.35">
      <c r="A1080" s="6" t="s">
        <v>2997</v>
      </c>
      <c r="B1080" s="6" t="s">
        <v>2998</v>
      </c>
      <c r="C1080" s="6" t="s">
        <v>2999</v>
      </c>
      <c r="D1080" s="6" t="s">
        <v>86</v>
      </c>
      <c r="E1080" s="7" t="s">
        <v>23</v>
      </c>
      <c r="F1080" s="6">
        <v>85123</v>
      </c>
      <c r="G1080" s="6" t="s">
        <v>87</v>
      </c>
      <c r="I1080" s="6" t="s">
        <v>40</v>
      </c>
      <c r="J1080" s="6" t="b">
        <v>0</v>
      </c>
      <c r="K1080" s="6" t="s">
        <v>27</v>
      </c>
      <c r="L1080" s="6">
        <v>0</v>
      </c>
      <c r="M1080" s="6">
        <v>165</v>
      </c>
      <c r="N1080" s="8" t="str">
        <f t="shared" si="112"/>
        <v>0</v>
      </c>
      <c r="O1080" s="8">
        <f t="shared" si="113"/>
        <v>1980</v>
      </c>
      <c r="P1080" s="8">
        <f t="shared" si="114"/>
        <v>1980</v>
      </c>
      <c r="Q1080" s="8">
        <f t="shared" si="115"/>
        <v>0</v>
      </c>
      <c r="R1080" s="9">
        <f t="shared" si="116"/>
        <v>1980</v>
      </c>
      <c r="S1080" s="10">
        <f t="shared" si="117"/>
        <v>165</v>
      </c>
      <c r="T1080">
        <v>165</v>
      </c>
      <c r="U1080">
        <f t="shared" si="118"/>
        <v>0</v>
      </c>
    </row>
    <row r="1081" spans="1:21" ht="14.25" customHeight="1" x14ac:dyDescent="0.35">
      <c r="A1081" s="6" t="s">
        <v>3000</v>
      </c>
      <c r="B1081" s="6" t="s">
        <v>3001</v>
      </c>
      <c r="C1081" s="6" t="s">
        <v>3002</v>
      </c>
      <c r="D1081" s="6" t="s">
        <v>165</v>
      </c>
      <c r="E1081" s="7" t="s">
        <v>23</v>
      </c>
      <c r="F1081" s="6">
        <v>85233</v>
      </c>
      <c r="G1081" s="6" t="s">
        <v>24</v>
      </c>
      <c r="H1081" s="6" t="s">
        <v>25</v>
      </c>
      <c r="I1081" s="6" t="s">
        <v>26</v>
      </c>
      <c r="J1081" s="6" t="b">
        <v>0</v>
      </c>
      <c r="K1081" s="6" t="s">
        <v>27</v>
      </c>
      <c r="L1081" s="6">
        <v>0</v>
      </c>
      <c r="M1081" s="6">
        <v>165</v>
      </c>
      <c r="N1081" s="8" t="str">
        <f t="shared" si="112"/>
        <v>0</v>
      </c>
      <c r="O1081" s="8">
        <f t="shared" si="113"/>
        <v>1980</v>
      </c>
      <c r="P1081" s="8">
        <f t="shared" si="114"/>
        <v>1980</v>
      </c>
      <c r="Q1081" s="8">
        <f t="shared" si="115"/>
        <v>0</v>
      </c>
      <c r="R1081" s="9">
        <f t="shared" si="116"/>
        <v>1980</v>
      </c>
      <c r="S1081" s="10">
        <f t="shared" si="117"/>
        <v>165</v>
      </c>
      <c r="T1081">
        <v>165</v>
      </c>
      <c r="U1081">
        <f t="shared" si="118"/>
        <v>0</v>
      </c>
    </row>
    <row r="1082" spans="1:21" ht="14.25" customHeight="1" x14ac:dyDescent="0.35">
      <c r="A1082" s="6" t="s">
        <v>3003</v>
      </c>
      <c r="B1082" s="6" t="s">
        <v>3004</v>
      </c>
      <c r="C1082" s="6" t="s">
        <v>3005</v>
      </c>
      <c r="D1082" s="6" t="s">
        <v>241</v>
      </c>
      <c r="E1082" s="7" t="s">
        <v>23</v>
      </c>
      <c r="F1082" s="6">
        <v>85331</v>
      </c>
      <c r="G1082" s="6" t="s">
        <v>32</v>
      </c>
      <c r="H1082" s="6" t="s">
        <v>79</v>
      </c>
      <c r="I1082" s="6" t="s">
        <v>40</v>
      </c>
      <c r="J1082" s="6" t="b">
        <v>0</v>
      </c>
      <c r="K1082" s="6" t="s">
        <v>27</v>
      </c>
      <c r="L1082" s="6">
        <v>0</v>
      </c>
      <c r="M1082" s="6">
        <v>165</v>
      </c>
      <c r="N1082" s="8" t="str">
        <f t="shared" si="112"/>
        <v>0</v>
      </c>
      <c r="O1082" s="8">
        <f t="shared" si="113"/>
        <v>1980</v>
      </c>
      <c r="P1082" s="8">
        <f t="shared" si="114"/>
        <v>1980</v>
      </c>
      <c r="Q1082" s="8">
        <f t="shared" si="115"/>
        <v>0</v>
      </c>
      <c r="R1082" s="9">
        <f t="shared" si="116"/>
        <v>1980</v>
      </c>
      <c r="S1082" s="10">
        <f t="shared" si="117"/>
        <v>165</v>
      </c>
      <c r="T1082">
        <v>165</v>
      </c>
      <c r="U1082">
        <f t="shared" si="118"/>
        <v>0</v>
      </c>
    </row>
    <row r="1083" spans="1:21" ht="14.25" customHeight="1" x14ac:dyDescent="0.35">
      <c r="A1083" s="6" t="s">
        <v>3006</v>
      </c>
      <c r="B1083" s="6" t="s">
        <v>3007</v>
      </c>
      <c r="C1083" s="6" t="s">
        <v>3008</v>
      </c>
      <c r="D1083" s="6" t="s">
        <v>31</v>
      </c>
      <c r="E1083" s="7" t="s">
        <v>23</v>
      </c>
      <c r="F1083" s="6">
        <v>85258</v>
      </c>
      <c r="G1083" s="6" t="s">
        <v>45</v>
      </c>
      <c r="H1083" s="6" t="s">
        <v>291</v>
      </c>
      <c r="J1083" s="6" t="b">
        <v>0</v>
      </c>
      <c r="K1083" s="6" t="s">
        <v>27</v>
      </c>
      <c r="L1083" s="6">
        <v>0</v>
      </c>
      <c r="M1083" s="6">
        <v>165</v>
      </c>
      <c r="N1083" s="8" t="str">
        <f t="shared" si="112"/>
        <v>0</v>
      </c>
      <c r="O1083" s="8">
        <f t="shared" si="113"/>
        <v>1980</v>
      </c>
      <c r="P1083" s="8">
        <f t="shared" si="114"/>
        <v>1980</v>
      </c>
      <c r="Q1083" s="8">
        <f t="shared" si="115"/>
        <v>0</v>
      </c>
      <c r="R1083" s="9">
        <f t="shared" si="116"/>
        <v>1980</v>
      </c>
      <c r="S1083" s="10">
        <f t="shared" si="117"/>
        <v>165</v>
      </c>
      <c r="T1083">
        <v>165</v>
      </c>
      <c r="U1083">
        <f t="shared" si="118"/>
        <v>0</v>
      </c>
    </row>
    <row r="1084" spans="1:21" ht="14.25" customHeight="1" x14ac:dyDescent="0.35">
      <c r="A1084" s="6" t="s">
        <v>3009</v>
      </c>
      <c r="B1084" s="6" t="s">
        <v>3010</v>
      </c>
      <c r="C1084" s="6" t="s">
        <v>3011</v>
      </c>
      <c r="D1084" s="6" t="s">
        <v>2002</v>
      </c>
      <c r="E1084" s="7" t="s">
        <v>23</v>
      </c>
      <c r="F1084" s="6">
        <v>85355</v>
      </c>
      <c r="G1084" s="6" t="s">
        <v>78</v>
      </c>
      <c r="H1084" s="6" t="s">
        <v>281</v>
      </c>
      <c r="I1084" s="6" t="s">
        <v>26</v>
      </c>
      <c r="J1084" s="6" t="b">
        <v>0</v>
      </c>
      <c r="K1084" s="6" t="s">
        <v>27</v>
      </c>
      <c r="L1084" s="6">
        <v>0</v>
      </c>
      <c r="M1084" s="6">
        <v>165</v>
      </c>
      <c r="N1084" s="8" t="str">
        <f t="shared" si="112"/>
        <v>0</v>
      </c>
      <c r="O1084" s="8">
        <f t="shared" si="113"/>
        <v>1980</v>
      </c>
      <c r="P1084" s="8">
        <f t="shared" si="114"/>
        <v>1980</v>
      </c>
      <c r="Q1084" s="8">
        <f t="shared" si="115"/>
        <v>0</v>
      </c>
      <c r="R1084" s="9">
        <f t="shared" si="116"/>
        <v>1980</v>
      </c>
      <c r="S1084" s="10">
        <f t="shared" si="117"/>
        <v>165</v>
      </c>
      <c r="T1084">
        <v>165</v>
      </c>
      <c r="U1084">
        <f t="shared" si="118"/>
        <v>0</v>
      </c>
    </row>
    <row r="1085" spans="1:21" ht="14.25" customHeight="1" x14ac:dyDescent="0.35">
      <c r="A1085" s="6" t="s">
        <v>3012</v>
      </c>
      <c r="B1085" s="6" t="s">
        <v>3013</v>
      </c>
      <c r="C1085" s="6" t="s">
        <v>3014</v>
      </c>
      <c r="D1085" s="6" t="s">
        <v>332</v>
      </c>
      <c r="E1085" s="7" t="s">
        <v>23</v>
      </c>
      <c r="F1085" s="6">
        <v>85339</v>
      </c>
      <c r="G1085" s="6" t="s">
        <v>213</v>
      </c>
      <c r="H1085" s="6" t="s">
        <v>39</v>
      </c>
      <c r="I1085" s="6" t="s">
        <v>26</v>
      </c>
      <c r="J1085" s="6" t="b">
        <v>0</v>
      </c>
      <c r="K1085" s="6" t="s">
        <v>27</v>
      </c>
      <c r="L1085" s="6">
        <v>0</v>
      </c>
      <c r="M1085" s="6">
        <v>165</v>
      </c>
      <c r="N1085" s="8" t="str">
        <f t="shared" si="112"/>
        <v>0</v>
      </c>
      <c r="O1085" s="8">
        <f t="shared" si="113"/>
        <v>1980</v>
      </c>
      <c r="P1085" s="8">
        <f t="shared" si="114"/>
        <v>1980</v>
      </c>
      <c r="Q1085" s="8">
        <f t="shared" si="115"/>
        <v>0</v>
      </c>
      <c r="R1085" s="9">
        <f t="shared" si="116"/>
        <v>1980</v>
      </c>
      <c r="S1085" s="10">
        <f t="shared" si="117"/>
        <v>165</v>
      </c>
      <c r="T1085">
        <v>165</v>
      </c>
      <c r="U1085">
        <f t="shared" si="118"/>
        <v>0</v>
      </c>
    </row>
    <row r="1086" spans="1:21" ht="14.25" customHeight="1" x14ac:dyDescent="0.35">
      <c r="A1086" s="6" t="s">
        <v>3015</v>
      </c>
      <c r="B1086" s="6" t="s">
        <v>3016</v>
      </c>
      <c r="C1086" s="6" t="s">
        <v>3017</v>
      </c>
      <c r="D1086" s="6" t="s">
        <v>44</v>
      </c>
      <c r="E1086" s="7" t="s">
        <v>23</v>
      </c>
      <c r="F1086" s="6">
        <v>85016</v>
      </c>
      <c r="G1086" s="6" t="s">
        <v>49</v>
      </c>
      <c r="H1086" s="6" t="s">
        <v>79</v>
      </c>
      <c r="I1086" s="6" t="s">
        <v>26</v>
      </c>
      <c r="J1086" s="6" t="b">
        <v>0</v>
      </c>
      <c r="K1086" s="6" t="s">
        <v>27</v>
      </c>
      <c r="L1086" s="6">
        <v>0</v>
      </c>
      <c r="M1086" s="6">
        <v>165</v>
      </c>
      <c r="N1086" s="8" t="str">
        <f t="shared" si="112"/>
        <v>0</v>
      </c>
      <c r="O1086" s="8">
        <f t="shared" si="113"/>
        <v>1980</v>
      </c>
      <c r="P1086" s="8">
        <f t="shared" si="114"/>
        <v>1980</v>
      </c>
      <c r="Q1086" s="8">
        <f t="shared" si="115"/>
        <v>0</v>
      </c>
      <c r="R1086" s="9">
        <f t="shared" si="116"/>
        <v>1980</v>
      </c>
      <c r="S1086" s="10">
        <f t="shared" si="117"/>
        <v>165</v>
      </c>
      <c r="T1086">
        <v>165</v>
      </c>
      <c r="U1086">
        <f t="shared" si="118"/>
        <v>0</v>
      </c>
    </row>
    <row r="1087" spans="1:21" ht="14.25" customHeight="1" x14ac:dyDescent="0.35">
      <c r="A1087" s="6" t="s">
        <v>3018</v>
      </c>
      <c r="B1087" s="6" t="s">
        <v>3019</v>
      </c>
      <c r="C1087" s="6" t="s">
        <v>3020</v>
      </c>
      <c r="D1087" s="6" t="s">
        <v>44</v>
      </c>
      <c r="E1087" s="7" t="s">
        <v>23</v>
      </c>
      <c r="F1087" s="6">
        <v>85012</v>
      </c>
      <c r="G1087" s="6" t="s">
        <v>213</v>
      </c>
      <c r="H1087" s="6" t="s">
        <v>202</v>
      </c>
      <c r="I1087" s="6" t="s">
        <v>26</v>
      </c>
      <c r="J1087" s="6" t="b">
        <v>0</v>
      </c>
      <c r="K1087" s="6" t="s">
        <v>27</v>
      </c>
      <c r="L1087" s="6">
        <v>0</v>
      </c>
      <c r="M1087" s="6">
        <v>165</v>
      </c>
      <c r="N1087" s="8" t="str">
        <f t="shared" si="112"/>
        <v>0</v>
      </c>
      <c r="O1087" s="8">
        <f t="shared" si="113"/>
        <v>1980</v>
      </c>
      <c r="P1087" s="8">
        <f t="shared" si="114"/>
        <v>1980</v>
      </c>
      <c r="Q1087" s="8">
        <f t="shared" si="115"/>
        <v>0</v>
      </c>
      <c r="R1087" s="9">
        <f t="shared" si="116"/>
        <v>1980</v>
      </c>
      <c r="S1087" s="10">
        <f t="shared" si="117"/>
        <v>165</v>
      </c>
      <c r="T1087">
        <v>165</v>
      </c>
      <c r="U1087">
        <f t="shared" si="118"/>
        <v>0</v>
      </c>
    </row>
    <row r="1088" spans="1:21" ht="14.25" customHeight="1" x14ac:dyDescent="0.35">
      <c r="A1088" s="6" t="s">
        <v>3021</v>
      </c>
      <c r="B1088" s="6" t="s">
        <v>3022</v>
      </c>
      <c r="C1088" s="6" t="s">
        <v>3023</v>
      </c>
      <c r="D1088" s="6" t="s">
        <v>44</v>
      </c>
      <c r="E1088" s="7" t="s">
        <v>23</v>
      </c>
      <c r="F1088" s="6">
        <v>85008</v>
      </c>
      <c r="G1088" s="6" t="s">
        <v>49</v>
      </c>
      <c r="H1088" s="6" t="s">
        <v>365</v>
      </c>
      <c r="J1088" s="6" t="b">
        <v>0</v>
      </c>
      <c r="K1088" s="6" t="s">
        <v>27</v>
      </c>
      <c r="L1088" s="6">
        <v>0</v>
      </c>
      <c r="M1088" s="6">
        <v>165</v>
      </c>
      <c r="N1088" s="8" t="str">
        <f t="shared" si="112"/>
        <v>0</v>
      </c>
      <c r="O1088" s="8">
        <f t="shared" si="113"/>
        <v>1980</v>
      </c>
      <c r="P1088" s="8">
        <f t="shared" si="114"/>
        <v>1980</v>
      </c>
      <c r="Q1088" s="8">
        <f t="shared" si="115"/>
        <v>0</v>
      </c>
      <c r="R1088" s="9">
        <f t="shared" si="116"/>
        <v>1980</v>
      </c>
      <c r="S1088" s="10">
        <f t="shared" si="117"/>
        <v>165</v>
      </c>
      <c r="T1088">
        <v>165</v>
      </c>
      <c r="U1088">
        <f t="shared" si="118"/>
        <v>0</v>
      </c>
    </row>
    <row r="1089" spans="1:21" ht="14.25" customHeight="1" x14ac:dyDescent="0.35">
      <c r="A1089" s="6" t="s">
        <v>3024</v>
      </c>
      <c r="B1089" s="6" t="s">
        <v>3025</v>
      </c>
      <c r="C1089" s="6" t="s">
        <v>3026</v>
      </c>
      <c r="D1089" s="6" t="s">
        <v>65</v>
      </c>
      <c r="E1089" s="7" t="s">
        <v>23</v>
      </c>
      <c r="F1089" s="6">
        <v>85209</v>
      </c>
      <c r="G1089" s="6" t="s">
        <v>125</v>
      </c>
      <c r="H1089" s="6" t="s">
        <v>1047</v>
      </c>
      <c r="I1089" s="6" t="s">
        <v>26</v>
      </c>
      <c r="J1089" s="6" t="b">
        <v>0</v>
      </c>
      <c r="K1089" s="6" t="s">
        <v>27</v>
      </c>
      <c r="L1089" s="6">
        <v>0</v>
      </c>
      <c r="M1089" s="6">
        <v>165</v>
      </c>
      <c r="N1089" s="8" t="str">
        <f t="shared" si="112"/>
        <v>0</v>
      </c>
      <c r="O1089" s="8">
        <f t="shared" si="113"/>
        <v>1980</v>
      </c>
      <c r="P1089" s="8">
        <f t="shared" si="114"/>
        <v>1980</v>
      </c>
      <c r="Q1089" s="8">
        <f t="shared" si="115"/>
        <v>0</v>
      </c>
      <c r="R1089" s="9">
        <f t="shared" si="116"/>
        <v>1980</v>
      </c>
      <c r="S1089" s="10">
        <f t="shared" si="117"/>
        <v>165</v>
      </c>
      <c r="T1089">
        <v>165</v>
      </c>
      <c r="U1089">
        <f t="shared" si="118"/>
        <v>0</v>
      </c>
    </row>
    <row r="1090" spans="1:21" ht="14.25" customHeight="1" x14ac:dyDescent="0.35">
      <c r="A1090" s="6" t="s">
        <v>3027</v>
      </c>
      <c r="B1090" s="6" t="s">
        <v>3028</v>
      </c>
      <c r="C1090" s="6" t="s">
        <v>3029</v>
      </c>
      <c r="D1090" s="6" t="s">
        <v>44</v>
      </c>
      <c r="E1090" s="7" t="s">
        <v>23</v>
      </c>
      <c r="F1090" s="6">
        <v>85042</v>
      </c>
      <c r="G1090" s="6" t="s">
        <v>213</v>
      </c>
      <c r="H1090" s="6" t="s">
        <v>39</v>
      </c>
      <c r="I1090" s="6" t="s">
        <v>26</v>
      </c>
      <c r="J1090" s="6" t="b">
        <v>0</v>
      </c>
      <c r="K1090" s="6" t="s">
        <v>27</v>
      </c>
      <c r="L1090" s="6">
        <v>0</v>
      </c>
      <c r="M1090" s="6">
        <v>165</v>
      </c>
      <c r="N1090" s="8" t="str">
        <f t="shared" ref="N1090:N1153" si="119">IF(J1090=TRUE, 6.39*12, "0")</f>
        <v>0</v>
      </c>
      <c r="O1090" s="8">
        <f t="shared" ref="O1090:O1153" si="120">L1090+(M1090*12)+N1090</f>
        <v>1980</v>
      </c>
      <c r="P1090" s="8">
        <f t="shared" ref="P1090:P1153" si="121">IF(OR(K1090="Check",K1090="ACH"), O1090*0.97, O1090)</f>
        <v>1980</v>
      </c>
      <c r="Q1090" s="8">
        <f t="shared" ref="Q1090:Q1153" si="122">P1090-O1090</f>
        <v>0</v>
      </c>
      <c r="R1090" s="9">
        <f t="shared" ref="R1090:R1153" si="123">O1090-Q1090</f>
        <v>1980</v>
      </c>
      <c r="S1090" s="10">
        <f t="shared" ref="S1090:S1153" si="124">R1090/12</f>
        <v>165</v>
      </c>
      <c r="T1090">
        <v>165</v>
      </c>
      <c r="U1090">
        <f t="shared" si="118"/>
        <v>0</v>
      </c>
    </row>
    <row r="1091" spans="1:21" ht="14.25" customHeight="1" x14ac:dyDescent="0.35">
      <c r="A1091" s="6" t="s">
        <v>3030</v>
      </c>
      <c r="B1091" s="6" t="s">
        <v>3031</v>
      </c>
      <c r="C1091" s="6" t="s">
        <v>3032</v>
      </c>
      <c r="D1091" s="6" t="s">
        <v>31</v>
      </c>
      <c r="E1091" s="7" t="s">
        <v>23</v>
      </c>
      <c r="F1091" s="6">
        <v>85254</v>
      </c>
      <c r="G1091" s="6" t="s">
        <v>45</v>
      </c>
      <c r="H1091" s="6" t="s">
        <v>291</v>
      </c>
      <c r="I1091" s="6" t="s">
        <v>26</v>
      </c>
      <c r="J1091" s="6" t="b">
        <v>0</v>
      </c>
      <c r="K1091" s="6" t="s">
        <v>27</v>
      </c>
      <c r="L1091" s="6">
        <v>0</v>
      </c>
      <c r="M1091" s="6">
        <v>165</v>
      </c>
      <c r="N1091" s="8" t="str">
        <f t="shared" si="119"/>
        <v>0</v>
      </c>
      <c r="O1091" s="8">
        <f t="shared" si="120"/>
        <v>1980</v>
      </c>
      <c r="P1091" s="8">
        <f t="shared" si="121"/>
        <v>1980</v>
      </c>
      <c r="Q1091" s="8">
        <f t="shared" si="122"/>
        <v>0</v>
      </c>
      <c r="R1091" s="9">
        <f t="shared" si="123"/>
        <v>1980</v>
      </c>
      <c r="S1091" s="10">
        <f t="shared" si="124"/>
        <v>165</v>
      </c>
      <c r="T1091">
        <v>165</v>
      </c>
      <c r="U1091">
        <f t="shared" si="118"/>
        <v>0</v>
      </c>
    </row>
    <row r="1092" spans="1:21" ht="14.25" customHeight="1" x14ac:dyDescent="0.35">
      <c r="A1092" s="6" t="s">
        <v>3033</v>
      </c>
      <c r="B1092" s="6" t="s">
        <v>3034</v>
      </c>
      <c r="C1092" s="6" t="s">
        <v>3035</v>
      </c>
      <c r="D1092" s="6" t="s">
        <v>98</v>
      </c>
      <c r="E1092" s="7" t="s">
        <v>23</v>
      </c>
      <c r="F1092" s="6">
        <v>85122</v>
      </c>
      <c r="G1092" s="6" t="s">
        <v>87</v>
      </c>
      <c r="H1092" s="6" t="s">
        <v>99</v>
      </c>
      <c r="I1092" s="6" t="s">
        <v>110</v>
      </c>
      <c r="J1092" s="6" t="b">
        <v>0</v>
      </c>
      <c r="K1092" s="6" t="s">
        <v>27</v>
      </c>
      <c r="L1092" s="6">
        <v>0</v>
      </c>
      <c r="M1092" s="6">
        <v>165</v>
      </c>
      <c r="N1092" s="8" t="str">
        <f t="shared" si="119"/>
        <v>0</v>
      </c>
      <c r="O1092" s="8">
        <f t="shared" si="120"/>
        <v>1980</v>
      </c>
      <c r="P1092" s="8">
        <f t="shared" si="121"/>
        <v>1980</v>
      </c>
      <c r="Q1092" s="8">
        <f t="shared" si="122"/>
        <v>0</v>
      </c>
      <c r="R1092" s="9">
        <f t="shared" si="123"/>
        <v>1980</v>
      </c>
      <c r="S1092" s="10">
        <f t="shared" si="124"/>
        <v>165</v>
      </c>
      <c r="T1092">
        <v>165</v>
      </c>
      <c r="U1092">
        <f t="shared" ref="U1092:U1155" si="125">SUM(T1092-M1092)</f>
        <v>0</v>
      </c>
    </row>
    <row r="1093" spans="1:21" ht="14.25" customHeight="1" x14ac:dyDescent="0.35">
      <c r="A1093" s="6" t="s">
        <v>3036</v>
      </c>
      <c r="B1093" s="6" t="s">
        <v>3037</v>
      </c>
      <c r="C1093" s="6" t="s">
        <v>3038</v>
      </c>
      <c r="D1093" s="6" t="s">
        <v>71</v>
      </c>
      <c r="E1093" s="7" t="s">
        <v>23</v>
      </c>
      <c r="F1093" s="6">
        <v>85381</v>
      </c>
      <c r="G1093" s="6" t="s">
        <v>78</v>
      </c>
      <c r="H1093" s="6" t="s">
        <v>79</v>
      </c>
      <c r="J1093" s="6" t="b">
        <v>0</v>
      </c>
      <c r="K1093" s="6" t="s">
        <v>27</v>
      </c>
      <c r="L1093" s="6">
        <v>0</v>
      </c>
      <c r="M1093" s="6">
        <v>165</v>
      </c>
      <c r="N1093" s="8" t="str">
        <f t="shared" si="119"/>
        <v>0</v>
      </c>
      <c r="O1093" s="8">
        <f t="shared" si="120"/>
        <v>1980</v>
      </c>
      <c r="P1093" s="8">
        <f t="shared" si="121"/>
        <v>1980</v>
      </c>
      <c r="Q1093" s="8">
        <f t="shared" si="122"/>
        <v>0</v>
      </c>
      <c r="R1093" s="9">
        <f t="shared" si="123"/>
        <v>1980</v>
      </c>
      <c r="S1093" s="10">
        <f t="shared" si="124"/>
        <v>165</v>
      </c>
      <c r="T1093">
        <v>165</v>
      </c>
      <c r="U1093">
        <f t="shared" si="125"/>
        <v>0</v>
      </c>
    </row>
    <row r="1094" spans="1:21" ht="14.25" customHeight="1" x14ac:dyDescent="0.35">
      <c r="A1094" s="6" t="s">
        <v>3039</v>
      </c>
      <c r="B1094" s="6" t="s">
        <v>3040</v>
      </c>
      <c r="C1094" s="6" t="s">
        <v>3041</v>
      </c>
      <c r="D1094" s="6" t="s">
        <v>248</v>
      </c>
      <c r="E1094" s="7" t="s">
        <v>23</v>
      </c>
      <c r="F1094" s="6">
        <v>85339</v>
      </c>
      <c r="G1094" s="6" t="s">
        <v>213</v>
      </c>
      <c r="H1094" s="6" t="s">
        <v>39</v>
      </c>
      <c r="I1094" s="6" t="s">
        <v>26</v>
      </c>
      <c r="J1094" s="6" t="b">
        <v>0</v>
      </c>
      <c r="K1094" s="6" t="s">
        <v>27</v>
      </c>
      <c r="L1094" s="6">
        <v>0</v>
      </c>
      <c r="M1094" s="6">
        <v>165</v>
      </c>
      <c r="N1094" s="8" t="str">
        <f t="shared" si="119"/>
        <v>0</v>
      </c>
      <c r="O1094" s="8">
        <f t="shared" si="120"/>
        <v>1980</v>
      </c>
      <c r="P1094" s="8">
        <f t="shared" si="121"/>
        <v>1980</v>
      </c>
      <c r="Q1094" s="8">
        <f t="shared" si="122"/>
        <v>0</v>
      </c>
      <c r="R1094" s="9">
        <f t="shared" si="123"/>
        <v>1980</v>
      </c>
      <c r="S1094" s="10">
        <f t="shared" si="124"/>
        <v>165</v>
      </c>
      <c r="T1094">
        <v>165</v>
      </c>
      <c r="U1094">
        <f t="shared" si="125"/>
        <v>0</v>
      </c>
    </row>
    <row r="1095" spans="1:21" ht="14.25" customHeight="1" x14ac:dyDescent="0.35">
      <c r="A1095" s="6" t="s">
        <v>3042</v>
      </c>
      <c r="B1095" s="6" t="s">
        <v>3043</v>
      </c>
      <c r="C1095" s="6" t="s">
        <v>3044</v>
      </c>
      <c r="D1095" s="6" t="s">
        <v>363</v>
      </c>
      <c r="E1095" s="7" t="s">
        <v>23</v>
      </c>
      <c r="F1095" s="6">
        <v>85284</v>
      </c>
      <c r="G1095" s="6" t="s">
        <v>24</v>
      </c>
      <c r="H1095" s="6" t="s">
        <v>161</v>
      </c>
      <c r="I1095" s="6" t="s">
        <v>26</v>
      </c>
      <c r="J1095" s="6" t="b">
        <v>0</v>
      </c>
      <c r="K1095" s="6" t="s">
        <v>27</v>
      </c>
      <c r="L1095" s="6">
        <v>0</v>
      </c>
      <c r="M1095" s="6">
        <v>165</v>
      </c>
      <c r="N1095" s="8" t="str">
        <f t="shared" si="119"/>
        <v>0</v>
      </c>
      <c r="O1095" s="8">
        <f t="shared" si="120"/>
        <v>1980</v>
      </c>
      <c r="P1095" s="8">
        <f t="shared" si="121"/>
        <v>1980</v>
      </c>
      <c r="Q1095" s="8">
        <f t="shared" si="122"/>
        <v>0</v>
      </c>
      <c r="R1095" s="9">
        <f t="shared" si="123"/>
        <v>1980</v>
      </c>
      <c r="S1095" s="10">
        <f t="shared" si="124"/>
        <v>165</v>
      </c>
      <c r="T1095">
        <v>165</v>
      </c>
      <c r="U1095">
        <f t="shared" si="125"/>
        <v>0</v>
      </c>
    </row>
    <row r="1096" spans="1:21" ht="14.25" customHeight="1" x14ac:dyDescent="0.35">
      <c r="A1096" s="6" t="s">
        <v>3045</v>
      </c>
      <c r="B1096" s="6" t="s">
        <v>3046</v>
      </c>
      <c r="C1096" s="6" t="s">
        <v>3047</v>
      </c>
      <c r="D1096" s="6" t="s">
        <v>65</v>
      </c>
      <c r="E1096" s="7" t="s">
        <v>23</v>
      </c>
      <c r="F1096" s="6">
        <v>85209</v>
      </c>
      <c r="G1096" s="6" t="s">
        <v>125</v>
      </c>
      <c r="H1096" s="6" t="s">
        <v>3048</v>
      </c>
      <c r="J1096" s="6" t="b">
        <v>0</v>
      </c>
      <c r="K1096" s="6" t="s">
        <v>27</v>
      </c>
      <c r="L1096" s="6">
        <v>0</v>
      </c>
      <c r="M1096" s="6">
        <v>165</v>
      </c>
      <c r="N1096" s="8" t="str">
        <f t="shared" si="119"/>
        <v>0</v>
      </c>
      <c r="O1096" s="8">
        <f t="shared" si="120"/>
        <v>1980</v>
      </c>
      <c r="P1096" s="8">
        <f t="shared" si="121"/>
        <v>1980</v>
      </c>
      <c r="Q1096" s="8">
        <f t="shared" si="122"/>
        <v>0</v>
      </c>
      <c r="R1096" s="9">
        <f t="shared" si="123"/>
        <v>1980</v>
      </c>
      <c r="S1096" s="10">
        <f t="shared" si="124"/>
        <v>165</v>
      </c>
      <c r="T1096">
        <v>165</v>
      </c>
      <c r="U1096">
        <f t="shared" si="125"/>
        <v>0</v>
      </c>
    </row>
    <row r="1097" spans="1:21" ht="14.25" customHeight="1" x14ac:dyDescent="0.35">
      <c r="A1097" s="6" t="s">
        <v>3049</v>
      </c>
      <c r="B1097" s="6" t="s">
        <v>3050</v>
      </c>
      <c r="C1097" s="6" t="s">
        <v>3051</v>
      </c>
      <c r="D1097" s="6" t="s">
        <v>165</v>
      </c>
      <c r="E1097" s="7" t="s">
        <v>23</v>
      </c>
      <c r="F1097" s="6">
        <v>85295</v>
      </c>
      <c r="G1097" s="6" t="s">
        <v>125</v>
      </c>
      <c r="H1097" s="6" t="s">
        <v>225</v>
      </c>
      <c r="I1097" s="6" t="s">
        <v>26</v>
      </c>
      <c r="J1097" s="6" t="b">
        <v>0</v>
      </c>
      <c r="K1097" s="6" t="s">
        <v>27</v>
      </c>
      <c r="L1097" s="6">
        <v>0</v>
      </c>
      <c r="M1097" s="6">
        <v>165</v>
      </c>
      <c r="N1097" s="8" t="str">
        <f t="shared" si="119"/>
        <v>0</v>
      </c>
      <c r="O1097" s="8">
        <f t="shared" si="120"/>
        <v>1980</v>
      </c>
      <c r="P1097" s="8">
        <f t="shared" si="121"/>
        <v>1980</v>
      </c>
      <c r="Q1097" s="8">
        <f t="shared" si="122"/>
        <v>0</v>
      </c>
      <c r="R1097" s="9">
        <f t="shared" si="123"/>
        <v>1980</v>
      </c>
      <c r="S1097" s="10">
        <f t="shared" si="124"/>
        <v>165</v>
      </c>
      <c r="T1097">
        <v>165</v>
      </c>
      <c r="U1097">
        <f t="shared" si="125"/>
        <v>0</v>
      </c>
    </row>
    <row r="1098" spans="1:21" ht="14.25" customHeight="1" x14ac:dyDescent="0.35">
      <c r="A1098" s="6" t="s">
        <v>3052</v>
      </c>
      <c r="B1098" s="6" t="s">
        <v>3053</v>
      </c>
      <c r="C1098" s="6" t="s">
        <v>3054</v>
      </c>
      <c r="D1098" s="6" t="s">
        <v>130</v>
      </c>
      <c r="E1098" s="7" t="s">
        <v>23</v>
      </c>
      <c r="F1098" s="6">
        <v>85143</v>
      </c>
      <c r="G1098" s="6" t="s">
        <v>87</v>
      </c>
      <c r="I1098" s="6" t="s">
        <v>26</v>
      </c>
      <c r="J1098" s="6" t="b">
        <v>0</v>
      </c>
      <c r="K1098" s="6" t="s">
        <v>27</v>
      </c>
      <c r="L1098" s="6">
        <v>0</v>
      </c>
      <c r="M1098" s="6">
        <v>165</v>
      </c>
      <c r="N1098" s="8" t="str">
        <f t="shared" si="119"/>
        <v>0</v>
      </c>
      <c r="O1098" s="8">
        <f t="shared" si="120"/>
        <v>1980</v>
      </c>
      <c r="P1098" s="8">
        <f t="shared" si="121"/>
        <v>1980</v>
      </c>
      <c r="Q1098" s="8">
        <f t="shared" si="122"/>
        <v>0</v>
      </c>
      <c r="R1098" s="9">
        <f t="shared" si="123"/>
        <v>1980</v>
      </c>
      <c r="S1098" s="10">
        <f t="shared" si="124"/>
        <v>165</v>
      </c>
      <c r="T1098">
        <v>165</v>
      </c>
      <c r="U1098">
        <f t="shared" si="125"/>
        <v>0</v>
      </c>
    </row>
    <row r="1099" spans="1:21" ht="14.25" customHeight="1" x14ac:dyDescent="0.35">
      <c r="A1099" s="6" t="s">
        <v>3055</v>
      </c>
      <c r="B1099" s="6" t="s">
        <v>3056</v>
      </c>
      <c r="C1099" s="6" t="s">
        <v>3057</v>
      </c>
      <c r="D1099" s="6" t="s">
        <v>77</v>
      </c>
      <c r="E1099" s="7" t="s">
        <v>23</v>
      </c>
      <c r="F1099" s="6">
        <v>85304</v>
      </c>
      <c r="G1099" s="6" t="s">
        <v>78</v>
      </c>
      <c r="H1099" s="6" t="s">
        <v>3058</v>
      </c>
      <c r="I1099" s="6" t="s">
        <v>26</v>
      </c>
      <c r="J1099" s="6" t="b">
        <v>0</v>
      </c>
      <c r="K1099" s="6" t="s">
        <v>27</v>
      </c>
      <c r="L1099" s="6">
        <v>0</v>
      </c>
      <c r="M1099" s="6">
        <v>165</v>
      </c>
      <c r="N1099" s="8" t="str">
        <f t="shared" si="119"/>
        <v>0</v>
      </c>
      <c r="O1099" s="8">
        <f t="shared" si="120"/>
        <v>1980</v>
      </c>
      <c r="P1099" s="8">
        <f t="shared" si="121"/>
        <v>1980</v>
      </c>
      <c r="Q1099" s="8">
        <f t="shared" si="122"/>
        <v>0</v>
      </c>
      <c r="R1099" s="9">
        <f t="shared" si="123"/>
        <v>1980</v>
      </c>
      <c r="S1099" s="10">
        <f t="shared" si="124"/>
        <v>165</v>
      </c>
      <c r="T1099">
        <v>165</v>
      </c>
      <c r="U1099">
        <f t="shared" si="125"/>
        <v>0</v>
      </c>
    </row>
    <row r="1100" spans="1:21" ht="14.25" customHeight="1" x14ac:dyDescent="0.35">
      <c r="A1100" s="6" t="s">
        <v>3059</v>
      </c>
      <c r="B1100" s="6" t="s">
        <v>3060</v>
      </c>
      <c r="C1100" s="6" t="s">
        <v>3061</v>
      </c>
      <c r="D1100" s="6" t="s">
        <v>31</v>
      </c>
      <c r="E1100" s="7" t="s">
        <v>23</v>
      </c>
      <c r="F1100" s="6">
        <v>85254</v>
      </c>
      <c r="G1100" s="6" t="s">
        <v>45</v>
      </c>
      <c r="H1100" s="6" t="s">
        <v>291</v>
      </c>
      <c r="I1100" s="6" t="s">
        <v>26</v>
      </c>
      <c r="J1100" s="6" t="b">
        <v>0</v>
      </c>
      <c r="K1100" s="6" t="s">
        <v>27</v>
      </c>
      <c r="L1100" s="6">
        <v>0</v>
      </c>
      <c r="M1100" s="6">
        <v>165</v>
      </c>
      <c r="N1100" s="8" t="str">
        <f t="shared" si="119"/>
        <v>0</v>
      </c>
      <c r="O1100" s="8">
        <f t="shared" si="120"/>
        <v>1980</v>
      </c>
      <c r="P1100" s="8">
        <f t="shared" si="121"/>
        <v>1980</v>
      </c>
      <c r="Q1100" s="8">
        <f t="shared" si="122"/>
        <v>0</v>
      </c>
      <c r="R1100" s="9">
        <f t="shared" si="123"/>
        <v>1980</v>
      </c>
      <c r="S1100" s="10">
        <f t="shared" si="124"/>
        <v>165</v>
      </c>
      <c r="T1100">
        <v>165</v>
      </c>
      <c r="U1100">
        <f t="shared" si="125"/>
        <v>0</v>
      </c>
    </row>
    <row r="1101" spans="1:21" ht="14.25" customHeight="1" x14ac:dyDescent="0.35">
      <c r="A1101" s="6" t="s">
        <v>3062</v>
      </c>
      <c r="B1101" s="6" t="s">
        <v>3063</v>
      </c>
      <c r="C1101" s="6" t="s">
        <v>3064</v>
      </c>
      <c r="D1101" s="6" t="s">
        <v>77</v>
      </c>
      <c r="E1101" s="7" t="s">
        <v>23</v>
      </c>
      <c r="F1101" s="6">
        <v>85304</v>
      </c>
      <c r="G1101" s="6" t="s">
        <v>72</v>
      </c>
      <c r="H1101" s="6" t="s">
        <v>93</v>
      </c>
      <c r="I1101" s="6" t="s">
        <v>26</v>
      </c>
      <c r="J1101" s="6" t="b">
        <v>0</v>
      </c>
      <c r="K1101" s="6" t="s">
        <v>27</v>
      </c>
      <c r="L1101" s="6">
        <v>0</v>
      </c>
      <c r="M1101" s="6">
        <v>165</v>
      </c>
      <c r="N1101" s="8" t="str">
        <f t="shared" si="119"/>
        <v>0</v>
      </c>
      <c r="O1101" s="8">
        <f t="shared" si="120"/>
        <v>1980</v>
      </c>
      <c r="P1101" s="8">
        <f t="shared" si="121"/>
        <v>1980</v>
      </c>
      <c r="Q1101" s="8">
        <f t="shared" si="122"/>
        <v>0</v>
      </c>
      <c r="R1101" s="9">
        <f t="shared" si="123"/>
        <v>1980</v>
      </c>
      <c r="S1101" s="10">
        <f t="shared" si="124"/>
        <v>165</v>
      </c>
      <c r="T1101">
        <v>165</v>
      </c>
      <c r="U1101">
        <f t="shared" si="125"/>
        <v>0</v>
      </c>
    </row>
    <row r="1102" spans="1:21" ht="14.25" customHeight="1" x14ac:dyDescent="0.35">
      <c r="A1102" s="6" t="s">
        <v>3065</v>
      </c>
      <c r="B1102" s="6" t="s">
        <v>3066</v>
      </c>
      <c r="C1102" s="6" t="s">
        <v>3067</v>
      </c>
      <c r="D1102" s="6" t="s">
        <v>22</v>
      </c>
      <c r="E1102" s="7" t="s">
        <v>23</v>
      </c>
      <c r="F1102" s="6">
        <v>85226</v>
      </c>
      <c r="G1102" s="6" t="s">
        <v>24</v>
      </c>
      <c r="H1102" s="6" t="s">
        <v>25</v>
      </c>
      <c r="I1102" s="6" t="s">
        <v>26</v>
      </c>
      <c r="J1102" s="6" t="b">
        <v>0</v>
      </c>
      <c r="K1102" s="6" t="s">
        <v>27</v>
      </c>
      <c r="L1102" s="6">
        <v>0</v>
      </c>
      <c r="M1102" s="6">
        <v>165</v>
      </c>
      <c r="N1102" s="8" t="str">
        <f t="shared" si="119"/>
        <v>0</v>
      </c>
      <c r="O1102" s="8">
        <f t="shared" si="120"/>
        <v>1980</v>
      </c>
      <c r="P1102" s="8">
        <f t="shared" si="121"/>
        <v>1980</v>
      </c>
      <c r="Q1102" s="8">
        <f t="shared" si="122"/>
        <v>0</v>
      </c>
      <c r="R1102" s="9">
        <f t="shared" si="123"/>
        <v>1980</v>
      </c>
      <c r="S1102" s="10">
        <f t="shared" si="124"/>
        <v>165</v>
      </c>
      <c r="T1102">
        <v>165</v>
      </c>
      <c r="U1102">
        <f t="shared" si="125"/>
        <v>0</v>
      </c>
    </row>
    <row r="1103" spans="1:21" ht="14.25" customHeight="1" x14ac:dyDescent="0.35">
      <c r="A1103" s="6" t="s">
        <v>3068</v>
      </c>
      <c r="B1103" s="6" t="s">
        <v>3069</v>
      </c>
      <c r="C1103" s="6" t="s">
        <v>3070</v>
      </c>
      <c r="D1103" s="6" t="s">
        <v>22</v>
      </c>
      <c r="E1103" s="7" t="s">
        <v>23</v>
      </c>
      <c r="F1103" s="6">
        <v>85286</v>
      </c>
      <c r="G1103" s="6" t="s">
        <v>125</v>
      </c>
      <c r="H1103" s="6" t="s">
        <v>126</v>
      </c>
      <c r="J1103" s="6" t="b">
        <v>0</v>
      </c>
      <c r="K1103" s="6" t="s">
        <v>27</v>
      </c>
      <c r="L1103" s="6">
        <v>0</v>
      </c>
      <c r="M1103" s="6">
        <v>165</v>
      </c>
      <c r="N1103" s="8" t="str">
        <f t="shared" si="119"/>
        <v>0</v>
      </c>
      <c r="O1103" s="8">
        <f t="shared" si="120"/>
        <v>1980</v>
      </c>
      <c r="P1103" s="8">
        <f t="shared" si="121"/>
        <v>1980</v>
      </c>
      <c r="Q1103" s="8">
        <f t="shared" si="122"/>
        <v>0</v>
      </c>
      <c r="R1103" s="9">
        <f t="shared" si="123"/>
        <v>1980</v>
      </c>
      <c r="S1103" s="10">
        <f t="shared" si="124"/>
        <v>165</v>
      </c>
      <c r="T1103">
        <v>165</v>
      </c>
      <c r="U1103">
        <f t="shared" si="125"/>
        <v>0</v>
      </c>
    </row>
    <row r="1104" spans="1:21" ht="14.25" customHeight="1" x14ac:dyDescent="0.35">
      <c r="A1104" s="6" t="s">
        <v>3071</v>
      </c>
      <c r="B1104" s="6" t="s">
        <v>3072</v>
      </c>
      <c r="C1104" s="6" t="s">
        <v>3073</v>
      </c>
      <c r="D1104" s="6" t="s">
        <v>44</v>
      </c>
      <c r="E1104" s="7" t="s">
        <v>23</v>
      </c>
      <c r="F1104" s="6">
        <v>85086</v>
      </c>
      <c r="G1104" s="6" t="s">
        <v>32</v>
      </c>
      <c r="H1104" s="6" t="s">
        <v>50</v>
      </c>
      <c r="I1104" s="6" t="s">
        <v>61</v>
      </c>
      <c r="J1104" s="6" t="b">
        <v>0</v>
      </c>
      <c r="K1104" s="6" t="s">
        <v>27</v>
      </c>
      <c r="L1104" s="6">
        <v>0</v>
      </c>
      <c r="M1104" s="6">
        <v>165</v>
      </c>
      <c r="N1104" s="8" t="str">
        <f t="shared" si="119"/>
        <v>0</v>
      </c>
      <c r="O1104" s="8">
        <f t="shared" si="120"/>
        <v>1980</v>
      </c>
      <c r="P1104" s="8">
        <f t="shared" si="121"/>
        <v>1980</v>
      </c>
      <c r="Q1104" s="8">
        <f t="shared" si="122"/>
        <v>0</v>
      </c>
      <c r="R1104" s="9">
        <f t="shared" si="123"/>
        <v>1980</v>
      </c>
      <c r="S1104" s="10">
        <f t="shared" si="124"/>
        <v>165</v>
      </c>
      <c r="T1104">
        <v>165</v>
      </c>
      <c r="U1104">
        <f t="shared" si="125"/>
        <v>0</v>
      </c>
    </row>
    <row r="1105" spans="1:21" ht="14.25" customHeight="1" x14ac:dyDescent="0.35">
      <c r="A1105" s="6" t="s">
        <v>3074</v>
      </c>
      <c r="B1105" s="6" t="s">
        <v>3075</v>
      </c>
      <c r="C1105" s="6" t="s">
        <v>3076</v>
      </c>
      <c r="D1105" s="6" t="s">
        <v>98</v>
      </c>
      <c r="E1105" s="7" t="s">
        <v>23</v>
      </c>
      <c r="F1105" s="6">
        <v>85122</v>
      </c>
      <c r="G1105" s="6" t="s">
        <v>87</v>
      </c>
      <c r="H1105" s="6" t="s">
        <v>88</v>
      </c>
      <c r="I1105" s="6" t="s">
        <v>57</v>
      </c>
      <c r="J1105" s="6" t="b">
        <v>0</v>
      </c>
      <c r="K1105" s="6" t="s">
        <v>27</v>
      </c>
      <c r="L1105" s="6">
        <v>0</v>
      </c>
      <c r="M1105" s="6">
        <v>165</v>
      </c>
      <c r="N1105" s="8" t="str">
        <f t="shared" si="119"/>
        <v>0</v>
      </c>
      <c r="O1105" s="8">
        <f t="shared" si="120"/>
        <v>1980</v>
      </c>
      <c r="P1105" s="8">
        <f t="shared" si="121"/>
        <v>1980</v>
      </c>
      <c r="Q1105" s="8">
        <f t="shared" si="122"/>
        <v>0</v>
      </c>
      <c r="R1105" s="9">
        <f t="shared" si="123"/>
        <v>1980</v>
      </c>
      <c r="S1105" s="10">
        <f t="shared" si="124"/>
        <v>165</v>
      </c>
      <c r="T1105">
        <v>165</v>
      </c>
      <c r="U1105">
        <f t="shared" si="125"/>
        <v>0</v>
      </c>
    </row>
    <row r="1106" spans="1:21" ht="14.25" customHeight="1" x14ac:dyDescent="0.35">
      <c r="A1106" s="6" t="s">
        <v>3077</v>
      </c>
      <c r="B1106" s="6" t="s">
        <v>3078</v>
      </c>
      <c r="C1106" s="6" t="s">
        <v>3079</v>
      </c>
      <c r="D1106" s="6" t="s">
        <v>363</v>
      </c>
      <c r="E1106" s="7" t="s">
        <v>23</v>
      </c>
      <c r="F1106" s="6">
        <v>85282</v>
      </c>
      <c r="G1106" s="6" t="s">
        <v>364</v>
      </c>
      <c r="H1106" s="6" t="s">
        <v>365</v>
      </c>
      <c r="I1106" s="6" t="s">
        <v>26</v>
      </c>
      <c r="J1106" s="6" t="b">
        <v>0</v>
      </c>
      <c r="K1106" s="6" t="s">
        <v>27</v>
      </c>
      <c r="L1106" s="6">
        <v>0</v>
      </c>
      <c r="M1106" s="6">
        <v>165</v>
      </c>
      <c r="N1106" s="8" t="str">
        <f t="shared" si="119"/>
        <v>0</v>
      </c>
      <c r="O1106" s="8">
        <f t="shared" si="120"/>
        <v>1980</v>
      </c>
      <c r="P1106" s="8">
        <f t="shared" si="121"/>
        <v>1980</v>
      </c>
      <c r="Q1106" s="8">
        <f t="shared" si="122"/>
        <v>0</v>
      </c>
      <c r="R1106" s="9">
        <f t="shared" si="123"/>
        <v>1980</v>
      </c>
      <c r="S1106" s="10">
        <f t="shared" si="124"/>
        <v>165</v>
      </c>
      <c r="T1106">
        <v>165</v>
      </c>
      <c r="U1106">
        <f t="shared" si="125"/>
        <v>0</v>
      </c>
    </row>
    <row r="1107" spans="1:21" ht="14.25" customHeight="1" x14ac:dyDescent="0.35">
      <c r="A1107" s="6" t="s">
        <v>3080</v>
      </c>
      <c r="B1107" s="6" t="s">
        <v>3081</v>
      </c>
      <c r="C1107" s="6" t="s">
        <v>3082</v>
      </c>
      <c r="D1107" s="6" t="s">
        <v>44</v>
      </c>
      <c r="E1107" s="7" t="s">
        <v>23</v>
      </c>
      <c r="F1107" s="6">
        <v>85021</v>
      </c>
      <c r="G1107" s="6" t="s">
        <v>72</v>
      </c>
      <c r="H1107" s="6" t="s">
        <v>93</v>
      </c>
      <c r="I1107" s="6" t="s">
        <v>26</v>
      </c>
      <c r="J1107" s="6" t="b">
        <v>0</v>
      </c>
      <c r="K1107" s="6" t="s">
        <v>27</v>
      </c>
      <c r="L1107" s="6">
        <v>0</v>
      </c>
      <c r="M1107" s="6">
        <v>165</v>
      </c>
      <c r="N1107" s="8" t="str">
        <f t="shared" si="119"/>
        <v>0</v>
      </c>
      <c r="O1107" s="8">
        <f t="shared" si="120"/>
        <v>1980</v>
      </c>
      <c r="P1107" s="8">
        <f t="shared" si="121"/>
        <v>1980</v>
      </c>
      <c r="Q1107" s="8">
        <f t="shared" si="122"/>
        <v>0</v>
      </c>
      <c r="R1107" s="9">
        <f t="shared" si="123"/>
        <v>1980</v>
      </c>
      <c r="S1107" s="10">
        <f t="shared" si="124"/>
        <v>165</v>
      </c>
      <c r="T1107">
        <v>165</v>
      </c>
      <c r="U1107">
        <f t="shared" si="125"/>
        <v>0</v>
      </c>
    </row>
    <row r="1108" spans="1:21" ht="14.25" customHeight="1" x14ac:dyDescent="0.35">
      <c r="A1108" s="6" t="s">
        <v>3083</v>
      </c>
      <c r="B1108" s="6" t="s">
        <v>3084</v>
      </c>
      <c r="C1108" s="6" t="s">
        <v>3085</v>
      </c>
      <c r="D1108" s="6" t="s">
        <v>71</v>
      </c>
      <c r="E1108" s="7" t="s">
        <v>23</v>
      </c>
      <c r="F1108" s="6">
        <v>85383</v>
      </c>
      <c r="G1108" s="6" t="s">
        <v>78</v>
      </c>
      <c r="H1108" s="6" t="s">
        <v>73</v>
      </c>
      <c r="I1108" s="6" t="s">
        <v>26</v>
      </c>
      <c r="J1108" s="6" t="b">
        <v>0</v>
      </c>
      <c r="K1108" s="6" t="s">
        <v>27</v>
      </c>
      <c r="L1108" s="6">
        <v>0</v>
      </c>
      <c r="M1108" s="6">
        <v>165</v>
      </c>
      <c r="N1108" s="8" t="str">
        <f t="shared" si="119"/>
        <v>0</v>
      </c>
      <c r="O1108" s="8">
        <f t="shared" si="120"/>
        <v>1980</v>
      </c>
      <c r="P1108" s="8">
        <f t="shared" si="121"/>
        <v>1980</v>
      </c>
      <c r="Q1108" s="8">
        <f t="shared" si="122"/>
        <v>0</v>
      </c>
      <c r="R1108" s="9">
        <f t="shared" si="123"/>
        <v>1980</v>
      </c>
      <c r="S1108" s="10">
        <f t="shared" si="124"/>
        <v>165</v>
      </c>
      <c r="T1108">
        <v>165</v>
      </c>
      <c r="U1108">
        <f t="shared" si="125"/>
        <v>0</v>
      </c>
    </row>
    <row r="1109" spans="1:21" ht="14.25" customHeight="1" x14ac:dyDescent="0.35">
      <c r="A1109" s="6" t="s">
        <v>3086</v>
      </c>
      <c r="B1109" s="6" t="s">
        <v>3087</v>
      </c>
      <c r="C1109" s="6" t="s">
        <v>3088</v>
      </c>
      <c r="D1109" s="6" t="s">
        <v>22</v>
      </c>
      <c r="E1109" s="7" t="s">
        <v>23</v>
      </c>
      <c r="F1109" s="6">
        <v>85249</v>
      </c>
      <c r="G1109" s="6" t="s">
        <v>125</v>
      </c>
      <c r="H1109" s="6" t="s">
        <v>225</v>
      </c>
      <c r="I1109" s="6" t="s">
        <v>26</v>
      </c>
      <c r="J1109" s="6" t="b">
        <v>0</v>
      </c>
      <c r="K1109" s="6" t="s">
        <v>27</v>
      </c>
      <c r="L1109" s="6">
        <v>0</v>
      </c>
      <c r="M1109" s="6">
        <v>165</v>
      </c>
      <c r="N1109" s="8" t="str">
        <f t="shared" si="119"/>
        <v>0</v>
      </c>
      <c r="O1109" s="8">
        <f t="shared" si="120"/>
        <v>1980</v>
      </c>
      <c r="P1109" s="8">
        <f t="shared" si="121"/>
        <v>1980</v>
      </c>
      <c r="Q1109" s="8">
        <f t="shared" si="122"/>
        <v>0</v>
      </c>
      <c r="R1109" s="9">
        <f t="shared" si="123"/>
        <v>1980</v>
      </c>
      <c r="S1109" s="10">
        <f t="shared" si="124"/>
        <v>165</v>
      </c>
      <c r="T1109">
        <v>165</v>
      </c>
      <c r="U1109">
        <f t="shared" si="125"/>
        <v>0</v>
      </c>
    </row>
    <row r="1110" spans="1:21" ht="14.25" customHeight="1" x14ac:dyDescent="0.35">
      <c r="A1110" s="6" t="s">
        <v>3089</v>
      </c>
      <c r="B1110" s="6" t="s">
        <v>3090</v>
      </c>
      <c r="C1110" s="6" t="s">
        <v>3091</v>
      </c>
      <c r="D1110" s="6" t="s">
        <v>363</v>
      </c>
      <c r="E1110" s="7" t="s">
        <v>23</v>
      </c>
      <c r="F1110" s="6">
        <v>85283</v>
      </c>
      <c r="G1110" s="6" t="s">
        <v>364</v>
      </c>
      <c r="H1110" s="6" t="s">
        <v>365</v>
      </c>
      <c r="I1110" s="6" t="s">
        <v>26</v>
      </c>
      <c r="J1110" s="6" t="b">
        <v>0</v>
      </c>
      <c r="K1110" s="6" t="s">
        <v>27</v>
      </c>
      <c r="L1110" s="6">
        <v>0</v>
      </c>
      <c r="M1110" s="6">
        <v>165</v>
      </c>
      <c r="N1110" s="8" t="str">
        <f t="shared" si="119"/>
        <v>0</v>
      </c>
      <c r="O1110" s="8">
        <f t="shared" si="120"/>
        <v>1980</v>
      </c>
      <c r="P1110" s="8">
        <f t="shared" si="121"/>
        <v>1980</v>
      </c>
      <c r="Q1110" s="8">
        <f t="shared" si="122"/>
        <v>0</v>
      </c>
      <c r="R1110" s="9">
        <f t="shared" si="123"/>
        <v>1980</v>
      </c>
      <c r="S1110" s="10">
        <f t="shared" si="124"/>
        <v>165</v>
      </c>
      <c r="T1110">
        <v>165</v>
      </c>
      <c r="U1110">
        <f t="shared" si="125"/>
        <v>0</v>
      </c>
    </row>
    <row r="1111" spans="1:21" ht="14.25" customHeight="1" x14ac:dyDescent="0.35">
      <c r="A1111" s="6" t="s">
        <v>3092</v>
      </c>
      <c r="B1111" s="6" t="s">
        <v>3093</v>
      </c>
      <c r="C1111" s="6" t="s">
        <v>3094</v>
      </c>
      <c r="D1111" s="6" t="s">
        <v>1499</v>
      </c>
      <c r="E1111" s="7" t="s">
        <v>23</v>
      </c>
      <c r="F1111" s="6">
        <v>85086</v>
      </c>
      <c r="G1111" s="6" t="s">
        <v>32</v>
      </c>
      <c r="H1111" s="6" t="s">
        <v>79</v>
      </c>
      <c r="I1111" s="6" t="s">
        <v>40</v>
      </c>
      <c r="J1111" s="6" t="b">
        <v>0</v>
      </c>
      <c r="K1111" s="6" t="s">
        <v>27</v>
      </c>
      <c r="L1111" s="6">
        <v>0</v>
      </c>
      <c r="M1111" s="6">
        <v>165</v>
      </c>
      <c r="N1111" s="8" t="str">
        <f t="shared" si="119"/>
        <v>0</v>
      </c>
      <c r="O1111" s="8">
        <f t="shared" si="120"/>
        <v>1980</v>
      </c>
      <c r="P1111" s="8">
        <f t="shared" si="121"/>
        <v>1980</v>
      </c>
      <c r="Q1111" s="8">
        <f t="shared" si="122"/>
        <v>0</v>
      </c>
      <c r="R1111" s="9">
        <f t="shared" si="123"/>
        <v>1980</v>
      </c>
      <c r="S1111" s="10">
        <f t="shared" si="124"/>
        <v>165</v>
      </c>
      <c r="T1111">
        <v>165</v>
      </c>
      <c r="U1111">
        <f t="shared" si="125"/>
        <v>0</v>
      </c>
    </row>
    <row r="1112" spans="1:21" ht="14.25" customHeight="1" x14ac:dyDescent="0.35">
      <c r="A1112" s="6" t="s">
        <v>3095</v>
      </c>
      <c r="B1112" s="6" t="s">
        <v>3096</v>
      </c>
      <c r="C1112" s="6" t="s">
        <v>3097</v>
      </c>
      <c r="D1112" s="6" t="s">
        <v>31</v>
      </c>
      <c r="E1112" s="7" t="s">
        <v>23</v>
      </c>
      <c r="F1112" s="6">
        <v>85255</v>
      </c>
      <c r="G1112" s="6" t="s">
        <v>45</v>
      </c>
      <c r="H1112" s="6" t="s">
        <v>33</v>
      </c>
      <c r="I1112" s="6" t="s">
        <v>26</v>
      </c>
      <c r="J1112" s="6" t="b">
        <v>0</v>
      </c>
      <c r="K1112" s="6" t="s">
        <v>27</v>
      </c>
      <c r="L1112" s="6">
        <v>0</v>
      </c>
      <c r="M1112" s="6">
        <v>165</v>
      </c>
      <c r="N1112" s="8" t="str">
        <f t="shared" si="119"/>
        <v>0</v>
      </c>
      <c r="O1112" s="8">
        <f t="shared" si="120"/>
        <v>1980</v>
      </c>
      <c r="P1112" s="8">
        <f t="shared" si="121"/>
        <v>1980</v>
      </c>
      <c r="Q1112" s="8">
        <f t="shared" si="122"/>
        <v>0</v>
      </c>
      <c r="R1112" s="9">
        <f t="shared" si="123"/>
        <v>1980</v>
      </c>
      <c r="S1112" s="10">
        <f t="shared" si="124"/>
        <v>165</v>
      </c>
      <c r="T1112">
        <v>165</v>
      </c>
      <c r="U1112">
        <f t="shared" si="125"/>
        <v>0</v>
      </c>
    </row>
    <row r="1113" spans="1:21" ht="14.25" customHeight="1" x14ac:dyDescent="0.35">
      <c r="A1113" s="6" t="s">
        <v>3098</v>
      </c>
      <c r="B1113" s="6" t="s">
        <v>3099</v>
      </c>
      <c r="C1113" s="6" t="s">
        <v>3100</v>
      </c>
      <c r="D1113" s="6" t="s">
        <v>482</v>
      </c>
      <c r="E1113" s="7" t="s">
        <v>23</v>
      </c>
      <c r="F1113" s="6">
        <v>85396</v>
      </c>
      <c r="G1113" s="6" t="s">
        <v>38</v>
      </c>
      <c r="I1113" s="6" t="s">
        <v>26</v>
      </c>
      <c r="J1113" s="6" t="b">
        <v>0</v>
      </c>
      <c r="K1113" s="6" t="s">
        <v>27</v>
      </c>
      <c r="L1113" s="6">
        <v>0</v>
      </c>
      <c r="M1113" s="6">
        <v>165</v>
      </c>
      <c r="N1113" s="8" t="str">
        <f t="shared" si="119"/>
        <v>0</v>
      </c>
      <c r="O1113" s="8">
        <f t="shared" si="120"/>
        <v>1980</v>
      </c>
      <c r="P1113" s="8">
        <f t="shared" si="121"/>
        <v>1980</v>
      </c>
      <c r="Q1113" s="8">
        <f t="shared" si="122"/>
        <v>0</v>
      </c>
      <c r="R1113" s="9">
        <f t="shared" si="123"/>
        <v>1980</v>
      </c>
      <c r="S1113" s="10">
        <f t="shared" si="124"/>
        <v>165</v>
      </c>
      <c r="T1113">
        <v>165</v>
      </c>
      <c r="U1113">
        <f t="shared" si="125"/>
        <v>0</v>
      </c>
    </row>
    <row r="1114" spans="1:21" ht="14.25" customHeight="1" x14ac:dyDescent="0.35">
      <c r="A1114" s="6" t="s">
        <v>3101</v>
      </c>
      <c r="B1114" s="6" t="s">
        <v>3102</v>
      </c>
      <c r="C1114" s="6" t="s">
        <v>3103</v>
      </c>
      <c r="D1114" s="6" t="s">
        <v>65</v>
      </c>
      <c r="E1114" s="7" t="s">
        <v>23</v>
      </c>
      <c r="F1114" s="6">
        <v>85213</v>
      </c>
      <c r="G1114" s="6" t="s">
        <v>66</v>
      </c>
      <c r="H1114" s="6" t="s">
        <v>1047</v>
      </c>
      <c r="I1114" s="6" t="s">
        <v>26</v>
      </c>
      <c r="J1114" s="6" t="b">
        <v>0</v>
      </c>
      <c r="K1114" s="6" t="s">
        <v>27</v>
      </c>
      <c r="L1114" s="6">
        <v>0</v>
      </c>
      <c r="M1114" s="6">
        <v>165</v>
      </c>
      <c r="N1114" s="8" t="str">
        <f t="shared" si="119"/>
        <v>0</v>
      </c>
      <c r="O1114" s="8">
        <f t="shared" si="120"/>
        <v>1980</v>
      </c>
      <c r="P1114" s="8">
        <f t="shared" si="121"/>
        <v>1980</v>
      </c>
      <c r="Q1114" s="8">
        <f t="shared" si="122"/>
        <v>0</v>
      </c>
      <c r="R1114" s="9">
        <f t="shared" si="123"/>
        <v>1980</v>
      </c>
      <c r="S1114" s="10">
        <f t="shared" si="124"/>
        <v>165</v>
      </c>
      <c r="T1114">
        <v>165</v>
      </c>
      <c r="U1114">
        <f t="shared" si="125"/>
        <v>0</v>
      </c>
    </row>
    <row r="1115" spans="1:21" ht="14.25" customHeight="1" x14ac:dyDescent="0.35">
      <c r="A1115" s="6" t="s">
        <v>3104</v>
      </c>
      <c r="B1115" s="6" t="s">
        <v>3105</v>
      </c>
      <c r="C1115" s="6" t="s">
        <v>3106</v>
      </c>
      <c r="D1115" s="6" t="s">
        <v>71</v>
      </c>
      <c r="E1115" s="7" t="s">
        <v>23</v>
      </c>
      <c r="F1115" s="6">
        <v>85383</v>
      </c>
      <c r="G1115" s="6" t="s">
        <v>78</v>
      </c>
      <c r="H1115" s="6" t="s">
        <v>2297</v>
      </c>
      <c r="I1115" s="6" t="s">
        <v>61</v>
      </c>
      <c r="J1115" s="6" t="b">
        <v>0</v>
      </c>
      <c r="K1115" s="6" t="s">
        <v>27</v>
      </c>
      <c r="L1115" s="6">
        <v>0</v>
      </c>
      <c r="M1115" s="6">
        <v>165</v>
      </c>
      <c r="N1115" s="8" t="str">
        <f t="shared" si="119"/>
        <v>0</v>
      </c>
      <c r="O1115" s="8">
        <f t="shared" si="120"/>
        <v>1980</v>
      </c>
      <c r="P1115" s="8">
        <f t="shared" si="121"/>
        <v>1980</v>
      </c>
      <c r="Q1115" s="8">
        <f t="shared" si="122"/>
        <v>0</v>
      </c>
      <c r="R1115" s="9">
        <f t="shared" si="123"/>
        <v>1980</v>
      </c>
      <c r="S1115" s="10">
        <f t="shared" si="124"/>
        <v>165</v>
      </c>
      <c r="T1115">
        <v>165</v>
      </c>
      <c r="U1115">
        <f t="shared" si="125"/>
        <v>0</v>
      </c>
    </row>
    <row r="1116" spans="1:21" ht="14.25" customHeight="1" x14ac:dyDescent="0.35">
      <c r="A1116" s="6" t="s">
        <v>3107</v>
      </c>
      <c r="B1116" s="6" t="s">
        <v>3108</v>
      </c>
      <c r="C1116" s="6" t="s">
        <v>3109</v>
      </c>
      <c r="D1116" s="6" t="s">
        <v>71</v>
      </c>
      <c r="E1116" s="7" t="s">
        <v>23</v>
      </c>
      <c r="F1116" s="6">
        <v>85381</v>
      </c>
      <c r="G1116" s="6" t="s">
        <v>78</v>
      </c>
      <c r="H1116" s="6" t="s">
        <v>79</v>
      </c>
      <c r="I1116" s="6" t="s">
        <v>110</v>
      </c>
      <c r="J1116" s="6" t="b">
        <v>0</v>
      </c>
      <c r="K1116" s="6" t="s">
        <v>27</v>
      </c>
      <c r="L1116" s="6">
        <v>0</v>
      </c>
      <c r="M1116" s="6">
        <v>165</v>
      </c>
      <c r="N1116" s="8" t="str">
        <f t="shared" si="119"/>
        <v>0</v>
      </c>
      <c r="O1116" s="8">
        <f t="shared" si="120"/>
        <v>1980</v>
      </c>
      <c r="P1116" s="8">
        <f t="shared" si="121"/>
        <v>1980</v>
      </c>
      <c r="Q1116" s="8">
        <f t="shared" si="122"/>
        <v>0</v>
      </c>
      <c r="R1116" s="9">
        <f t="shared" si="123"/>
        <v>1980</v>
      </c>
      <c r="S1116" s="10">
        <f t="shared" si="124"/>
        <v>165</v>
      </c>
      <c r="T1116">
        <v>165</v>
      </c>
      <c r="U1116">
        <f t="shared" si="125"/>
        <v>0</v>
      </c>
    </row>
    <row r="1117" spans="1:21" ht="14.25" customHeight="1" x14ac:dyDescent="0.35">
      <c r="A1117" s="6" t="s">
        <v>3110</v>
      </c>
      <c r="B1117" s="6" t="s">
        <v>3111</v>
      </c>
      <c r="C1117" s="6" t="s">
        <v>3112</v>
      </c>
      <c r="D1117" s="6" t="s">
        <v>31</v>
      </c>
      <c r="E1117" s="7" t="s">
        <v>23</v>
      </c>
      <c r="F1117" s="6">
        <v>85258</v>
      </c>
      <c r="G1117" s="6" t="s">
        <v>45</v>
      </c>
      <c r="H1117" s="6" t="s">
        <v>33</v>
      </c>
      <c r="I1117" s="6" t="s">
        <v>26</v>
      </c>
      <c r="J1117" s="6" t="b">
        <v>0</v>
      </c>
      <c r="K1117" s="6" t="s">
        <v>27</v>
      </c>
      <c r="L1117" s="6">
        <v>0</v>
      </c>
      <c r="M1117" s="6">
        <v>165</v>
      </c>
      <c r="N1117" s="8" t="str">
        <f t="shared" si="119"/>
        <v>0</v>
      </c>
      <c r="O1117" s="8">
        <f t="shared" si="120"/>
        <v>1980</v>
      </c>
      <c r="P1117" s="8">
        <f t="shared" si="121"/>
        <v>1980</v>
      </c>
      <c r="Q1117" s="8">
        <f t="shared" si="122"/>
        <v>0</v>
      </c>
      <c r="R1117" s="9">
        <f t="shared" si="123"/>
        <v>1980</v>
      </c>
      <c r="S1117" s="10">
        <f t="shared" si="124"/>
        <v>165</v>
      </c>
      <c r="T1117">
        <v>165</v>
      </c>
      <c r="U1117">
        <f t="shared" si="125"/>
        <v>0</v>
      </c>
    </row>
    <row r="1118" spans="1:21" ht="14.25" customHeight="1" x14ac:dyDescent="0.35">
      <c r="A1118" s="6" t="s">
        <v>3113</v>
      </c>
      <c r="B1118" s="6" t="s">
        <v>3114</v>
      </c>
      <c r="C1118" s="6" t="s">
        <v>3115</v>
      </c>
      <c r="D1118" s="6" t="s">
        <v>22</v>
      </c>
      <c r="E1118" s="7" t="s">
        <v>23</v>
      </c>
      <c r="F1118" s="6">
        <v>85286</v>
      </c>
      <c r="G1118" s="6" t="s">
        <v>125</v>
      </c>
      <c r="H1118" s="6" t="s">
        <v>225</v>
      </c>
      <c r="I1118" s="6" t="s">
        <v>26</v>
      </c>
      <c r="J1118" s="6" t="b">
        <v>0</v>
      </c>
      <c r="K1118" s="6" t="s">
        <v>27</v>
      </c>
      <c r="L1118" s="6">
        <v>0</v>
      </c>
      <c r="M1118" s="6">
        <v>165</v>
      </c>
      <c r="N1118" s="8" t="str">
        <f t="shared" si="119"/>
        <v>0</v>
      </c>
      <c r="O1118" s="8">
        <f t="shared" si="120"/>
        <v>1980</v>
      </c>
      <c r="P1118" s="8">
        <f t="shared" si="121"/>
        <v>1980</v>
      </c>
      <c r="Q1118" s="8">
        <f t="shared" si="122"/>
        <v>0</v>
      </c>
      <c r="R1118" s="9">
        <f t="shared" si="123"/>
        <v>1980</v>
      </c>
      <c r="S1118" s="10">
        <f t="shared" si="124"/>
        <v>165</v>
      </c>
      <c r="T1118">
        <v>165</v>
      </c>
      <c r="U1118">
        <f t="shared" si="125"/>
        <v>0</v>
      </c>
    </row>
    <row r="1119" spans="1:21" ht="14.25" customHeight="1" x14ac:dyDescent="0.35">
      <c r="A1119" s="6" t="s">
        <v>3116</v>
      </c>
      <c r="B1119" s="6" t="s">
        <v>3117</v>
      </c>
      <c r="C1119" s="6" t="s">
        <v>3118</v>
      </c>
      <c r="D1119" s="6" t="s">
        <v>1207</v>
      </c>
      <c r="E1119" s="7" t="s">
        <v>23</v>
      </c>
      <c r="F1119" s="6">
        <v>85118</v>
      </c>
      <c r="G1119" s="6" t="s">
        <v>66</v>
      </c>
      <c r="I1119" s="6" t="s">
        <v>61</v>
      </c>
      <c r="J1119" s="6" t="b">
        <v>0</v>
      </c>
      <c r="K1119" s="6" t="s">
        <v>27</v>
      </c>
      <c r="L1119" s="6">
        <v>0</v>
      </c>
      <c r="M1119" s="6">
        <v>165</v>
      </c>
      <c r="N1119" s="8" t="str">
        <f t="shared" si="119"/>
        <v>0</v>
      </c>
      <c r="O1119" s="8">
        <f t="shared" si="120"/>
        <v>1980</v>
      </c>
      <c r="P1119" s="8">
        <f t="shared" si="121"/>
        <v>1980</v>
      </c>
      <c r="Q1119" s="8">
        <f t="shared" si="122"/>
        <v>0</v>
      </c>
      <c r="R1119" s="9">
        <f t="shared" si="123"/>
        <v>1980</v>
      </c>
      <c r="S1119" s="10">
        <f t="shared" si="124"/>
        <v>165</v>
      </c>
      <c r="T1119">
        <v>165</v>
      </c>
      <c r="U1119">
        <f t="shared" si="125"/>
        <v>0</v>
      </c>
    </row>
    <row r="1120" spans="1:21" ht="14.25" customHeight="1" x14ac:dyDescent="0.35">
      <c r="A1120" s="6" t="s">
        <v>3119</v>
      </c>
      <c r="B1120" s="6" t="s">
        <v>3120</v>
      </c>
      <c r="C1120" s="6" t="s">
        <v>3121</v>
      </c>
      <c r="D1120" s="6" t="s">
        <v>267</v>
      </c>
      <c r="E1120" s="7" t="s">
        <v>23</v>
      </c>
      <c r="F1120" s="6">
        <v>85388</v>
      </c>
      <c r="G1120" s="6" t="s">
        <v>78</v>
      </c>
      <c r="H1120" s="6" t="s">
        <v>281</v>
      </c>
      <c r="I1120" s="6" t="s">
        <v>26</v>
      </c>
      <c r="J1120" s="6" t="b">
        <v>0</v>
      </c>
      <c r="K1120" s="6" t="s">
        <v>27</v>
      </c>
      <c r="L1120" s="6">
        <v>0</v>
      </c>
      <c r="M1120" s="6">
        <v>165</v>
      </c>
      <c r="N1120" s="8" t="str">
        <f t="shared" si="119"/>
        <v>0</v>
      </c>
      <c r="O1120" s="8">
        <f t="shared" si="120"/>
        <v>1980</v>
      </c>
      <c r="P1120" s="8">
        <f t="shared" si="121"/>
        <v>1980</v>
      </c>
      <c r="Q1120" s="8">
        <f t="shared" si="122"/>
        <v>0</v>
      </c>
      <c r="R1120" s="9">
        <f t="shared" si="123"/>
        <v>1980</v>
      </c>
      <c r="S1120" s="10">
        <f t="shared" si="124"/>
        <v>165</v>
      </c>
      <c r="T1120">
        <v>165</v>
      </c>
      <c r="U1120">
        <f t="shared" si="125"/>
        <v>0</v>
      </c>
    </row>
    <row r="1121" spans="1:21" ht="14.25" customHeight="1" x14ac:dyDescent="0.35">
      <c r="A1121" s="6" t="s">
        <v>3122</v>
      </c>
      <c r="B1121" s="6" t="s">
        <v>3123</v>
      </c>
      <c r="C1121" s="6" t="s">
        <v>3124</v>
      </c>
      <c r="D1121" s="6" t="s">
        <v>37</v>
      </c>
      <c r="E1121" s="7" t="s">
        <v>23</v>
      </c>
      <c r="F1121" s="6">
        <v>85392</v>
      </c>
      <c r="G1121" s="6" t="s">
        <v>38</v>
      </c>
      <c r="H1121" s="6" t="s">
        <v>268</v>
      </c>
      <c r="I1121" s="6" t="s">
        <v>26</v>
      </c>
      <c r="J1121" s="6" t="b">
        <v>0</v>
      </c>
      <c r="K1121" s="6" t="s">
        <v>27</v>
      </c>
      <c r="L1121" s="6">
        <v>0</v>
      </c>
      <c r="M1121" s="6">
        <v>165</v>
      </c>
      <c r="N1121" s="8" t="str">
        <f t="shared" si="119"/>
        <v>0</v>
      </c>
      <c r="O1121" s="8">
        <f t="shared" si="120"/>
        <v>1980</v>
      </c>
      <c r="P1121" s="8">
        <f t="shared" si="121"/>
        <v>1980</v>
      </c>
      <c r="Q1121" s="8">
        <f t="shared" si="122"/>
        <v>0</v>
      </c>
      <c r="R1121" s="9">
        <f t="shared" si="123"/>
        <v>1980</v>
      </c>
      <c r="S1121" s="10">
        <f t="shared" si="124"/>
        <v>165</v>
      </c>
      <c r="T1121">
        <v>165</v>
      </c>
      <c r="U1121">
        <f t="shared" si="125"/>
        <v>0</v>
      </c>
    </row>
    <row r="1122" spans="1:21" ht="14.25" customHeight="1" x14ac:dyDescent="0.35">
      <c r="A1122" s="6" t="s">
        <v>3125</v>
      </c>
      <c r="B1122" s="6" t="s">
        <v>3126</v>
      </c>
      <c r="C1122" s="6" t="s">
        <v>3127</v>
      </c>
      <c r="D1122" s="6" t="s">
        <v>98</v>
      </c>
      <c r="E1122" s="7" t="s">
        <v>23</v>
      </c>
      <c r="F1122" s="6">
        <v>85122</v>
      </c>
      <c r="G1122" s="6" t="s">
        <v>87</v>
      </c>
      <c r="H1122" s="6" t="s">
        <v>109</v>
      </c>
      <c r="I1122" s="6" t="s">
        <v>57</v>
      </c>
      <c r="J1122" s="6" t="b">
        <v>0</v>
      </c>
      <c r="K1122" s="6" t="s">
        <v>27</v>
      </c>
      <c r="L1122" s="6">
        <v>0</v>
      </c>
      <c r="M1122" s="6">
        <v>165</v>
      </c>
      <c r="N1122" s="8" t="str">
        <f t="shared" si="119"/>
        <v>0</v>
      </c>
      <c r="O1122" s="8">
        <f t="shared" si="120"/>
        <v>1980</v>
      </c>
      <c r="P1122" s="8">
        <f t="shared" si="121"/>
        <v>1980</v>
      </c>
      <c r="Q1122" s="8">
        <f t="shared" si="122"/>
        <v>0</v>
      </c>
      <c r="R1122" s="9">
        <f t="shared" si="123"/>
        <v>1980</v>
      </c>
      <c r="S1122" s="10">
        <f t="shared" si="124"/>
        <v>165</v>
      </c>
      <c r="T1122">
        <v>165</v>
      </c>
      <c r="U1122">
        <f t="shared" si="125"/>
        <v>0</v>
      </c>
    </row>
    <row r="1123" spans="1:21" ht="14.25" customHeight="1" x14ac:dyDescent="0.35">
      <c r="A1123" s="6" t="s">
        <v>3128</v>
      </c>
      <c r="B1123" s="6" t="s">
        <v>3129</v>
      </c>
      <c r="C1123" s="6" t="s">
        <v>3130</v>
      </c>
      <c r="D1123" s="6" t="s">
        <v>44</v>
      </c>
      <c r="E1123" s="7" t="s">
        <v>23</v>
      </c>
      <c r="F1123" s="6">
        <v>85050</v>
      </c>
      <c r="G1123" s="6" t="s">
        <v>32</v>
      </c>
      <c r="H1123" s="6" t="s">
        <v>169</v>
      </c>
      <c r="I1123" s="6" t="s">
        <v>40</v>
      </c>
      <c r="J1123" s="6" t="b">
        <v>0</v>
      </c>
      <c r="K1123" s="6" t="s">
        <v>27</v>
      </c>
      <c r="L1123" s="6">
        <v>0</v>
      </c>
      <c r="M1123" s="6">
        <v>165</v>
      </c>
      <c r="N1123" s="8" t="str">
        <f t="shared" si="119"/>
        <v>0</v>
      </c>
      <c r="O1123" s="8">
        <f t="shared" si="120"/>
        <v>1980</v>
      </c>
      <c r="P1123" s="8">
        <f t="shared" si="121"/>
        <v>1980</v>
      </c>
      <c r="Q1123" s="8">
        <f t="shared" si="122"/>
        <v>0</v>
      </c>
      <c r="R1123" s="9">
        <f t="shared" si="123"/>
        <v>1980</v>
      </c>
      <c r="S1123" s="10">
        <f t="shared" si="124"/>
        <v>165</v>
      </c>
      <c r="T1123">
        <v>165</v>
      </c>
      <c r="U1123">
        <f t="shared" si="125"/>
        <v>0</v>
      </c>
    </row>
    <row r="1124" spans="1:21" ht="14.25" customHeight="1" x14ac:dyDescent="0.35">
      <c r="A1124" s="6" t="s">
        <v>3131</v>
      </c>
      <c r="B1124" s="6" t="s">
        <v>3132</v>
      </c>
      <c r="C1124" s="6" t="s">
        <v>3133</v>
      </c>
      <c r="D1124" s="6" t="s">
        <v>165</v>
      </c>
      <c r="E1124" s="7" t="s">
        <v>23</v>
      </c>
      <c r="F1124" s="6">
        <v>85234</v>
      </c>
      <c r="G1124" s="6" t="s">
        <v>125</v>
      </c>
      <c r="H1124" s="6" t="s">
        <v>126</v>
      </c>
      <c r="I1124" s="6" t="s">
        <v>26</v>
      </c>
      <c r="J1124" s="6" t="b">
        <v>0</v>
      </c>
      <c r="K1124" s="6" t="s">
        <v>27</v>
      </c>
      <c r="L1124" s="6">
        <v>0</v>
      </c>
      <c r="M1124" s="6">
        <v>165</v>
      </c>
      <c r="N1124" s="8" t="str">
        <f t="shared" si="119"/>
        <v>0</v>
      </c>
      <c r="O1124" s="8">
        <f t="shared" si="120"/>
        <v>1980</v>
      </c>
      <c r="P1124" s="8">
        <f t="shared" si="121"/>
        <v>1980</v>
      </c>
      <c r="Q1124" s="8">
        <f t="shared" si="122"/>
        <v>0</v>
      </c>
      <c r="R1124" s="9">
        <f t="shared" si="123"/>
        <v>1980</v>
      </c>
      <c r="S1124" s="10">
        <f t="shared" si="124"/>
        <v>165</v>
      </c>
      <c r="T1124">
        <v>165</v>
      </c>
      <c r="U1124">
        <f t="shared" si="125"/>
        <v>0</v>
      </c>
    </row>
    <row r="1125" spans="1:21" ht="14.25" customHeight="1" x14ac:dyDescent="0.35">
      <c r="A1125" s="6" t="s">
        <v>3134</v>
      </c>
      <c r="B1125" s="6" t="s">
        <v>3135</v>
      </c>
      <c r="C1125" s="6" t="s">
        <v>3136</v>
      </c>
      <c r="D1125" s="6" t="s">
        <v>65</v>
      </c>
      <c r="E1125" s="7" t="s">
        <v>23</v>
      </c>
      <c r="F1125" s="6">
        <v>85207</v>
      </c>
      <c r="G1125" s="6" t="s">
        <v>66</v>
      </c>
      <c r="H1125" s="6" t="s">
        <v>67</v>
      </c>
      <c r="I1125" s="6" t="s">
        <v>40</v>
      </c>
      <c r="J1125" s="6" t="b">
        <v>0</v>
      </c>
      <c r="K1125" s="6" t="s">
        <v>27</v>
      </c>
      <c r="L1125" s="6">
        <v>0</v>
      </c>
      <c r="M1125" s="6">
        <v>165</v>
      </c>
      <c r="N1125" s="8" t="str">
        <f t="shared" si="119"/>
        <v>0</v>
      </c>
      <c r="O1125" s="8">
        <f t="shared" si="120"/>
        <v>1980</v>
      </c>
      <c r="P1125" s="8">
        <f t="shared" si="121"/>
        <v>1980</v>
      </c>
      <c r="Q1125" s="8">
        <f t="shared" si="122"/>
        <v>0</v>
      </c>
      <c r="R1125" s="9">
        <f t="shared" si="123"/>
        <v>1980</v>
      </c>
      <c r="S1125" s="10">
        <f t="shared" si="124"/>
        <v>165</v>
      </c>
      <c r="T1125">
        <v>165</v>
      </c>
      <c r="U1125">
        <f t="shared" si="125"/>
        <v>0</v>
      </c>
    </row>
    <row r="1126" spans="1:21" ht="14.25" customHeight="1" x14ac:dyDescent="0.35">
      <c r="A1126" s="6" t="s">
        <v>3137</v>
      </c>
      <c r="B1126" s="6" t="s">
        <v>3138</v>
      </c>
      <c r="C1126" s="6" t="s">
        <v>3139</v>
      </c>
      <c r="D1126" s="6" t="s">
        <v>77</v>
      </c>
      <c r="E1126" s="7" t="s">
        <v>23</v>
      </c>
      <c r="F1126" s="6">
        <v>85310</v>
      </c>
      <c r="G1126" s="6" t="s">
        <v>78</v>
      </c>
      <c r="H1126" s="6" t="s">
        <v>268</v>
      </c>
      <c r="I1126" s="6" t="s">
        <v>61</v>
      </c>
      <c r="J1126" s="6" t="b">
        <v>0</v>
      </c>
      <c r="K1126" s="6" t="s">
        <v>27</v>
      </c>
      <c r="L1126" s="6">
        <v>0</v>
      </c>
      <c r="M1126" s="6">
        <v>165</v>
      </c>
      <c r="N1126" s="8" t="str">
        <f t="shared" si="119"/>
        <v>0</v>
      </c>
      <c r="O1126" s="8">
        <f t="shared" si="120"/>
        <v>1980</v>
      </c>
      <c r="P1126" s="8">
        <f t="shared" si="121"/>
        <v>1980</v>
      </c>
      <c r="Q1126" s="8">
        <f t="shared" si="122"/>
        <v>0</v>
      </c>
      <c r="R1126" s="9">
        <f t="shared" si="123"/>
        <v>1980</v>
      </c>
      <c r="S1126" s="10">
        <f t="shared" si="124"/>
        <v>165</v>
      </c>
      <c r="T1126">
        <v>165</v>
      </c>
      <c r="U1126">
        <f t="shared" si="125"/>
        <v>0</v>
      </c>
    </row>
    <row r="1127" spans="1:21" ht="14.25" customHeight="1" x14ac:dyDescent="0.35">
      <c r="A1127" s="6" t="s">
        <v>3140</v>
      </c>
      <c r="B1127" s="6" t="s">
        <v>3141</v>
      </c>
      <c r="C1127" s="6" t="s">
        <v>3142</v>
      </c>
      <c r="D1127" s="6" t="s">
        <v>31</v>
      </c>
      <c r="E1127" s="7" t="s">
        <v>23</v>
      </c>
      <c r="F1127" s="6">
        <v>85250</v>
      </c>
      <c r="G1127" s="6" t="s">
        <v>49</v>
      </c>
      <c r="H1127" s="6" t="s">
        <v>50</v>
      </c>
      <c r="I1127" s="6" t="s">
        <v>26</v>
      </c>
      <c r="J1127" s="6" t="b">
        <v>0</v>
      </c>
      <c r="K1127" s="6" t="s">
        <v>27</v>
      </c>
      <c r="L1127" s="6">
        <v>0</v>
      </c>
      <c r="M1127" s="6">
        <v>165</v>
      </c>
      <c r="N1127" s="8" t="str">
        <f t="shared" si="119"/>
        <v>0</v>
      </c>
      <c r="O1127" s="8">
        <f t="shared" si="120"/>
        <v>1980</v>
      </c>
      <c r="P1127" s="8">
        <f t="shared" si="121"/>
        <v>1980</v>
      </c>
      <c r="Q1127" s="8">
        <f t="shared" si="122"/>
        <v>0</v>
      </c>
      <c r="R1127" s="9">
        <f t="shared" si="123"/>
        <v>1980</v>
      </c>
      <c r="S1127" s="10">
        <f t="shared" si="124"/>
        <v>165</v>
      </c>
      <c r="T1127">
        <v>165</v>
      </c>
      <c r="U1127">
        <f t="shared" si="125"/>
        <v>0</v>
      </c>
    </row>
    <row r="1128" spans="1:21" ht="14.25" customHeight="1" x14ac:dyDescent="0.35">
      <c r="A1128" s="6" t="s">
        <v>3143</v>
      </c>
      <c r="B1128" s="6" t="s">
        <v>3144</v>
      </c>
      <c r="C1128" s="6" t="s">
        <v>3145</v>
      </c>
      <c r="D1128" s="6" t="s">
        <v>224</v>
      </c>
      <c r="E1128" s="7" t="s">
        <v>23</v>
      </c>
      <c r="F1128" s="6">
        <v>85248</v>
      </c>
      <c r="G1128" s="6" t="s">
        <v>125</v>
      </c>
      <c r="H1128" s="6" t="s">
        <v>225</v>
      </c>
      <c r="I1128" s="6" t="s">
        <v>26</v>
      </c>
      <c r="J1128" s="6" t="b">
        <v>0</v>
      </c>
      <c r="K1128" s="6" t="s">
        <v>27</v>
      </c>
      <c r="L1128" s="6">
        <v>0</v>
      </c>
      <c r="M1128" s="6">
        <v>165</v>
      </c>
      <c r="N1128" s="8" t="str">
        <f t="shared" si="119"/>
        <v>0</v>
      </c>
      <c r="O1128" s="8">
        <f t="shared" si="120"/>
        <v>1980</v>
      </c>
      <c r="P1128" s="8">
        <f t="shared" si="121"/>
        <v>1980</v>
      </c>
      <c r="Q1128" s="8">
        <f t="shared" si="122"/>
        <v>0</v>
      </c>
      <c r="R1128" s="9">
        <f t="shared" si="123"/>
        <v>1980</v>
      </c>
      <c r="S1128" s="10">
        <f t="shared" si="124"/>
        <v>165</v>
      </c>
      <c r="T1128">
        <v>165</v>
      </c>
      <c r="U1128">
        <f t="shared" si="125"/>
        <v>0</v>
      </c>
    </row>
    <row r="1129" spans="1:21" ht="14.25" customHeight="1" x14ac:dyDescent="0.35">
      <c r="A1129" s="6" t="s">
        <v>3146</v>
      </c>
      <c r="B1129" s="6" t="s">
        <v>3147</v>
      </c>
      <c r="C1129" s="6" t="s">
        <v>3148</v>
      </c>
      <c r="D1129" s="6" t="s">
        <v>65</v>
      </c>
      <c r="E1129" s="7" t="s">
        <v>23</v>
      </c>
      <c r="F1129" s="6">
        <v>85207</v>
      </c>
      <c r="G1129" s="6" t="s">
        <v>66</v>
      </c>
      <c r="H1129" s="6" t="s">
        <v>67</v>
      </c>
      <c r="I1129" s="6" t="s">
        <v>26</v>
      </c>
      <c r="J1129" s="6" t="b">
        <v>0</v>
      </c>
      <c r="K1129" s="6" t="s">
        <v>27</v>
      </c>
      <c r="L1129" s="6">
        <v>0</v>
      </c>
      <c r="M1129" s="6">
        <v>165</v>
      </c>
      <c r="N1129" s="8" t="str">
        <f t="shared" si="119"/>
        <v>0</v>
      </c>
      <c r="O1129" s="8">
        <f t="shared" si="120"/>
        <v>1980</v>
      </c>
      <c r="P1129" s="8">
        <f t="shared" si="121"/>
        <v>1980</v>
      </c>
      <c r="Q1129" s="8">
        <f t="shared" si="122"/>
        <v>0</v>
      </c>
      <c r="R1129" s="9">
        <f t="shared" si="123"/>
        <v>1980</v>
      </c>
      <c r="S1129" s="10">
        <f t="shared" si="124"/>
        <v>165</v>
      </c>
      <c r="T1129">
        <v>165</v>
      </c>
      <c r="U1129">
        <f t="shared" si="125"/>
        <v>0</v>
      </c>
    </row>
    <row r="1130" spans="1:21" ht="14.25" customHeight="1" x14ac:dyDescent="0.35">
      <c r="A1130" s="6" t="s">
        <v>3149</v>
      </c>
      <c r="B1130" s="6" t="s">
        <v>3150</v>
      </c>
      <c r="C1130" s="6" t="s">
        <v>3151</v>
      </c>
      <c r="D1130" s="6" t="s">
        <v>454</v>
      </c>
      <c r="E1130" s="7" t="s">
        <v>23</v>
      </c>
      <c r="F1130" s="6">
        <v>85395</v>
      </c>
      <c r="G1130" s="6" t="s">
        <v>38</v>
      </c>
      <c r="H1130" s="6" t="s">
        <v>378</v>
      </c>
      <c r="J1130" s="6" t="b">
        <v>0</v>
      </c>
      <c r="K1130" s="6" t="s">
        <v>27</v>
      </c>
      <c r="L1130" s="6">
        <v>0</v>
      </c>
      <c r="M1130" s="6">
        <v>165</v>
      </c>
      <c r="N1130" s="8" t="str">
        <f t="shared" si="119"/>
        <v>0</v>
      </c>
      <c r="O1130" s="8">
        <f t="shared" si="120"/>
        <v>1980</v>
      </c>
      <c r="P1130" s="8">
        <f t="shared" si="121"/>
        <v>1980</v>
      </c>
      <c r="Q1130" s="8">
        <f t="shared" si="122"/>
        <v>0</v>
      </c>
      <c r="R1130" s="9">
        <f t="shared" si="123"/>
        <v>1980</v>
      </c>
      <c r="S1130" s="10">
        <f t="shared" si="124"/>
        <v>165</v>
      </c>
      <c r="T1130">
        <v>165</v>
      </c>
      <c r="U1130">
        <f t="shared" si="125"/>
        <v>0</v>
      </c>
    </row>
    <row r="1131" spans="1:21" ht="14.25" customHeight="1" x14ac:dyDescent="0.35">
      <c r="A1131" s="6" t="s">
        <v>3152</v>
      </c>
      <c r="B1131" s="6" t="s">
        <v>3153</v>
      </c>
      <c r="C1131" s="6" t="s">
        <v>3154</v>
      </c>
      <c r="D1131" s="6" t="s">
        <v>22</v>
      </c>
      <c r="E1131" s="7" t="s">
        <v>23</v>
      </c>
      <c r="F1131" s="6">
        <v>85225</v>
      </c>
      <c r="G1131" s="6" t="s">
        <v>24</v>
      </c>
      <c r="H1131" s="6" t="s">
        <v>25</v>
      </c>
      <c r="J1131" s="6" t="b">
        <v>0</v>
      </c>
      <c r="K1131" s="6" t="s">
        <v>27</v>
      </c>
      <c r="L1131" s="6">
        <v>0</v>
      </c>
      <c r="M1131" s="6">
        <v>165</v>
      </c>
      <c r="N1131" s="8" t="str">
        <f t="shared" si="119"/>
        <v>0</v>
      </c>
      <c r="O1131" s="8">
        <f t="shared" si="120"/>
        <v>1980</v>
      </c>
      <c r="P1131" s="8">
        <f t="shared" si="121"/>
        <v>1980</v>
      </c>
      <c r="Q1131" s="8">
        <f t="shared" si="122"/>
        <v>0</v>
      </c>
      <c r="R1131" s="9">
        <f t="shared" si="123"/>
        <v>1980</v>
      </c>
      <c r="S1131" s="10">
        <f t="shared" si="124"/>
        <v>165</v>
      </c>
      <c r="T1131">
        <v>165</v>
      </c>
      <c r="U1131">
        <f t="shared" si="125"/>
        <v>0</v>
      </c>
    </row>
    <row r="1132" spans="1:21" ht="14.25" customHeight="1" x14ac:dyDescent="0.35">
      <c r="A1132" s="6" t="s">
        <v>3155</v>
      </c>
      <c r="B1132" s="6" t="s">
        <v>3156</v>
      </c>
      <c r="C1132" s="6" t="s">
        <v>3157</v>
      </c>
      <c r="D1132" s="6" t="s">
        <v>44</v>
      </c>
      <c r="E1132" s="7" t="s">
        <v>23</v>
      </c>
      <c r="F1132" s="6">
        <v>85008</v>
      </c>
      <c r="G1132" s="6" t="s">
        <v>49</v>
      </c>
      <c r="H1132" s="6" t="s">
        <v>365</v>
      </c>
      <c r="J1132" s="6" t="b">
        <v>0</v>
      </c>
      <c r="K1132" s="6" t="s">
        <v>27</v>
      </c>
      <c r="L1132" s="6">
        <v>0</v>
      </c>
      <c r="M1132" s="6">
        <v>165</v>
      </c>
      <c r="N1132" s="8" t="str">
        <f t="shared" si="119"/>
        <v>0</v>
      </c>
      <c r="O1132" s="8">
        <f t="shared" si="120"/>
        <v>1980</v>
      </c>
      <c r="P1132" s="8">
        <f t="shared" si="121"/>
        <v>1980</v>
      </c>
      <c r="Q1132" s="8">
        <f t="shared" si="122"/>
        <v>0</v>
      </c>
      <c r="R1132" s="9">
        <f t="shared" si="123"/>
        <v>1980</v>
      </c>
      <c r="S1132" s="10">
        <f t="shared" si="124"/>
        <v>165</v>
      </c>
      <c r="T1132">
        <v>165</v>
      </c>
      <c r="U1132">
        <f t="shared" si="125"/>
        <v>0</v>
      </c>
    </row>
    <row r="1133" spans="1:21" ht="14.25" customHeight="1" x14ac:dyDescent="0.35">
      <c r="A1133" s="6" t="s">
        <v>3158</v>
      </c>
      <c r="B1133" s="6" t="s">
        <v>3159</v>
      </c>
      <c r="C1133" s="6" t="s">
        <v>3160</v>
      </c>
      <c r="D1133" s="6" t="s">
        <v>31</v>
      </c>
      <c r="E1133" s="7" t="s">
        <v>23</v>
      </c>
      <c r="F1133" s="6">
        <v>85255</v>
      </c>
      <c r="G1133" s="6" t="s">
        <v>32</v>
      </c>
      <c r="H1133" s="6" t="s">
        <v>169</v>
      </c>
      <c r="I1133" s="6" t="s">
        <v>26</v>
      </c>
      <c r="J1133" s="6" t="b">
        <v>0</v>
      </c>
      <c r="K1133" s="6" t="s">
        <v>27</v>
      </c>
      <c r="L1133" s="6">
        <v>0</v>
      </c>
      <c r="M1133" s="6">
        <v>165</v>
      </c>
      <c r="N1133" s="8" t="str">
        <f t="shared" si="119"/>
        <v>0</v>
      </c>
      <c r="O1133" s="8">
        <f t="shared" si="120"/>
        <v>1980</v>
      </c>
      <c r="P1133" s="8">
        <f t="shared" si="121"/>
        <v>1980</v>
      </c>
      <c r="Q1133" s="8">
        <f t="shared" si="122"/>
        <v>0</v>
      </c>
      <c r="R1133" s="9">
        <f t="shared" si="123"/>
        <v>1980</v>
      </c>
      <c r="S1133" s="10">
        <f t="shared" si="124"/>
        <v>165</v>
      </c>
      <c r="T1133">
        <v>165</v>
      </c>
      <c r="U1133">
        <f t="shared" si="125"/>
        <v>0</v>
      </c>
    </row>
    <row r="1134" spans="1:21" ht="14.25" customHeight="1" x14ac:dyDescent="0.35">
      <c r="A1134" s="6" t="s">
        <v>3161</v>
      </c>
      <c r="B1134" s="6" t="s">
        <v>3162</v>
      </c>
      <c r="C1134" s="6" t="s">
        <v>3163</v>
      </c>
      <c r="D1134" s="6" t="s">
        <v>2002</v>
      </c>
      <c r="E1134" s="7" t="s">
        <v>23</v>
      </c>
      <c r="F1134" s="6">
        <v>85355</v>
      </c>
      <c r="G1134" s="6" t="s">
        <v>78</v>
      </c>
      <c r="H1134" s="6" t="s">
        <v>281</v>
      </c>
      <c r="I1134" s="6" t="s">
        <v>26</v>
      </c>
      <c r="J1134" s="6" t="b">
        <v>0</v>
      </c>
      <c r="K1134" s="6" t="s">
        <v>27</v>
      </c>
      <c r="L1134" s="6">
        <v>0</v>
      </c>
      <c r="M1134" s="6">
        <v>165</v>
      </c>
      <c r="N1134" s="8" t="str">
        <f t="shared" si="119"/>
        <v>0</v>
      </c>
      <c r="O1134" s="8">
        <f t="shared" si="120"/>
        <v>1980</v>
      </c>
      <c r="P1134" s="8">
        <f t="shared" si="121"/>
        <v>1980</v>
      </c>
      <c r="Q1134" s="8">
        <f t="shared" si="122"/>
        <v>0</v>
      </c>
      <c r="R1134" s="9">
        <f t="shared" si="123"/>
        <v>1980</v>
      </c>
      <c r="S1134" s="10">
        <f t="shared" si="124"/>
        <v>165</v>
      </c>
      <c r="T1134">
        <v>165</v>
      </c>
      <c r="U1134">
        <f t="shared" si="125"/>
        <v>0</v>
      </c>
    </row>
    <row r="1135" spans="1:21" ht="14.25" customHeight="1" x14ac:dyDescent="0.35">
      <c r="A1135" s="6" t="s">
        <v>3164</v>
      </c>
      <c r="B1135" s="6" t="s">
        <v>3165</v>
      </c>
      <c r="C1135" s="6" t="s">
        <v>3166</v>
      </c>
      <c r="D1135" s="6" t="s">
        <v>363</v>
      </c>
      <c r="E1135" s="7" t="s">
        <v>23</v>
      </c>
      <c r="F1135" s="6">
        <v>85284</v>
      </c>
      <c r="G1135" s="6" t="s">
        <v>24</v>
      </c>
      <c r="H1135" s="6" t="s">
        <v>161</v>
      </c>
      <c r="J1135" s="6" t="b">
        <v>0</v>
      </c>
      <c r="K1135" s="6" t="s">
        <v>27</v>
      </c>
      <c r="L1135" s="6">
        <v>0</v>
      </c>
      <c r="M1135" s="6">
        <v>165</v>
      </c>
      <c r="N1135" s="8" t="str">
        <f t="shared" si="119"/>
        <v>0</v>
      </c>
      <c r="O1135" s="8">
        <f t="shared" si="120"/>
        <v>1980</v>
      </c>
      <c r="P1135" s="8">
        <f t="shared" si="121"/>
        <v>1980</v>
      </c>
      <c r="Q1135" s="8">
        <f t="shared" si="122"/>
        <v>0</v>
      </c>
      <c r="R1135" s="9">
        <f t="shared" si="123"/>
        <v>1980</v>
      </c>
      <c r="S1135" s="10">
        <f t="shared" si="124"/>
        <v>165</v>
      </c>
      <c r="T1135">
        <v>165</v>
      </c>
      <c r="U1135">
        <f t="shared" si="125"/>
        <v>0</v>
      </c>
    </row>
    <row r="1136" spans="1:21" ht="14.25" customHeight="1" x14ac:dyDescent="0.35">
      <c r="A1136" s="6" t="s">
        <v>3167</v>
      </c>
      <c r="B1136" s="6" t="s">
        <v>3168</v>
      </c>
      <c r="C1136" s="6" t="s">
        <v>3169</v>
      </c>
      <c r="D1136" s="6" t="s">
        <v>44</v>
      </c>
      <c r="E1136" s="7" t="s">
        <v>23</v>
      </c>
      <c r="F1136" s="6">
        <v>85043</v>
      </c>
      <c r="G1136" s="6" t="s">
        <v>38</v>
      </c>
      <c r="H1136" s="6" t="s">
        <v>73</v>
      </c>
      <c r="I1136" s="6" t="s">
        <v>61</v>
      </c>
      <c r="J1136" s="6" t="b">
        <v>0</v>
      </c>
      <c r="K1136" s="6" t="s">
        <v>27</v>
      </c>
      <c r="L1136" s="6">
        <v>0</v>
      </c>
      <c r="M1136" s="6">
        <v>165</v>
      </c>
      <c r="N1136" s="8" t="str">
        <f t="shared" si="119"/>
        <v>0</v>
      </c>
      <c r="O1136" s="8">
        <f t="shared" si="120"/>
        <v>1980</v>
      </c>
      <c r="P1136" s="8">
        <f t="shared" si="121"/>
        <v>1980</v>
      </c>
      <c r="Q1136" s="8">
        <f t="shared" si="122"/>
        <v>0</v>
      </c>
      <c r="R1136" s="9">
        <f t="shared" si="123"/>
        <v>1980</v>
      </c>
      <c r="S1136" s="10">
        <f t="shared" si="124"/>
        <v>165</v>
      </c>
      <c r="T1136">
        <v>165</v>
      </c>
      <c r="U1136">
        <f t="shared" si="125"/>
        <v>0</v>
      </c>
    </row>
    <row r="1137" spans="1:21" ht="14.25" customHeight="1" x14ac:dyDescent="0.35">
      <c r="A1137" s="6" t="s">
        <v>3170</v>
      </c>
      <c r="B1137" s="6" t="s">
        <v>3171</v>
      </c>
      <c r="C1137" s="6" t="s">
        <v>3172</v>
      </c>
      <c r="D1137" s="6" t="s">
        <v>44</v>
      </c>
      <c r="E1137" s="7" t="s">
        <v>23</v>
      </c>
      <c r="F1137" s="6">
        <v>85037</v>
      </c>
      <c r="G1137" s="6" t="s">
        <v>72</v>
      </c>
      <c r="H1137" s="6" t="s">
        <v>73</v>
      </c>
      <c r="J1137" s="6" t="b">
        <v>0</v>
      </c>
      <c r="K1137" s="6" t="s">
        <v>27</v>
      </c>
      <c r="L1137" s="6">
        <v>0</v>
      </c>
      <c r="M1137" s="6">
        <v>165</v>
      </c>
      <c r="N1137" s="8" t="str">
        <f t="shared" si="119"/>
        <v>0</v>
      </c>
      <c r="O1137" s="8">
        <f t="shared" si="120"/>
        <v>1980</v>
      </c>
      <c r="P1137" s="8">
        <f t="shared" si="121"/>
        <v>1980</v>
      </c>
      <c r="Q1137" s="8">
        <f t="shared" si="122"/>
        <v>0</v>
      </c>
      <c r="R1137" s="9">
        <f t="shared" si="123"/>
        <v>1980</v>
      </c>
      <c r="S1137" s="10">
        <f t="shared" si="124"/>
        <v>165</v>
      </c>
      <c r="T1137">
        <v>165</v>
      </c>
      <c r="U1137">
        <f t="shared" si="125"/>
        <v>0</v>
      </c>
    </row>
    <row r="1138" spans="1:21" ht="14.25" customHeight="1" x14ac:dyDescent="0.35">
      <c r="A1138" s="6" t="s">
        <v>3173</v>
      </c>
      <c r="B1138" s="6" t="s">
        <v>3174</v>
      </c>
      <c r="C1138" s="6" t="s">
        <v>3175</v>
      </c>
      <c r="D1138" s="6" t="s">
        <v>22</v>
      </c>
      <c r="E1138" s="7" t="s">
        <v>23</v>
      </c>
      <c r="F1138" s="6">
        <v>85249</v>
      </c>
      <c r="G1138" s="6" t="s">
        <v>125</v>
      </c>
      <c r="H1138" s="6" t="s">
        <v>126</v>
      </c>
      <c r="J1138" s="6" t="b">
        <v>0</v>
      </c>
      <c r="K1138" s="6" t="s">
        <v>27</v>
      </c>
      <c r="L1138" s="6">
        <v>0</v>
      </c>
      <c r="M1138" s="6">
        <v>165</v>
      </c>
      <c r="N1138" s="8" t="str">
        <f t="shared" si="119"/>
        <v>0</v>
      </c>
      <c r="O1138" s="8">
        <f t="shared" si="120"/>
        <v>1980</v>
      </c>
      <c r="P1138" s="8">
        <f t="shared" si="121"/>
        <v>1980</v>
      </c>
      <c r="Q1138" s="8">
        <f t="shared" si="122"/>
        <v>0</v>
      </c>
      <c r="R1138" s="9">
        <f t="shared" si="123"/>
        <v>1980</v>
      </c>
      <c r="S1138" s="10">
        <f t="shared" si="124"/>
        <v>165</v>
      </c>
      <c r="T1138">
        <v>165</v>
      </c>
      <c r="U1138">
        <f t="shared" si="125"/>
        <v>0</v>
      </c>
    </row>
    <row r="1139" spans="1:21" ht="14.25" customHeight="1" x14ac:dyDescent="0.35">
      <c r="A1139" s="6" t="s">
        <v>3176</v>
      </c>
      <c r="B1139" s="6" t="s">
        <v>3177</v>
      </c>
      <c r="C1139" s="6" t="s">
        <v>3178</v>
      </c>
      <c r="D1139" s="6" t="s">
        <v>71</v>
      </c>
      <c r="E1139" s="7" t="s">
        <v>23</v>
      </c>
      <c r="F1139" s="6">
        <v>85381</v>
      </c>
      <c r="G1139" s="6" t="s">
        <v>78</v>
      </c>
      <c r="H1139" s="6" t="s">
        <v>73</v>
      </c>
      <c r="J1139" s="6" t="b">
        <v>0</v>
      </c>
      <c r="K1139" s="6" t="s">
        <v>27</v>
      </c>
      <c r="L1139" s="6">
        <v>0</v>
      </c>
      <c r="M1139" s="6">
        <v>165</v>
      </c>
      <c r="N1139" s="8" t="str">
        <f t="shared" si="119"/>
        <v>0</v>
      </c>
      <c r="O1139" s="8">
        <f t="shared" si="120"/>
        <v>1980</v>
      </c>
      <c r="P1139" s="8">
        <f t="shared" si="121"/>
        <v>1980</v>
      </c>
      <c r="Q1139" s="8">
        <f t="shared" si="122"/>
        <v>0</v>
      </c>
      <c r="R1139" s="9">
        <f t="shared" si="123"/>
        <v>1980</v>
      </c>
      <c r="S1139" s="10">
        <f t="shared" si="124"/>
        <v>165</v>
      </c>
      <c r="T1139">
        <v>165</v>
      </c>
      <c r="U1139">
        <f t="shared" si="125"/>
        <v>0</v>
      </c>
    </row>
    <row r="1140" spans="1:21" ht="14.25" customHeight="1" x14ac:dyDescent="0.35">
      <c r="A1140" s="6" t="s">
        <v>3179</v>
      </c>
      <c r="B1140" s="6" t="s">
        <v>3180</v>
      </c>
      <c r="C1140" s="6" t="s">
        <v>3181</v>
      </c>
      <c r="D1140" s="6" t="s">
        <v>77</v>
      </c>
      <c r="E1140" s="7" t="s">
        <v>23</v>
      </c>
      <c r="F1140" s="6">
        <v>85308</v>
      </c>
      <c r="G1140" s="6" t="s">
        <v>78</v>
      </c>
      <c r="H1140" s="6" t="s">
        <v>79</v>
      </c>
      <c r="I1140" s="6" t="s">
        <v>110</v>
      </c>
      <c r="J1140" s="6" t="b">
        <v>0</v>
      </c>
      <c r="K1140" s="6" t="s">
        <v>27</v>
      </c>
      <c r="L1140" s="6">
        <v>0</v>
      </c>
      <c r="M1140" s="6">
        <v>165</v>
      </c>
      <c r="N1140" s="8" t="str">
        <f t="shared" si="119"/>
        <v>0</v>
      </c>
      <c r="O1140" s="8">
        <f t="shared" si="120"/>
        <v>1980</v>
      </c>
      <c r="P1140" s="8">
        <f t="shared" si="121"/>
        <v>1980</v>
      </c>
      <c r="Q1140" s="8">
        <f t="shared" si="122"/>
        <v>0</v>
      </c>
      <c r="R1140" s="9">
        <f t="shared" si="123"/>
        <v>1980</v>
      </c>
      <c r="S1140" s="10">
        <f t="shared" si="124"/>
        <v>165</v>
      </c>
      <c r="T1140">
        <v>165</v>
      </c>
      <c r="U1140">
        <f t="shared" si="125"/>
        <v>0</v>
      </c>
    </row>
    <row r="1141" spans="1:21" ht="14.25" customHeight="1" x14ac:dyDescent="0.35">
      <c r="A1141" s="6" t="s">
        <v>3182</v>
      </c>
      <c r="B1141" s="6" t="s">
        <v>3183</v>
      </c>
      <c r="C1141" s="6" t="s">
        <v>3184</v>
      </c>
      <c r="D1141" s="6" t="s">
        <v>267</v>
      </c>
      <c r="E1141" s="7" t="s">
        <v>23</v>
      </c>
      <c r="F1141" s="6">
        <v>85374</v>
      </c>
      <c r="G1141" s="6" t="s">
        <v>78</v>
      </c>
      <c r="H1141" s="6" t="s">
        <v>268</v>
      </c>
      <c r="J1141" s="6" t="b">
        <v>0</v>
      </c>
      <c r="K1141" s="6" t="s">
        <v>27</v>
      </c>
      <c r="L1141" s="6">
        <v>0</v>
      </c>
      <c r="M1141" s="6">
        <v>165</v>
      </c>
      <c r="N1141" s="8" t="str">
        <f t="shared" si="119"/>
        <v>0</v>
      </c>
      <c r="O1141" s="8">
        <f t="shared" si="120"/>
        <v>1980</v>
      </c>
      <c r="P1141" s="8">
        <f t="shared" si="121"/>
        <v>1980</v>
      </c>
      <c r="Q1141" s="8">
        <f t="shared" si="122"/>
        <v>0</v>
      </c>
      <c r="R1141" s="9">
        <f t="shared" si="123"/>
        <v>1980</v>
      </c>
      <c r="S1141" s="10">
        <f t="shared" si="124"/>
        <v>165</v>
      </c>
      <c r="T1141">
        <v>165</v>
      </c>
      <c r="U1141">
        <f t="shared" si="125"/>
        <v>0</v>
      </c>
    </row>
    <row r="1142" spans="1:21" ht="14.25" customHeight="1" x14ac:dyDescent="0.35">
      <c r="A1142" s="6" t="s">
        <v>3185</v>
      </c>
      <c r="B1142" s="6" t="s">
        <v>3186</v>
      </c>
      <c r="C1142" s="6" t="s">
        <v>3187</v>
      </c>
      <c r="D1142" s="6" t="s">
        <v>54</v>
      </c>
      <c r="E1142" s="7" t="s">
        <v>23</v>
      </c>
      <c r="F1142" s="6">
        <v>85715</v>
      </c>
      <c r="G1142" s="6" t="s">
        <v>55</v>
      </c>
      <c r="H1142" s="6" t="s">
        <v>56</v>
      </c>
      <c r="I1142" s="6" t="s">
        <v>61</v>
      </c>
      <c r="J1142" s="6" t="b">
        <v>0</v>
      </c>
      <c r="K1142" s="6" t="s">
        <v>27</v>
      </c>
      <c r="L1142" s="6">
        <v>0</v>
      </c>
      <c r="M1142" s="6">
        <v>165</v>
      </c>
      <c r="N1142" s="8" t="str">
        <f t="shared" si="119"/>
        <v>0</v>
      </c>
      <c r="O1142" s="8">
        <f t="shared" si="120"/>
        <v>1980</v>
      </c>
      <c r="P1142" s="8">
        <f t="shared" si="121"/>
        <v>1980</v>
      </c>
      <c r="Q1142" s="8">
        <f t="shared" si="122"/>
        <v>0</v>
      </c>
      <c r="R1142" s="9">
        <f t="shared" si="123"/>
        <v>1980</v>
      </c>
      <c r="S1142" s="10">
        <f t="shared" si="124"/>
        <v>165</v>
      </c>
      <c r="T1142">
        <v>165</v>
      </c>
      <c r="U1142">
        <f t="shared" si="125"/>
        <v>0</v>
      </c>
    </row>
    <row r="1143" spans="1:21" ht="14.25" customHeight="1" x14ac:dyDescent="0.35">
      <c r="A1143" s="6" t="s">
        <v>3188</v>
      </c>
      <c r="B1143" s="6" t="s">
        <v>3189</v>
      </c>
      <c r="C1143" s="6" t="s">
        <v>3190</v>
      </c>
      <c r="D1143" s="6" t="s">
        <v>71</v>
      </c>
      <c r="E1143" s="7" t="s">
        <v>23</v>
      </c>
      <c r="F1143" s="6">
        <v>85345</v>
      </c>
      <c r="G1143" s="6" t="s">
        <v>78</v>
      </c>
      <c r="H1143" s="6" t="s">
        <v>268</v>
      </c>
      <c r="J1143" s="6" t="b">
        <v>0</v>
      </c>
      <c r="K1143" s="6" t="s">
        <v>27</v>
      </c>
      <c r="L1143" s="6">
        <v>0</v>
      </c>
      <c r="M1143" s="6">
        <v>165</v>
      </c>
      <c r="N1143" s="8" t="str">
        <f t="shared" si="119"/>
        <v>0</v>
      </c>
      <c r="O1143" s="8">
        <f t="shared" si="120"/>
        <v>1980</v>
      </c>
      <c r="P1143" s="8">
        <f t="shared" si="121"/>
        <v>1980</v>
      </c>
      <c r="Q1143" s="8">
        <f t="shared" si="122"/>
        <v>0</v>
      </c>
      <c r="R1143" s="9">
        <f t="shared" si="123"/>
        <v>1980</v>
      </c>
      <c r="S1143" s="10">
        <f t="shared" si="124"/>
        <v>165</v>
      </c>
      <c r="T1143">
        <v>165</v>
      </c>
      <c r="U1143">
        <f t="shared" si="125"/>
        <v>0</v>
      </c>
    </row>
    <row r="1144" spans="1:21" ht="14.25" customHeight="1" x14ac:dyDescent="0.35">
      <c r="A1144" s="6" t="s">
        <v>3191</v>
      </c>
      <c r="B1144" s="6" t="s">
        <v>3192</v>
      </c>
      <c r="C1144" s="6" t="s">
        <v>3193</v>
      </c>
      <c r="D1144" s="6" t="s">
        <v>71</v>
      </c>
      <c r="E1144" s="7" t="s">
        <v>23</v>
      </c>
      <c r="F1144" s="6">
        <v>85383</v>
      </c>
      <c r="G1144" s="6" t="s">
        <v>78</v>
      </c>
      <c r="H1144" s="6" t="s">
        <v>281</v>
      </c>
      <c r="I1144" s="6" t="s">
        <v>26</v>
      </c>
      <c r="J1144" s="6" t="b">
        <v>0</v>
      </c>
      <c r="K1144" s="6" t="s">
        <v>27</v>
      </c>
      <c r="L1144" s="6">
        <v>0</v>
      </c>
      <c r="M1144" s="6">
        <v>165</v>
      </c>
      <c r="N1144" s="8" t="str">
        <f t="shared" si="119"/>
        <v>0</v>
      </c>
      <c r="O1144" s="8">
        <f t="shared" si="120"/>
        <v>1980</v>
      </c>
      <c r="P1144" s="8">
        <f t="shared" si="121"/>
        <v>1980</v>
      </c>
      <c r="Q1144" s="8">
        <f t="shared" si="122"/>
        <v>0</v>
      </c>
      <c r="R1144" s="9">
        <f t="shared" si="123"/>
        <v>1980</v>
      </c>
      <c r="S1144" s="10">
        <f t="shared" si="124"/>
        <v>165</v>
      </c>
      <c r="T1144">
        <v>165</v>
      </c>
      <c r="U1144">
        <f t="shared" si="125"/>
        <v>0</v>
      </c>
    </row>
    <row r="1145" spans="1:21" ht="14.25" customHeight="1" x14ac:dyDescent="0.35">
      <c r="A1145" s="6" t="s">
        <v>3194</v>
      </c>
      <c r="B1145" s="6" t="s">
        <v>3195</v>
      </c>
      <c r="C1145" s="6" t="s">
        <v>3196</v>
      </c>
      <c r="D1145" s="6" t="s">
        <v>22</v>
      </c>
      <c r="E1145" s="7" t="s">
        <v>23</v>
      </c>
      <c r="F1145" s="6">
        <v>85224</v>
      </c>
      <c r="G1145" s="6" t="s">
        <v>24</v>
      </c>
      <c r="H1145" s="6" t="s">
        <v>25</v>
      </c>
      <c r="I1145" s="6" t="s">
        <v>26</v>
      </c>
      <c r="J1145" s="6" t="b">
        <v>0</v>
      </c>
      <c r="K1145" s="6" t="s">
        <v>27</v>
      </c>
      <c r="L1145" s="6">
        <v>0</v>
      </c>
      <c r="M1145" s="6">
        <v>165</v>
      </c>
      <c r="N1145" s="8" t="str">
        <f t="shared" si="119"/>
        <v>0</v>
      </c>
      <c r="O1145" s="8">
        <f t="shared" si="120"/>
        <v>1980</v>
      </c>
      <c r="P1145" s="8">
        <f t="shared" si="121"/>
        <v>1980</v>
      </c>
      <c r="Q1145" s="8">
        <f t="shared" si="122"/>
        <v>0</v>
      </c>
      <c r="R1145" s="9">
        <f t="shared" si="123"/>
        <v>1980</v>
      </c>
      <c r="S1145" s="10">
        <f t="shared" si="124"/>
        <v>165</v>
      </c>
      <c r="T1145">
        <v>165</v>
      </c>
      <c r="U1145">
        <f t="shared" si="125"/>
        <v>0</v>
      </c>
    </row>
    <row r="1146" spans="1:21" ht="14.25" customHeight="1" x14ac:dyDescent="0.35">
      <c r="A1146" s="6" t="s">
        <v>3197</v>
      </c>
      <c r="B1146" s="6" t="s">
        <v>3198</v>
      </c>
      <c r="C1146" s="6" t="s">
        <v>3199</v>
      </c>
      <c r="D1146" s="6" t="s">
        <v>65</v>
      </c>
      <c r="E1146" s="7" t="s">
        <v>23</v>
      </c>
      <c r="F1146" s="6">
        <v>85205</v>
      </c>
      <c r="G1146" s="6" t="s">
        <v>66</v>
      </c>
      <c r="H1146" s="6" t="s">
        <v>67</v>
      </c>
      <c r="I1146" s="6" t="s">
        <v>26</v>
      </c>
      <c r="J1146" s="6" t="b">
        <v>0</v>
      </c>
      <c r="K1146" s="6" t="s">
        <v>27</v>
      </c>
      <c r="L1146" s="6">
        <v>0</v>
      </c>
      <c r="M1146" s="6">
        <v>165</v>
      </c>
      <c r="N1146" s="8" t="str">
        <f t="shared" si="119"/>
        <v>0</v>
      </c>
      <c r="O1146" s="8">
        <f t="shared" si="120"/>
        <v>1980</v>
      </c>
      <c r="P1146" s="8">
        <f t="shared" si="121"/>
        <v>1980</v>
      </c>
      <c r="Q1146" s="8">
        <f t="shared" si="122"/>
        <v>0</v>
      </c>
      <c r="R1146" s="9">
        <f t="shared" si="123"/>
        <v>1980</v>
      </c>
      <c r="S1146" s="10">
        <f t="shared" si="124"/>
        <v>165</v>
      </c>
      <c r="T1146">
        <v>165</v>
      </c>
      <c r="U1146">
        <f t="shared" si="125"/>
        <v>0</v>
      </c>
    </row>
    <row r="1147" spans="1:21" ht="14.25" customHeight="1" x14ac:dyDescent="0.35">
      <c r="A1147" s="6" t="s">
        <v>3200</v>
      </c>
      <c r="B1147" s="6" t="s">
        <v>3201</v>
      </c>
      <c r="C1147" s="6" t="s">
        <v>3202</v>
      </c>
      <c r="D1147" s="6" t="s">
        <v>54</v>
      </c>
      <c r="E1147" s="7" t="s">
        <v>23</v>
      </c>
      <c r="F1147" s="6">
        <v>85705</v>
      </c>
      <c r="G1147" s="6" t="s">
        <v>55</v>
      </c>
      <c r="H1147" s="6" t="s">
        <v>56</v>
      </c>
      <c r="I1147" s="6" t="s">
        <v>40</v>
      </c>
      <c r="J1147" s="6" t="b">
        <v>0</v>
      </c>
      <c r="K1147" s="6" t="s">
        <v>27</v>
      </c>
      <c r="L1147" s="6">
        <v>0</v>
      </c>
      <c r="M1147" s="6">
        <v>165</v>
      </c>
      <c r="N1147" s="8" t="str">
        <f t="shared" si="119"/>
        <v>0</v>
      </c>
      <c r="O1147" s="8">
        <f t="shared" si="120"/>
        <v>1980</v>
      </c>
      <c r="P1147" s="8">
        <f t="shared" si="121"/>
        <v>1980</v>
      </c>
      <c r="Q1147" s="8">
        <f t="shared" si="122"/>
        <v>0</v>
      </c>
      <c r="R1147" s="9">
        <f t="shared" si="123"/>
        <v>1980</v>
      </c>
      <c r="S1147" s="10">
        <f t="shared" si="124"/>
        <v>165</v>
      </c>
      <c r="T1147">
        <v>165</v>
      </c>
      <c r="U1147">
        <f t="shared" si="125"/>
        <v>0</v>
      </c>
    </row>
    <row r="1148" spans="1:21" ht="14.25" customHeight="1" x14ac:dyDescent="0.35">
      <c r="A1148" s="6" t="s">
        <v>3203</v>
      </c>
      <c r="B1148" s="6" t="s">
        <v>3204</v>
      </c>
      <c r="C1148" s="6" t="s">
        <v>3205</v>
      </c>
      <c r="D1148" s="6" t="s">
        <v>77</v>
      </c>
      <c r="E1148" s="7" t="s">
        <v>23</v>
      </c>
      <c r="F1148" s="6">
        <v>85302</v>
      </c>
      <c r="G1148" s="6" t="s">
        <v>72</v>
      </c>
      <c r="H1148" s="6" t="s">
        <v>93</v>
      </c>
      <c r="J1148" s="6" t="b">
        <v>0</v>
      </c>
      <c r="K1148" s="6" t="s">
        <v>27</v>
      </c>
      <c r="L1148" s="6">
        <v>0</v>
      </c>
      <c r="M1148" s="6">
        <v>165</v>
      </c>
      <c r="N1148" s="8" t="str">
        <f t="shared" si="119"/>
        <v>0</v>
      </c>
      <c r="O1148" s="8">
        <f t="shared" si="120"/>
        <v>1980</v>
      </c>
      <c r="P1148" s="8">
        <f t="shared" si="121"/>
        <v>1980</v>
      </c>
      <c r="Q1148" s="8">
        <f t="shared" si="122"/>
        <v>0</v>
      </c>
      <c r="R1148" s="9">
        <f t="shared" si="123"/>
        <v>1980</v>
      </c>
      <c r="S1148" s="10">
        <f t="shared" si="124"/>
        <v>165</v>
      </c>
      <c r="T1148">
        <v>165</v>
      </c>
      <c r="U1148">
        <f t="shared" si="125"/>
        <v>0</v>
      </c>
    </row>
    <row r="1149" spans="1:21" ht="14.25" customHeight="1" x14ac:dyDescent="0.35">
      <c r="A1149" s="6" t="s">
        <v>3206</v>
      </c>
      <c r="B1149" s="6" t="s">
        <v>3207</v>
      </c>
      <c r="C1149" s="6" t="s">
        <v>3208</v>
      </c>
      <c r="D1149" s="6" t="s">
        <v>22</v>
      </c>
      <c r="E1149" s="7" t="s">
        <v>23</v>
      </c>
      <c r="F1149" s="6">
        <v>85249</v>
      </c>
      <c r="G1149" s="6" t="s">
        <v>125</v>
      </c>
      <c r="H1149" s="6" t="s">
        <v>126</v>
      </c>
      <c r="I1149" s="6" t="s">
        <v>61</v>
      </c>
      <c r="J1149" s="6" t="b">
        <v>0</v>
      </c>
      <c r="K1149" s="6" t="s">
        <v>27</v>
      </c>
      <c r="L1149" s="6">
        <v>0</v>
      </c>
      <c r="M1149" s="6">
        <v>165</v>
      </c>
      <c r="N1149" s="8" t="str">
        <f t="shared" si="119"/>
        <v>0</v>
      </c>
      <c r="O1149" s="8">
        <f t="shared" si="120"/>
        <v>1980</v>
      </c>
      <c r="P1149" s="8">
        <f t="shared" si="121"/>
        <v>1980</v>
      </c>
      <c r="Q1149" s="8">
        <f t="shared" si="122"/>
        <v>0</v>
      </c>
      <c r="R1149" s="9">
        <f t="shared" si="123"/>
        <v>1980</v>
      </c>
      <c r="S1149" s="10">
        <f t="shared" si="124"/>
        <v>165</v>
      </c>
      <c r="T1149">
        <v>165</v>
      </c>
      <c r="U1149">
        <f t="shared" si="125"/>
        <v>0</v>
      </c>
    </row>
    <row r="1150" spans="1:21" ht="14.25" customHeight="1" x14ac:dyDescent="0.35">
      <c r="A1150" s="6" t="s">
        <v>3209</v>
      </c>
      <c r="B1150" s="6" t="s">
        <v>3210</v>
      </c>
      <c r="C1150" s="6" t="s">
        <v>3211</v>
      </c>
      <c r="D1150" s="6" t="s">
        <v>54</v>
      </c>
      <c r="E1150" s="7" t="s">
        <v>23</v>
      </c>
      <c r="F1150" s="6">
        <v>85745</v>
      </c>
      <c r="G1150" s="6" t="s">
        <v>55</v>
      </c>
      <c r="H1150" s="6" t="s">
        <v>56</v>
      </c>
      <c r="I1150" s="6" t="s">
        <v>61</v>
      </c>
      <c r="J1150" s="6" t="b">
        <v>0</v>
      </c>
      <c r="K1150" s="6" t="s">
        <v>27</v>
      </c>
      <c r="L1150" s="6">
        <v>0</v>
      </c>
      <c r="M1150" s="6">
        <v>165</v>
      </c>
      <c r="N1150" s="8" t="str">
        <f t="shared" si="119"/>
        <v>0</v>
      </c>
      <c r="O1150" s="8">
        <f t="shared" si="120"/>
        <v>1980</v>
      </c>
      <c r="P1150" s="8">
        <f t="shared" si="121"/>
        <v>1980</v>
      </c>
      <c r="Q1150" s="8">
        <f t="shared" si="122"/>
        <v>0</v>
      </c>
      <c r="R1150" s="9">
        <f t="shared" si="123"/>
        <v>1980</v>
      </c>
      <c r="S1150" s="10">
        <f t="shared" si="124"/>
        <v>165</v>
      </c>
      <c r="T1150">
        <v>165</v>
      </c>
      <c r="U1150">
        <f t="shared" si="125"/>
        <v>0</v>
      </c>
    </row>
    <row r="1151" spans="1:21" ht="14.25" customHeight="1" x14ac:dyDescent="0.35">
      <c r="A1151" s="6" t="s">
        <v>3212</v>
      </c>
      <c r="B1151" s="6" t="s">
        <v>3213</v>
      </c>
      <c r="C1151" s="6" t="s">
        <v>3214</v>
      </c>
      <c r="D1151" s="6" t="s">
        <v>165</v>
      </c>
      <c r="E1151" s="7" t="s">
        <v>23</v>
      </c>
      <c r="F1151" s="6">
        <v>85234</v>
      </c>
      <c r="G1151" s="6" t="s">
        <v>125</v>
      </c>
      <c r="H1151" s="6" t="s">
        <v>225</v>
      </c>
      <c r="I1151" s="6" t="s">
        <v>26</v>
      </c>
      <c r="J1151" s="6" t="b">
        <v>0</v>
      </c>
      <c r="K1151" s="6" t="s">
        <v>27</v>
      </c>
      <c r="L1151" s="6">
        <v>0</v>
      </c>
      <c r="M1151" s="6">
        <v>165</v>
      </c>
      <c r="N1151" s="8" t="str">
        <f t="shared" si="119"/>
        <v>0</v>
      </c>
      <c r="O1151" s="8">
        <f t="shared" si="120"/>
        <v>1980</v>
      </c>
      <c r="P1151" s="8">
        <f t="shared" si="121"/>
        <v>1980</v>
      </c>
      <c r="Q1151" s="8">
        <f t="shared" si="122"/>
        <v>0</v>
      </c>
      <c r="R1151" s="9">
        <f t="shared" si="123"/>
        <v>1980</v>
      </c>
      <c r="S1151" s="10">
        <f t="shared" si="124"/>
        <v>165</v>
      </c>
      <c r="T1151">
        <v>165</v>
      </c>
      <c r="U1151">
        <f t="shared" si="125"/>
        <v>0</v>
      </c>
    </row>
    <row r="1152" spans="1:21" ht="14.25" customHeight="1" x14ac:dyDescent="0.35">
      <c r="A1152" s="6" t="s">
        <v>3215</v>
      </c>
      <c r="B1152" s="6" t="s">
        <v>3216</v>
      </c>
      <c r="C1152" s="6" t="s">
        <v>3217</v>
      </c>
      <c r="D1152" s="6" t="s">
        <v>44</v>
      </c>
      <c r="E1152" s="7" t="s">
        <v>23</v>
      </c>
      <c r="F1152" s="6">
        <v>85020</v>
      </c>
      <c r="G1152" s="6" t="s">
        <v>173</v>
      </c>
      <c r="H1152" s="6" t="s">
        <v>202</v>
      </c>
      <c r="I1152" s="6" t="s">
        <v>40</v>
      </c>
      <c r="J1152" s="6" t="b">
        <v>0</v>
      </c>
      <c r="K1152" s="6" t="s">
        <v>27</v>
      </c>
      <c r="L1152" s="6">
        <v>0</v>
      </c>
      <c r="M1152" s="6">
        <v>165</v>
      </c>
      <c r="N1152" s="8" t="str">
        <f t="shared" si="119"/>
        <v>0</v>
      </c>
      <c r="O1152" s="8">
        <f t="shared" si="120"/>
        <v>1980</v>
      </c>
      <c r="P1152" s="8">
        <f t="shared" si="121"/>
        <v>1980</v>
      </c>
      <c r="Q1152" s="8">
        <f t="shared" si="122"/>
        <v>0</v>
      </c>
      <c r="R1152" s="9">
        <f t="shared" si="123"/>
        <v>1980</v>
      </c>
      <c r="S1152" s="10">
        <f t="shared" si="124"/>
        <v>165</v>
      </c>
      <c r="T1152">
        <v>165</v>
      </c>
      <c r="U1152">
        <f t="shared" si="125"/>
        <v>0</v>
      </c>
    </row>
    <row r="1153" spans="1:21" ht="14.25" customHeight="1" x14ac:dyDescent="0.35">
      <c r="A1153" s="6" t="s">
        <v>3218</v>
      </c>
      <c r="B1153" s="6" t="s">
        <v>3219</v>
      </c>
      <c r="C1153" s="6" t="s">
        <v>3220</v>
      </c>
      <c r="D1153" s="6" t="s">
        <v>818</v>
      </c>
      <c r="E1153" s="7" t="s">
        <v>23</v>
      </c>
      <c r="F1153" s="6">
        <v>85340</v>
      </c>
      <c r="G1153" s="6" t="s">
        <v>38</v>
      </c>
      <c r="H1153" s="6" t="s">
        <v>378</v>
      </c>
      <c r="I1153" s="6" t="s">
        <v>26</v>
      </c>
      <c r="J1153" s="6" t="b">
        <v>0</v>
      </c>
      <c r="K1153" s="6" t="s">
        <v>27</v>
      </c>
      <c r="L1153" s="6">
        <v>0</v>
      </c>
      <c r="M1153" s="6">
        <v>165</v>
      </c>
      <c r="N1153" s="8" t="str">
        <f t="shared" si="119"/>
        <v>0</v>
      </c>
      <c r="O1153" s="8">
        <f t="shared" si="120"/>
        <v>1980</v>
      </c>
      <c r="P1153" s="8">
        <f t="shared" si="121"/>
        <v>1980</v>
      </c>
      <c r="Q1153" s="8">
        <f t="shared" si="122"/>
        <v>0</v>
      </c>
      <c r="R1153" s="9">
        <f t="shared" si="123"/>
        <v>1980</v>
      </c>
      <c r="S1153" s="10">
        <f t="shared" si="124"/>
        <v>165</v>
      </c>
      <c r="T1153">
        <v>165</v>
      </c>
      <c r="U1153">
        <f t="shared" si="125"/>
        <v>0</v>
      </c>
    </row>
    <row r="1154" spans="1:21" ht="14.25" customHeight="1" x14ac:dyDescent="0.35">
      <c r="A1154" s="6" t="s">
        <v>3221</v>
      </c>
      <c r="B1154" s="6" t="s">
        <v>3222</v>
      </c>
      <c r="C1154" s="6" t="s">
        <v>3223</v>
      </c>
      <c r="D1154" s="6" t="s">
        <v>71</v>
      </c>
      <c r="E1154" s="7" t="s">
        <v>23</v>
      </c>
      <c r="F1154" s="6">
        <v>85383</v>
      </c>
      <c r="G1154" s="6" t="s">
        <v>78</v>
      </c>
      <c r="H1154" s="6" t="s">
        <v>73</v>
      </c>
      <c r="I1154" s="6" t="s">
        <v>26</v>
      </c>
      <c r="J1154" s="6" t="b">
        <v>0</v>
      </c>
      <c r="K1154" s="6" t="s">
        <v>27</v>
      </c>
      <c r="L1154" s="6">
        <v>0</v>
      </c>
      <c r="M1154" s="6">
        <v>165</v>
      </c>
      <c r="N1154" s="8" t="str">
        <f t="shared" ref="N1154:N1217" si="126">IF(J1154=TRUE, 6.39*12, "0")</f>
        <v>0</v>
      </c>
      <c r="O1154" s="8">
        <f t="shared" ref="O1154:O1217" si="127">L1154+(M1154*12)+N1154</f>
        <v>1980</v>
      </c>
      <c r="P1154" s="8">
        <f t="shared" ref="P1154:P1217" si="128">IF(OR(K1154="Check",K1154="ACH"), O1154*0.97, O1154)</f>
        <v>1980</v>
      </c>
      <c r="Q1154" s="8">
        <f t="shared" ref="Q1154:Q1217" si="129">P1154-O1154</f>
        <v>0</v>
      </c>
      <c r="R1154" s="9">
        <f t="shared" ref="R1154:R1217" si="130">O1154-Q1154</f>
        <v>1980</v>
      </c>
      <c r="S1154" s="10">
        <f t="shared" ref="S1154:S1217" si="131">R1154/12</f>
        <v>165</v>
      </c>
      <c r="T1154">
        <v>165</v>
      </c>
      <c r="U1154">
        <f t="shared" si="125"/>
        <v>0</v>
      </c>
    </row>
    <row r="1155" spans="1:21" ht="14.25" customHeight="1" x14ac:dyDescent="0.35">
      <c r="A1155" s="6" t="s">
        <v>3224</v>
      </c>
      <c r="B1155" s="6" t="s">
        <v>3225</v>
      </c>
      <c r="C1155" s="6" t="s">
        <v>3226</v>
      </c>
      <c r="D1155" s="6" t="s">
        <v>31</v>
      </c>
      <c r="E1155" s="7" t="s">
        <v>23</v>
      </c>
      <c r="F1155" s="6">
        <v>85255</v>
      </c>
      <c r="G1155" s="6" t="s">
        <v>32</v>
      </c>
      <c r="H1155" s="6" t="s">
        <v>33</v>
      </c>
      <c r="I1155" s="6" t="s">
        <v>26</v>
      </c>
      <c r="J1155" s="6" t="b">
        <v>0</v>
      </c>
      <c r="K1155" s="6" t="s">
        <v>27</v>
      </c>
      <c r="L1155" s="6">
        <v>0</v>
      </c>
      <c r="M1155" s="6">
        <v>165</v>
      </c>
      <c r="N1155" s="8" t="str">
        <f t="shared" si="126"/>
        <v>0</v>
      </c>
      <c r="O1155" s="8">
        <f t="shared" si="127"/>
        <v>1980</v>
      </c>
      <c r="P1155" s="8">
        <f t="shared" si="128"/>
        <v>1980</v>
      </c>
      <c r="Q1155" s="8">
        <f t="shared" si="129"/>
        <v>0</v>
      </c>
      <c r="R1155" s="9">
        <f t="shared" si="130"/>
        <v>1980</v>
      </c>
      <c r="S1155" s="10">
        <f t="shared" si="131"/>
        <v>165</v>
      </c>
      <c r="T1155">
        <v>165</v>
      </c>
      <c r="U1155">
        <f t="shared" si="125"/>
        <v>0</v>
      </c>
    </row>
    <row r="1156" spans="1:21" ht="14.25" customHeight="1" x14ac:dyDescent="0.35">
      <c r="A1156" s="6" t="s">
        <v>3227</v>
      </c>
      <c r="B1156" s="6" t="s">
        <v>3228</v>
      </c>
      <c r="C1156" s="6" t="s">
        <v>3229</v>
      </c>
      <c r="D1156" s="6" t="s">
        <v>165</v>
      </c>
      <c r="E1156" s="7" t="s">
        <v>23</v>
      </c>
      <c r="F1156" s="6">
        <v>85295</v>
      </c>
      <c r="G1156" s="6" t="s">
        <v>125</v>
      </c>
      <c r="H1156" s="6" t="s">
        <v>225</v>
      </c>
      <c r="J1156" s="6" t="b">
        <v>0</v>
      </c>
      <c r="K1156" s="6" t="s">
        <v>27</v>
      </c>
      <c r="L1156" s="6">
        <v>0</v>
      </c>
      <c r="M1156" s="6">
        <v>165</v>
      </c>
      <c r="N1156" s="8" t="str">
        <f t="shared" si="126"/>
        <v>0</v>
      </c>
      <c r="O1156" s="8">
        <f t="shared" si="127"/>
        <v>1980</v>
      </c>
      <c r="P1156" s="8">
        <f t="shared" si="128"/>
        <v>1980</v>
      </c>
      <c r="Q1156" s="8">
        <f t="shared" si="129"/>
        <v>0</v>
      </c>
      <c r="R1156" s="9">
        <f t="shared" si="130"/>
        <v>1980</v>
      </c>
      <c r="S1156" s="10">
        <f t="shared" si="131"/>
        <v>165</v>
      </c>
      <c r="T1156">
        <v>165</v>
      </c>
      <c r="U1156">
        <f t="shared" ref="U1156:U1219" si="132">SUM(T1156-M1156)</f>
        <v>0</v>
      </c>
    </row>
    <row r="1157" spans="1:21" ht="14.25" customHeight="1" x14ac:dyDescent="0.35">
      <c r="A1157" s="6" t="s">
        <v>3230</v>
      </c>
      <c r="B1157" s="6" t="s">
        <v>3231</v>
      </c>
      <c r="C1157" s="6" t="s">
        <v>3232</v>
      </c>
      <c r="D1157" s="6" t="s">
        <v>98</v>
      </c>
      <c r="E1157" s="7" t="s">
        <v>23</v>
      </c>
      <c r="F1157" s="6">
        <v>85122</v>
      </c>
      <c r="G1157" s="6" t="s">
        <v>87</v>
      </c>
      <c r="H1157" s="6" t="s">
        <v>99</v>
      </c>
      <c r="I1157" s="6" t="s">
        <v>110</v>
      </c>
      <c r="J1157" s="6" t="b">
        <v>0</v>
      </c>
      <c r="K1157" s="6" t="s">
        <v>27</v>
      </c>
      <c r="L1157" s="6">
        <v>0</v>
      </c>
      <c r="M1157" s="6">
        <v>165</v>
      </c>
      <c r="N1157" s="8" t="str">
        <f t="shared" si="126"/>
        <v>0</v>
      </c>
      <c r="O1157" s="8">
        <f t="shared" si="127"/>
        <v>1980</v>
      </c>
      <c r="P1157" s="8">
        <f t="shared" si="128"/>
        <v>1980</v>
      </c>
      <c r="Q1157" s="8">
        <f t="shared" si="129"/>
        <v>0</v>
      </c>
      <c r="R1157" s="9">
        <f t="shared" si="130"/>
        <v>1980</v>
      </c>
      <c r="S1157" s="10">
        <f t="shared" si="131"/>
        <v>165</v>
      </c>
      <c r="T1157">
        <v>165</v>
      </c>
      <c r="U1157">
        <f t="shared" si="132"/>
        <v>0</v>
      </c>
    </row>
    <row r="1158" spans="1:21" ht="14.25" customHeight="1" x14ac:dyDescent="0.35">
      <c r="A1158" s="6" t="s">
        <v>3233</v>
      </c>
      <c r="B1158" s="6" t="s">
        <v>3234</v>
      </c>
      <c r="C1158" s="6" t="s">
        <v>3235</v>
      </c>
      <c r="D1158" s="6" t="s">
        <v>44</v>
      </c>
      <c r="E1158" s="7" t="s">
        <v>23</v>
      </c>
      <c r="F1158" s="6">
        <v>85012</v>
      </c>
      <c r="G1158" s="6" t="s">
        <v>213</v>
      </c>
      <c r="H1158" s="6" t="s">
        <v>202</v>
      </c>
      <c r="I1158" s="6" t="s">
        <v>26</v>
      </c>
      <c r="J1158" s="6" t="b">
        <v>0</v>
      </c>
      <c r="K1158" s="6" t="s">
        <v>27</v>
      </c>
      <c r="L1158" s="6">
        <v>0</v>
      </c>
      <c r="M1158" s="6">
        <v>165</v>
      </c>
      <c r="N1158" s="8" t="str">
        <f t="shared" si="126"/>
        <v>0</v>
      </c>
      <c r="O1158" s="8">
        <f t="shared" si="127"/>
        <v>1980</v>
      </c>
      <c r="P1158" s="8">
        <f t="shared" si="128"/>
        <v>1980</v>
      </c>
      <c r="Q1158" s="8">
        <f t="shared" si="129"/>
        <v>0</v>
      </c>
      <c r="R1158" s="9">
        <f t="shared" si="130"/>
        <v>1980</v>
      </c>
      <c r="S1158" s="10">
        <f t="shared" si="131"/>
        <v>165</v>
      </c>
      <c r="T1158">
        <v>165</v>
      </c>
      <c r="U1158">
        <f t="shared" si="132"/>
        <v>0</v>
      </c>
    </row>
    <row r="1159" spans="1:21" ht="14.25" customHeight="1" x14ac:dyDescent="0.35">
      <c r="A1159" s="6" t="s">
        <v>3236</v>
      </c>
      <c r="B1159" s="6" t="s">
        <v>3237</v>
      </c>
      <c r="C1159" s="6" t="s">
        <v>3238</v>
      </c>
      <c r="D1159" s="6" t="s">
        <v>31</v>
      </c>
      <c r="E1159" s="7" t="s">
        <v>23</v>
      </c>
      <c r="F1159" s="6">
        <v>85266</v>
      </c>
      <c r="G1159" s="6" t="s">
        <v>32</v>
      </c>
      <c r="H1159" s="6" t="s">
        <v>169</v>
      </c>
      <c r="I1159" s="6" t="s">
        <v>26</v>
      </c>
      <c r="J1159" s="6" t="b">
        <v>0</v>
      </c>
      <c r="K1159" s="6" t="s">
        <v>27</v>
      </c>
      <c r="L1159" s="6">
        <v>0</v>
      </c>
      <c r="M1159" s="6">
        <v>165</v>
      </c>
      <c r="N1159" s="8" t="str">
        <f t="shared" si="126"/>
        <v>0</v>
      </c>
      <c r="O1159" s="8">
        <f t="shared" si="127"/>
        <v>1980</v>
      </c>
      <c r="P1159" s="8">
        <f t="shared" si="128"/>
        <v>1980</v>
      </c>
      <c r="Q1159" s="8">
        <f t="shared" si="129"/>
        <v>0</v>
      </c>
      <c r="R1159" s="9">
        <f t="shared" si="130"/>
        <v>1980</v>
      </c>
      <c r="S1159" s="10">
        <f t="shared" si="131"/>
        <v>165</v>
      </c>
      <c r="T1159">
        <v>165</v>
      </c>
      <c r="U1159">
        <f t="shared" si="132"/>
        <v>0</v>
      </c>
    </row>
    <row r="1160" spans="1:21" ht="14.25" customHeight="1" x14ac:dyDescent="0.35">
      <c r="A1160" s="6" t="s">
        <v>3239</v>
      </c>
      <c r="B1160" s="6" t="s">
        <v>3240</v>
      </c>
      <c r="C1160" s="6" t="s">
        <v>3241</v>
      </c>
      <c r="D1160" s="6" t="s">
        <v>892</v>
      </c>
      <c r="E1160" s="7" t="s">
        <v>23</v>
      </c>
      <c r="F1160" s="6">
        <v>85142</v>
      </c>
      <c r="G1160" s="6" t="s">
        <v>125</v>
      </c>
      <c r="H1160" s="6" t="s">
        <v>225</v>
      </c>
      <c r="I1160" s="6" t="s">
        <v>26</v>
      </c>
      <c r="J1160" s="6" t="b">
        <v>0</v>
      </c>
      <c r="K1160" s="6" t="s">
        <v>27</v>
      </c>
      <c r="L1160" s="6">
        <v>0</v>
      </c>
      <c r="M1160" s="6">
        <v>165</v>
      </c>
      <c r="N1160" s="8" t="str">
        <f t="shared" si="126"/>
        <v>0</v>
      </c>
      <c r="O1160" s="8">
        <f t="shared" si="127"/>
        <v>1980</v>
      </c>
      <c r="P1160" s="8">
        <f t="shared" si="128"/>
        <v>1980</v>
      </c>
      <c r="Q1160" s="8">
        <f t="shared" si="129"/>
        <v>0</v>
      </c>
      <c r="R1160" s="9">
        <f t="shared" si="130"/>
        <v>1980</v>
      </c>
      <c r="S1160" s="10">
        <f t="shared" si="131"/>
        <v>165</v>
      </c>
      <c r="T1160">
        <v>165</v>
      </c>
      <c r="U1160">
        <f t="shared" si="132"/>
        <v>0</v>
      </c>
    </row>
    <row r="1161" spans="1:21" ht="14.25" customHeight="1" x14ac:dyDescent="0.35">
      <c r="A1161" s="6" t="s">
        <v>3242</v>
      </c>
      <c r="B1161" s="6" t="s">
        <v>3243</v>
      </c>
      <c r="C1161" s="6" t="s">
        <v>3244</v>
      </c>
      <c r="D1161" s="6" t="s">
        <v>44</v>
      </c>
      <c r="E1161" s="7" t="s">
        <v>23</v>
      </c>
      <c r="F1161" s="6">
        <v>85048</v>
      </c>
      <c r="G1161" s="6" t="s">
        <v>24</v>
      </c>
      <c r="H1161" s="6" t="s">
        <v>161</v>
      </c>
      <c r="I1161" s="6" t="s">
        <v>26</v>
      </c>
      <c r="J1161" s="6" t="b">
        <v>0</v>
      </c>
      <c r="K1161" s="6" t="s">
        <v>27</v>
      </c>
      <c r="L1161" s="6">
        <v>0</v>
      </c>
      <c r="M1161" s="6">
        <v>165</v>
      </c>
      <c r="N1161" s="8" t="str">
        <f t="shared" si="126"/>
        <v>0</v>
      </c>
      <c r="O1161" s="8">
        <f t="shared" si="127"/>
        <v>1980</v>
      </c>
      <c r="P1161" s="8">
        <f t="shared" si="128"/>
        <v>1980</v>
      </c>
      <c r="Q1161" s="8">
        <f t="shared" si="129"/>
        <v>0</v>
      </c>
      <c r="R1161" s="9">
        <f t="shared" si="130"/>
        <v>1980</v>
      </c>
      <c r="S1161" s="10">
        <f t="shared" si="131"/>
        <v>165</v>
      </c>
      <c r="T1161">
        <v>165</v>
      </c>
      <c r="U1161">
        <f t="shared" si="132"/>
        <v>0</v>
      </c>
    </row>
    <row r="1162" spans="1:21" ht="14.25" customHeight="1" x14ac:dyDescent="0.35">
      <c r="A1162" s="6" t="s">
        <v>3245</v>
      </c>
      <c r="B1162" s="6" t="s">
        <v>3246</v>
      </c>
      <c r="C1162" s="6" t="s">
        <v>3247</v>
      </c>
      <c r="D1162" s="6" t="s">
        <v>22</v>
      </c>
      <c r="E1162" s="7" t="s">
        <v>23</v>
      </c>
      <c r="F1162" s="6">
        <v>85286</v>
      </c>
      <c r="G1162" s="6" t="s">
        <v>125</v>
      </c>
      <c r="H1162" s="6" t="s">
        <v>126</v>
      </c>
      <c r="I1162" s="6" t="s">
        <v>26</v>
      </c>
      <c r="J1162" s="6" t="b">
        <v>0</v>
      </c>
      <c r="K1162" s="6" t="s">
        <v>27</v>
      </c>
      <c r="L1162" s="6">
        <v>0</v>
      </c>
      <c r="M1162" s="6">
        <v>165</v>
      </c>
      <c r="N1162" s="8" t="str">
        <f t="shared" si="126"/>
        <v>0</v>
      </c>
      <c r="O1162" s="8">
        <f t="shared" si="127"/>
        <v>1980</v>
      </c>
      <c r="P1162" s="8">
        <f t="shared" si="128"/>
        <v>1980</v>
      </c>
      <c r="Q1162" s="8">
        <f t="shared" si="129"/>
        <v>0</v>
      </c>
      <c r="R1162" s="9">
        <f t="shared" si="130"/>
        <v>1980</v>
      </c>
      <c r="S1162" s="10">
        <f t="shared" si="131"/>
        <v>165</v>
      </c>
      <c r="T1162">
        <v>165</v>
      </c>
      <c r="U1162">
        <f t="shared" si="132"/>
        <v>0</v>
      </c>
    </row>
    <row r="1163" spans="1:21" ht="14.25" customHeight="1" x14ac:dyDescent="0.35">
      <c r="A1163" s="6" t="s">
        <v>3248</v>
      </c>
      <c r="B1163" s="6" t="s">
        <v>3249</v>
      </c>
      <c r="C1163" s="6" t="s">
        <v>3250</v>
      </c>
      <c r="D1163" s="6" t="s">
        <v>31</v>
      </c>
      <c r="E1163" s="7" t="s">
        <v>23</v>
      </c>
      <c r="F1163" s="6">
        <v>85254</v>
      </c>
      <c r="G1163" s="6" t="s">
        <v>45</v>
      </c>
      <c r="H1163" s="6" t="s">
        <v>169</v>
      </c>
      <c r="I1163" s="6" t="s">
        <v>26</v>
      </c>
      <c r="J1163" s="6" t="b">
        <v>0</v>
      </c>
      <c r="K1163" s="6" t="s">
        <v>27</v>
      </c>
      <c r="L1163" s="6">
        <v>0</v>
      </c>
      <c r="M1163" s="6">
        <v>165</v>
      </c>
      <c r="N1163" s="8" t="str">
        <f t="shared" si="126"/>
        <v>0</v>
      </c>
      <c r="O1163" s="8">
        <f t="shared" si="127"/>
        <v>1980</v>
      </c>
      <c r="P1163" s="8">
        <f t="shared" si="128"/>
        <v>1980</v>
      </c>
      <c r="Q1163" s="8">
        <f t="shared" si="129"/>
        <v>0</v>
      </c>
      <c r="R1163" s="9">
        <f t="shared" si="130"/>
        <v>1980</v>
      </c>
      <c r="S1163" s="10">
        <f t="shared" si="131"/>
        <v>165</v>
      </c>
      <c r="T1163">
        <v>165</v>
      </c>
      <c r="U1163">
        <f t="shared" si="132"/>
        <v>0</v>
      </c>
    </row>
    <row r="1164" spans="1:21" ht="14.25" customHeight="1" x14ac:dyDescent="0.35">
      <c r="A1164" s="6" t="s">
        <v>3251</v>
      </c>
      <c r="B1164" s="6" t="s">
        <v>3252</v>
      </c>
      <c r="C1164" s="6" t="s">
        <v>3253</v>
      </c>
      <c r="D1164" s="6" t="s">
        <v>65</v>
      </c>
      <c r="E1164" s="7" t="s">
        <v>23</v>
      </c>
      <c r="F1164" s="6">
        <v>85207</v>
      </c>
      <c r="G1164" s="6" t="s">
        <v>66</v>
      </c>
      <c r="H1164" s="6" t="s">
        <v>67</v>
      </c>
      <c r="I1164" s="6" t="s">
        <v>26</v>
      </c>
      <c r="J1164" s="6" t="b">
        <v>0</v>
      </c>
      <c r="K1164" s="6" t="s">
        <v>27</v>
      </c>
      <c r="L1164" s="6">
        <v>0</v>
      </c>
      <c r="M1164" s="6">
        <v>165</v>
      </c>
      <c r="N1164" s="8" t="str">
        <f t="shared" si="126"/>
        <v>0</v>
      </c>
      <c r="O1164" s="8">
        <f t="shared" si="127"/>
        <v>1980</v>
      </c>
      <c r="P1164" s="8">
        <f t="shared" si="128"/>
        <v>1980</v>
      </c>
      <c r="Q1164" s="8">
        <f t="shared" si="129"/>
        <v>0</v>
      </c>
      <c r="R1164" s="9">
        <f t="shared" si="130"/>
        <v>1980</v>
      </c>
      <c r="S1164" s="10">
        <f t="shared" si="131"/>
        <v>165</v>
      </c>
      <c r="T1164">
        <v>165</v>
      </c>
      <c r="U1164">
        <f t="shared" si="132"/>
        <v>0</v>
      </c>
    </row>
    <row r="1165" spans="1:21" ht="14.25" customHeight="1" x14ac:dyDescent="0.35">
      <c r="A1165" s="6" t="s">
        <v>3254</v>
      </c>
      <c r="B1165" s="6" t="s">
        <v>3255</v>
      </c>
      <c r="C1165" s="6" t="s">
        <v>3256</v>
      </c>
      <c r="D1165" s="6" t="s">
        <v>71</v>
      </c>
      <c r="E1165" s="7" t="s">
        <v>23</v>
      </c>
      <c r="F1165" s="6">
        <v>85345</v>
      </c>
      <c r="G1165" s="6" t="s">
        <v>78</v>
      </c>
      <c r="H1165" s="6" t="s">
        <v>268</v>
      </c>
      <c r="I1165" s="6" t="s">
        <v>26</v>
      </c>
      <c r="J1165" s="6" t="b">
        <v>0</v>
      </c>
      <c r="K1165" s="6" t="s">
        <v>27</v>
      </c>
      <c r="L1165" s="6">
        <v>0</v>
      </c>
      <c r="M1165" s="6">
        <v>165</v>
      </c>
      <c r="N1165" s="8" t="str">
        <f t="shared" si="126"/>
        <v>0</v>
      </c>
      <c r="O1165" s="8">
        <f t="shared" si="127"/>
        <v>1980</v>
      </c>
      <c r="P1165" s="8">
        <f t="shared" si="128"/>
        <v>1980</v>
      </c>
      <c r="Q1165" s="8">
        <f t="shared" si="129"/>
        <v>0</v>
      </c>
      <c r="R1165" s="9">
        <f t="shared" si="130"/>
        <v>1980</v>
      </c>
      <c r="S1165" s="10">
        <f t="shared" si="131"/>
        <v>165</v>
      </c>
      <c r="T1165">
        <v>165</v>
      </c>
      <c r="U1165">
        <f t="shared" si="132"/>
        <v>0</v>
      </c>
    </row>
    <row r="1166" spans="1:21" ht="14.25" customHeight="1" x14ac:dyDescent="0.35">
      <c r="A1166" s="6" t="s">
        <v>3257</v>
      </c>
      <c r="B1166" s="6" t="s">
        <v>3258</v>
      </c>
      <c r="C1166" s="6" t="s">
        <v>3259</v>
      </c>
      <c r="D1166" s="6" t="s">
        <v>117</v>
      </c>
      <c r="E1166" s="7" t="s">
        <v>23</v>
      </c>
      <c r="F1166" s="6">
        <v>85139</v>
      </c>
      <c r="G1166" s="6" t="s">
        <v>87</v>
      </c>
      <c r="H1166" s="6" t="s">
        <v>88</v>
      </c>
      <c r="I1166" s="6" t="s">
        <v>26</v>
      </c>
      <c r="J1166" s="6" t="b">
        <v>0</v>
      </c>
      <c r="K1166" s="6" t="s">
        <v>27</v>
      </c>
      <c r="L1166" s="6">
        <v>0</v>
      </c>
      <c r="M1166" s="6">
        <v>165</v>
      </c>
      <c r="N1166" s="8" t="str">
        <f t="shared" si="126"/>
        <v>0</v>
      </c>
      <c r="O1166" s="8">
        <f t="shared" si="127"/>
        <v>1980</v>
      </c>
      <c r="P1166" s="8">
        <f t="shared" si="128"/>
        <v>1980</v>
      </c>
      <c r="Q1166" s="8">
        <f t="shared" si="129"/>
        <v>0</v>
      </c>
      <c r="R1166" s="9">
        <f t="shared" si="130"/>
        <v>1980</v>
      </c>
      <c r="S1166" s="10">
        <f t="shared" si="131"/>
        <v>165</v>
      </c>
      <c r="T1166">
        <v>165</v>
      </c>
      <c r="U1166">
        <f t="shared" si="132"/>
        <v>0</v>
      </c>
    </row>
    <row r="1167" spans="1:21" ht="14.25" customHeight="1" x14ac:dyDescent="0.35">
      <c r="A1167" s="6" t="s">
        <v>3260</v>
      </c>
      <c r="B1167" s="6" t="s">
        <v>3261</v>
      </c>
      <c r="C1167" s="6" t="s">
        <v>3262</v>
      </c>
      <c r="D1167" s="6" t="s">
        <v>65</v>
      </c>
      <c r="E1167" s="7" t="s">
        <v>23</v>
      </c>
      <c r="F1167" s="6">
        <v>85213</v>
      </c>
      <c r="G1167" s="6" t="s">
        <v>66</v>
      </c>
      <c r="H1167" s="6" t="s">
        <v>67</v>
      </c>
      <c r="I1167" s="6" t="s">
        <v>26</v>
      </c>
      <c r="J1167" s="6" t="b">
        <v>0</v>
      </c>
      <c r="K1167" s="6" t="s">
        <v>27</v>
      </c>
      <c r="L1167" s="6">
        <v>0</v>
      </c>
      <c r="M1167" s="6">
        <v>165</v>
      </c>
      <c r="N1167" s="8" t="str">
        <f t="shared" si="126"/>
        <v>0</v>
      </c>
      <c r="O1167" s="8">
        <f t="shared" si="127"/>
        <v>1980</v>
      </c>
      <c r="P1167" s="8">
        <f t="shared" si="128"/>
        <v>1980</v>
      </c>
      <c r="Q1167" s="8">
        <f t="shared" si="129"/>
        <v>0</v>
      </c>
      <c r="R1167" s="9">
        <f t="shared" si="130"/>
        <v>1980</v>
      </c>
      <c r="S1167" s="10">
        <f t="shared" si="131"/>
        <v>165</v>
      </c>
      <c r="T1167">
        <v>165</v>
      </c>
      <c r="U1167">
        <f t="shared" si="132"/>
        <v>0</v>
      </c>
    </row>
    <row r="1168" spans="1:21" ht="14.25" customHeight="1" x14ac:dyDescent="0.35">
      <c r="A1168" s="6" t="s">
        <v>3263</v>
      </c>
      <c r="B1168" s="6" t="s">
        <v>3264</v>
      </c>
      <c r="C1168" s="6" t="s">
        <v>3265</v>
      </c>
      <c r="D1168" s="6" t="s">
        <v>71</v>
      </c>
      <c r="E1168" s="7" t="s">
        <v>23</v>
      </c>
      <c r="F1168" s="6">
        <v>85383</v>
      </c>
      <c r="G1168" s="6" t="s">
        <v>78</v>
      </c>
      <c r="H1168" s="6" t="s">
        <v>281</v>
      </c>
      <c r="I1168" s="6" t="s">
        <v>26</v>
      </c>
      <c r="J1168" s="6" t="b">
        <v>0</v>
      </c>
      <c r="K1168" s="6" t="s">
        <v>27</v>
      </c>
      <c r="L1168" s="6">
        <v>0</v>
      </c>
      <c r="M1168" s="6">
        <v>165</v>
      </c>
      <c r="N1168" s="8" t="str">
        <f t="shared" si="126"/>
        <v>0</v>
      </c>
      <c r="O1168" s="8">
        <f t="shared" si="127"/>
        <v>1980</v>
      </c>
      <c r="P1168" s="8">
        <f t="shared" si="128"/>
        <v>1980</v>
      </c>
      <c r="Q1168" s="8">
        <f t="shared" si="129"/>
        <v>0</v>
      </c>
      <c r="R1168" s="9">
        <f t="shared" si="130"/>
        <v>1980</v>
      </c>
      <c r="S1168" s="10">
        <f t="shared" si="131"/>
        <v>165</v>
      </c>
      <c r="T1168">
        <v>165</v>
      </c>
      <c r="U1168">
        <f t="shared" si="132"/>
        <v>0</v>
      </c>
    </row>
    <row r="1169" spans="1:21" ht="14.25" customHeight="1" x14ac:dyDescent="0.35">
      <c r="A1169" s="6" t="s">
        <v>3266</v>
      </c>
      <c r="B1169" s="6" t="s">
        <v>3267</v>
      </c>
      <c r="C1169" s="6" t="s">
        <v>3268</v>
      </c>
      <c r="D1169" s="6" t="s">
        <v>44</v>
      </c>
      <c r="E1169" s="7" t="s">
        <v>23</v>
      </c>
      <c r="F1169" s="6">
        <v>85023</v>
      </c>
      <c r="G1169" s="6" t="s">
        <v>173</v>
      </c>
      <c r="H1169" s="6" t="s">
        <v>79</v>
      </c>
      <c r="I1169" s="6" t="s">
        <v>26</v>
      </c>
      <c r="J1169" s="6" t="b">
        <v>0</v>
      </c>
      <c r="K1169" s="6" t="s">
        <v>27</v>
      </c>
      <c r="L1169" s="6">
        <v>0</v>
      </c>
      <c r="M1169" s="6">
        <v>165</v>
      </c>
      <c r="N1169" s="8" t="str">
        <f t="shared" si="126"/>
        <v>0</v>
      </c>
      <c r="O1169" s="8">
        <f t="shared" si="127"/>
        <v>1980</v>
      </c>
      <c r="P1169" s="8">
        <f t="shared" si="128"/>
        <v>1980</v>
      </c>
      <c r="Q1169" s="8">
        <f t="shared" si="129"/>
        <v>0</v>
      </c>
      <c r="R1169" s="9">
        <f t="shared" si="130"/>
        <v>1980</v>
      </c>
      <c r="S1169" s="10">
        <f t="shared" si="131"/>
        <v>165</v>
      </c>
      <c r="T1169">
        <v>165</v>
      </c>
      <c r="U1169">
        <f t="shared" si="132"/>
        <v>0</v>
      </c>
    </row>
    <row r="1170" spans="1:21" ht="14.25" customHeight="1" x14ac:dyDescent="0.35">
      <c r="A1170" s="6" t="s">
        <v>3269</v>
      </c>
      <c r="B1170" s="6" t="s">
        <v>3270</v>
      </c>
      <c r="C1170" s="6" t="s">
        <v>3271</v>
      </c>
      <c r="D1170" s="6" t="s">
        <v>44</v>
      </c>
      <c r="E1170" s="7" t="s">
        <v>23</v>
      </c>
      <c r="F1170" s="6">
        <v>85013</v>
      </c>
      <c r="G1170" s="6" t="s">
        <v>213</v>
      </c>
      <c r="H1170" s="6" t="s">
        <v>73</v>
      </c>
      <c r="I1170" s="6" t="s">
        <v>57</v>
      </c>
      <c r="J1170" s="6" t="b">
        <v>0</v>
      </c>
      <c r="K1170" s="6" t="s">
        <v>27</v>
      </c>
      <c r="L1170" s="6">
        <v>0</v>
      </c>
      <c r="M1170" s="6">
        <v>165</v>
      </c>
      <c r="N1170" s="8" t="str">
        <f t="shared" si="126"/>
        <v>0</v>
      </c>
      <c r="O1170" s="8">
        <f t="shared" si="127"/>
        <v>1980</v>
      </c>
      <c r="P1170" s="8">
        <f t="shared" si="128"/>
        <v>1980</v>
      </c>
      <c r="Q1170" s="8">
        <f t="shared" si="129"/>
        <v>0</v>
      </c>
      <c r="R1170" s="9">
        <f t="shared" si="130"/>
        <v>1980</v>
      </c>
      <c r="S1170" s="10">
        <f t="shared" si="131"/>
        <v>165</v>
      </c>
      <c r="T1170">
        <v>165</v>
      </c>
      <c r="U1170">
        <f t="shared" si="132"/>
        <v>0</v>
      </c>
    </row>
    <row r="1171" spans="1:21" ht="14.25" customHeight="1" x14ac:dyDescent="0.35">
      <c r="A1171" s="6" t="s">
        <v>3272</v>
      </c>
      <c r="B1171" s="6" t="s">
        <v>3273</v>
      </c>
      <c r="C1171" s="6" t="s">
        <v>3274</v>
      </c>
      <c r="D1171" s="6" t="s">
        <v>44</v>
      </c>
      <c r="E1171" s="7" t="s">
        <v>23</v>
      </c>
      <c r="F1171" s="6">
        <v>85042</v>
      </c>
      <c r="G1171" s="6" t="s">
        <v>213</v>
      </c>
      <c r="H1171" s="6" t="s">
        <v>39</v>
      </c>
      <c r="I1171" s="6" t="s">
        <v>26</v>
      </c>
      <c r="J1171" s="6" t="b">
        <v>0</v>
      </c>
      <c r="K1171" s="6" t="s">
        <v>27</v>
      </c>
      <c r="L1171" s="6">
        <v>0</v>
      </c>
      <c r="M1171" s="6">
        <v>165</v>
      </c>
      <c r="N1171" s="8" t="str">
        <f t="shared" si="126"/>
        <v>0</v>
      </c>
      <c r="O1171" s="8">
        <f t="shared" si="127"/>
        <v>1980</v>
      </c>
      <c r="P1171" s="8">
        <f t="shared" si="128"/>
        <v>1980</v>
      </c>
      <c r="Q1171" s="8">
        <f t="shared" si="129"/>
        <v>0</v>
      </c>
      <c r="R1171" s="9">
        <f t="shared" si="130"/>
        <v>1980</v>
      </c>
      <c r="S1171" s="10">
        <f t="shared" si="131"/>
        <v>165</v>
      </c>
      <c r="T1171">
        <v>165</v>
      </c>
      <c r="U1171">
        <f t="shared" si="132"/>
        <v>0</v>
      </c>
    </row>
    <row r="1172" spans="1:21" ht="14.25" customHeight="1" x14ac:dyDescent="0.35">
      <c r="A1172" s="6" t="s">
        <v>3275</v>
      </c>
      <c r="B1172" s="6" t="s">
        <v>3276</v>
      </c>
      <c r="C1172" s="6" t="s">
        <v>3277</v>
      </c>
      <c r="D1172" s="6" t="s">
        <v>44</v>
      </c>
      <c r="E1172" s="7" t="s">
        <v>23</v>
      </c>
      <c r="F1172" s="6">
        <v>85051</v>
      </c>
      <c r="G1172" s="6" t="s">
        <v>72</v>
      </c>
      <c r="H1172" s="6" t="s">
        <v>93</v>
      </c>
      <c r="I1172" s="6" t="s">
        <v>26</v>
      </c>
      <c r="J1172" s="6" t="b">
        <v>0</v>
      </c>
      <c r="K1172" s="6" t="s">
        <v>27</v>
      </c>
      <c r="L1172" s="6">
        <v>0</v>
      </c>
      <c r="M1172" s="6">
        <v>165</v>
      </c>
      <c r="N1172" s="8" t="str">
        <f t="shared" si="126"/>
        <v>0</v>
      </c>
      <c r="O1172" s="8">
        <f t="shared" si="127"/>
        <v>1980</v>
      </c>
      <c r="P1172" s="8">
        <f t="shared" si="128"/>
        <v>1980</v>
      </c>
      <c r="Q1172" s="8">
        <f t="shared" si="129"/>
        <v>0</v>
      </c>
      <c r="R1172" s="9">
        <f t="shared" si="130"/>
        <v>1980</v>
      </c>
      <c r="S1172" s="10">
        <f t="shared" si="131"/>
        <v>165</v>
      </c>
      <c r="T1172">
        <v>165</v>
      </c>
      <c r="U1172">
        <f t="shared" si="132"/>
        <v>0</v>
      </c>
    </row>
    <row r="1173" spans="1:21" ht="14.25" customHeight="1" x14ac:dyDescent="0.35">
      <c r="A1173" s="6" t="s">
        <v>3278</v>
      </c>
      <c r="B1173" s="6" t="s">
        <v>3279</v>
      </c>
      <c r="C1173" s="6" t="s">
        <v>3280</v>
      </c>
      <c r="D1173" s="6" t="s">
        <v>54</v>
      </c>
      <c r="E1173" s="7" t="s">
        <v>23</v>
      </c>
      <c r="F1173" s="6">
        <v>85704</v>
      </c>
      <c r="G1173" s="6" t="s">
        <v>55</v>
      </c>
      <c r="H1173" s="6" t="s">
        <v>56</v>
      </c>
      <c r="I1173" s="6" t="s">
        <v>57</v>
      </c>
      <c r="J1173" s="6" t="b">
        <v>0</v>
      </c>
      <c r="K1173" s="6" t="s">
        <v>27</v>
      </c>
      <c r="L1173" s="6">
        <v>0</v>
      </c>
      <c r="M1173" s="6">
        <v>165</v>
      </c>
      <c r="N1173" s="8" t="str">
        <f t="shared" si="126"/>
        <v>0</v>
      </c>
      <c r="O1173" s="8">
        <f t="shared" si="127"/>
        <v>1980</v>
      </c>
      <c r="P1173" s="8">
        <f t="shared" si="128"/>
        <v>1980</v>
      </c>
      <c r="Q1173" s="8">
        <f t="shared" si="129"/>
        <v>0</v>
      </c>
      <c r="R1173" s="9">
        <f t="shared" si="130"/>
        <v>1980</v>
      </c>
      <c r="S1173" s="10">
        <f t="shared" si="131"/>
        <v>165</v>
      </c>
      <c r="T1173">
        <v>165</v>
      </c>
      <c r="U1173">
        <f t="shared" si="132"/>
        <v>0</v>
      </c>
    </row>
    <row r="1174" spans="1:21" ht="14.25" customHeight="1" x14ac:dyDescent="0.35">
      <c r="A1174" s="6" t="s">
        <v>3281</v>
      </c>
      <c r="B1174" s="6" t="s">
        <v>3282</v>
      </c>
      <c r="C1174" s="6" t="s">
        <v>3283</v>
      </c>
      <c r="D1174" s="6" t="s">
        <v>267</v>
      </c>
      <c r="E1174" s="7" t="s">
        <v>23</v>
      </c>
      <c r="F1174" s="6">
        <v>85374</v>
      </c>
      <c r="G1174" s="6" t="s">
        <v>78</v>
      </c>
      <c r="H1174" s="6" t="s">
        <v>281</v>
      </c>
      <c r="I1174" s="6" t="s">
        <v>26</v>
      </c>
      <c r="J1174" s="6" t="b">
        <v>0</v>
      </c>
      <c r="K1174" s="6" t="s">
        <v>27</v>
      </c>
      <c r="L1174" s="6">
        <v>0</v>
      </c>
      <c r="M1174" s="6">
        <v>165</v>
      </c>
      <c r="N1174" s="8" t="str">
        <f t="shared" si="126"/>
        <v>0</v>
      </c>
      <c r="O1174" s="8">
        <f t="shared" si="127"/>
        <v>1980</v>
      </c>
      <c r="P1174" s="8">
        <f t="shared" si="128"/>
        <v>1980</v>
      </c>
      <c r="Q1174" s="8">
        <f t="shared" si="129"/>
        <v>0</v>
      </c>
      <c r="R1174" s="9">
        <f t="shared" si="130"/>
        <v>1980</v>
      </c>
      <c r="S1174" s="10">
        <f t="shared" si="131"/>
        <v>165</v>
      </c>
      <c r="T1174">
        <v>165</v>
      </c>
      <c r="U1174">
        <f t="shared" si="132"/>
        <v>0</v>
      </c>
    </row>
    <row r="1175" spans="1:21" ht="14.25" customHeight="1" x14ac:dyDescent="0.35">
      <c r="A1175" s="6" t="s">
        <v>3284</v>
      </c>
      <c r="B1175" s="6" t="s">
        <v>3285</v>
      </c>
      <c r="C1175" s="6" t="s">
        <v>3286</v>
      </c>
      <c r="D1175" s="6" t="s">
        <v>44</v>
      </c>
      <c r="E1175" s="7" t="s">
        <v>23</v>
      </c>
      <c r="F1175" s="6">
        <v>85083</v>
      </c>
      <c r="G1175" s="6" t="s">
        <v>78</v>
      </c>
      <c r="H1175" s="6" t="s">
        <v>281</v>
      </c>
      <c r="J1175" s="6" t="b">
        <v>0</v>
      </c>
      <c r="K1175" s="6" t="s">
        <v>27</v>
      </c>
      <c r="L1175" s="6">
        <v>0</v>
      </c>
      <c r="M1175" s="6">
        <v>165</v>
      </c>
      <c r="N1175" s="8" t="str">
        <f t="shared" si="126"/>
        <v>0</v>
      </c>
      <c r="O1175" s="8">
        <f t="shared" si="127"/>
        <v>1980</v>
      </c>
      <c r="P1175" s="8">
        <f t="shared" si="128"/>
        <v>1980</v>
      </c>
      <c r="Q1175" s="8">
        <f t="shared" si="129"/>
        <v>0</v>
      </c>
      <c r="R1175" s="9">
        <f t="shared" si="130"/>
        <v>1980</v>
      </c>
      <c r="S1175" s="10">
        <f t="shared" si="131"/>
        <v>165</v>
      </c>
      <c r="T1175">
        <v>165</v>
      </c>
      <c r="U1175">
        <f t="shared" si="132"/>
        <v>0</v>
      </c>
    </row>
    <row r="1176" spans="1:21" ht="14.25" customHeight="1" x14ac:dyDescent="0.35">
      <c r="A1176" s="6" t="s">
        <v>3287</v>
      </c>
      <c r="B1176" s="6" t="s">
        <v>3288</v>
      </c>
      <c r="C1176" s="6" t="s">
        <v>3289</v>
      </c>
      <c r="D1176" s="6" t="s">
        <v>77</v>
      </c>
      <c r="E1176" s="7" t="s">
        <v>23</v>
      </c>
      <c r="F1176" s="6">
        <v>85308</v>
      </c>
      <c r="G1176" s="6" t="s">
        <v>78</v>
      </c>
      <c r="H1176" s="6" t="s">
        <v>281</v>
      </c>
      <c r="I1176" s="6" t="s">
        <v>26</v>
      </c>
      <c r="J1176" s="6" t="b">
        <v>0</v>
      </c>
      <c r="K1176" s="6" t="s">
        <v>27</v>
      </c>
      <c r="L1176" s="6">
        <v>0</v>
      </c>
      <c r="M1176" s="6">
        <v>165</v>
      </c>
      <c r="N1176" s="8" t="str">
        <f t="shared" si="126"/>
        <v>0</v>
      </c>
      <c r="O1176" s="8">
        <f t="shared" si="127"/>
        <v>1980</v>
      </c>
      <c r="P1176" s="8">
        <f t="shared" si="128"/>
        <v>1980</v>
      </c>
      <c r="Q1176" s="8">
        <f t="shared" si="129"/>
        <v>0</v>
      </c>
      <c r="R1176" s="9">
        <f t="shared" si="130"/>
        <v>1980</v>
      </c>
      <c r="S1176" s="10">
        <f t="shared" si="131"/>
        <v>165</v>
      </c>
      <c r="T1176">
        <v>165</v>
      </c>
      <c r="U1176">
        <f t="shared" si="132"/>
        <v>0</v>
      </c>
    </row>
    <row r="1177" spans="1:21" ht="14.25" customHeight="1" x14ac:dyDescent="0.35">
      <c r="A1177" s="6" t="s">
        <v>3290</v>
      </c>
      <c r="B1177" s="6" t="s">
        <v>3291</v>
      </c>
      <c r="C1177" s="6" t="s">
        <v>3292</v>
      </c>
      <c r="D1177" s="6" t="s">
        <v>1627</v>
      </c>
      <c r="E1177" s="7" t="s">
        <v>23</v>
      </c>
      <c r="F1177" s="6">
        <v>85131</v>
      </c>
      <c r="G1177" s="6" t="s">
        <v>87</v>
      </c>
      <c r="H1177" s="6" t="s">
        <v>99</v>
      </c>
      <c r="I1177" s="6" t="s">
        <v>61</v>
      </c>
      <c r="J1177" s="6" t="b">
        <v>0</v>
      </c>
      <c r="K1177" s="6" t="s">
        <v>27</v>
      </c>
      <c r="L1177" s="6">
        <v>0</v>
      </c>
      <c r="M1177" s="6">
        <v>165</v>
      </c>
      <c r="N1177" s="8" t="str">
        <f t="shared" si="126"/>
        <v>0</v>
      </c>
      <c r="O1177" s="8">
        <f t="shared" si="127"/>
        <v>1980</v>
      </c>
      <c r="P1177" s="8">
        <f t="shared" si="128"/>
        <v>1980</v>
      </c>
      <c r="Q1177" s="8">
        <f t="shared" si="129"/>
        <v>0</v>
      </c>
      <c r="R1177" s="9">
        <f t="shared" si="130"/>
        <v>1980</v>
      </c>
      <c r="S1177" s="10">
        <f t="shared" si="131"/>
        <v>165</v>
      </c>
      <c r="T1177">
        <v>165</v>
      </c>
      <c r="U1177">
        <f t="shared" si="132"/>
        <v>0</v>
      </c>
    </row>
    <row r="1178" spans="1:21" ht="14.25" customHeight="1" x14ac:dyDescent="0.35">
      <c r="A1178" s="6" t="s">
        <v>3293</v>
      </c>
      <c r="B1178" s="6" t="s">
        <v>3294</v>
      </c>
      <c r="C1178" s="6" t="s">
        <v>3295</v>
      </c>
      <c r="D1178" s="6" t="s">
        <v>31</v>
      </c>
      <c r="E1178" s="7" t="s">
        <v>23</v>
      </c>
      <c r="F1178" s="6">
        <v>85258</v>
      </c>
      <c r="G1178" s="6" t="s">
        <v>45</v>
      </c>
      <c r="H1178" s="6" t="s">
        <v>33</v>
      </c>
      <c r="I1178" s="6" t="s">
        <v>26</v>
      </c>
      <c r="J1178" s="6" t="b">
        <v>0</v>
      </c>
      <c r="K1178" s="6" t="s">
        <v>27</v>
      </c>
      <c r="L1178" s="6">
        <v>0</v>
      </c>
      <c r="M1178" s="6">
        <v>165</v>
      </c>
      <c r="N1178" s="8" t="str">
        <f t="shared" si="126"/>
        <v>0</v>
      </c>
      <c r="O1178" s="8">
        <f t="shared" si="127"/>
        <v>1980</v>
      </c>
      <c r="P1178" s="8">
        <f t="shared" si="128"/>
        <v>1980</v>
      </c>
      <c r="Q1178" s="8">
        <f t="shared" si="129"/>
        <v>0</v>
      </c>
      <c r="R1178" s="9">
        <f t="shared" si="130"/>
        <v>1980</v>
      </c>
      <c r="S1178" s="10">
        <f t="shared" si="131"/>
        <v>165</v>
      </c>
      <c r="T1178">
        <v>165</v>
      </c>
      <c r="U1178">
        <f t="shared" si="132"/>
        <v>0</v>
      </c>
    </row>
    <row r="1179" spans="1:21" ht="14.25" customHeight="1" x14ac:dyDescent="0.35">
      <c r="A1179" s="6" t="s">
        <v>3296</v>
      </c>
      <c r="B1179" s="6" t="s">
        <v>3297</v>
      </c>
      <c r="C1179" s="6" t="s">
        <v>3298</v>
      </c>
      <c r="D1179" s="6" t="s">
        <v>31</v>
      </c>
      <c r="E1179" s="7" t="s">
        <v>23</v>
      </c>
      <c r="F1179" s="6">
        <v>85259</v>
      </c>
      <c r="G1179" s="6" t="s">
        <v>45</v>
      </c>
      <c r="H1179" s="6" t="s">
        <v>291</v>
      </c>
      <c r="I1179" s="6" t="s">
        <v>26</v>
      </c>
      <c r="J1179" s="6" t="b">
        <v>0</v>
      </c>
      <c r="K1179" s="6" t="s">
        <v>27</v>
      </c>
      <c r="L1179" s="6">
        <v>0</v>
      </c>
      <c r="M1179" s="6">
        <v>165</v>
      </c>
      <c r="N1179" s="8" t="str">
        <f t="shared" si="126"/>
        <v>0</v>
      </c>
      <c r="O1179" s="8">
        <f t="shared" si="127"/>
        <v>1980</v>
      </c>
      <c r="P1179" s="8">
        <f t="shared" si="128"/>
        <v>1980</v>
      </c>
      <c r="Q1179" s="8">
        <f t="shared" si="129"/>
        <v>0</v>
      </c>
      <c r="R1179" s="9">
        <f t="shared" si="130"/>
        <v>1980</v>
      </c>
      <c r="S1179" s="10">
        <f t="shared" si="131"/>
        <v>165</v>
      </c>
      <c r="T1179">
        <v>165</v>
      </c>
      <c r="U1179">
        <f t="shared" si="132"/>
        <v>0</v>
      </c>
    </row>
    <row r="1180" spans="1:21" ht="14.25" customHeight="1" x14ac:dyDescent="0.35">
      <c r="A1180" s="6" t="s">
        <v>3299</v>
      </c>
      <c r="B1180" s="6" t="s">
        <v>3300</v>
      </c>
      <c r="C1180" s="6" t="s">
        <v>3301</v>
      </c>
      <c r="D1180" s="6" t="s">
        <v>31</v>
      </c>
      <c r="E1180" s="7" t="s">
        <v>23</v>
      </c>
      <c r="F1180" s="6">
        <v>85255</v>
      </c>
      <c r="G1180" s="6" t="s">
        <v>45</v>
      </c>
      <c r="H1180" s="6" t="s">
        <v>33</v>
      </c>
      <c r="I1180" s="6" t="s">
        <v>26</v>
      </c>
      <c r="J1180" s="6" t="b">
        <v>0</v>
      </c>
      <c r="K1180" s="6" t="s">
        <v>27</v>
      </c>
      <c r="L1180" s="6">
        <v>0</v>
      </c>
      <c r="M1180" s="6">
        <v>165</v>
      </c>
      <c r="N1180" s="8" t="str">
        <f t="shared" si="126"/>
        <v>0</v>
      </c>
      <c r="O1180" s="8">
        <f t="shared" si="127"/>
        <v>1980</v>
      </c>
      <c r="P1180" s="8">
        <f t="shared" si="128"/>
        <v>1980</v>
      </c>
      <c r="Q1180" s="8">
        <f t="shared" si="129"/>
        <v>0</v>
      </c>
      <c r="R1180" s="9">
        <f t="shared" si="130"/>
        <v>1980</v>
      </c>
      <c r="S1180" s="10">
        <f t="shared" si="131"/>
        <v>165</v>
      </c>
      <c r="T1180">
        <v>165</v>
      </c>
      <c r="U1180">
        <f t="shared" si="132"/>
        <v>0</v>
      </c>
    </row>
    <row r="1181" spans="1:21" ht="14.25" customHeight="1" x14ac:dyDescent="0.35">
      <c r="A1181" s="6" t="s">
        <v>3302</v>
      </c>
      <c r="B1181" s="6" t="s">
        <v>3303</v>
      </c>
      <c r="C1181" s="6" t="s">
        <v>3304</v>
      </c>
      <c r="D1181" s="6" t="s">
        <v>165</v>
      </c>
      <c r="E1181" s="7" t="s">
        <v>23</v>
      </c>
      <c r="F1181" s="6">
        <v>85297</v>
      </c>
      <c r="G1181" s="6" t="s">
        <v>125</v>
      </c>
      <c r="H1181" s="6" t="s">
        <v>225</v>
      </c>
      <c r="I1181" s="6" t="s">
        <v>26</v>
      </c>
      <c r="J1181" s="6" t="b">
        <v>0</v>
      </c>
      <c r="K1181" s="6" t="s">
        <v>27</v>
      </c>
      <c r="L1181" s="6">
        <v>0</v>
      </c>
      <c r="M1181" s="6">
        <v>165</v>
      </c>
      <c r="N1181" s="8" t="str">
        <f t="shared" si="126"/>
        <v>0</v>
      </c>
      <c r="O1181" s="8">
        <f t="shared" si="127"/>
        <v>1980</v>
      </c>
      <c r="P1181" s="8">
        <f t="shared" si="128"/>
        <v>1980</v>
      </c>
      <c r="Q1181" s="8">
        <f t="shared" si="129"/>
        <v>0</v>
      </c>
      <c r="R1181" s="9">
        <f t="shared" si="130"/>
        <v>1980</v>
      </c>
      <c r="S1181" s="10">
        <f t="shared" si="131"/>
        <v>165</v>
      </c>
      <c r="T1181">
        <v>165</v>
      </c>
      <c r="U1181">
        <f t="shared" si="132"/>
        <v>0</v>
      </c>
    </row>
    <row r="1182" spans="1:21" ht="14.25" customHeight="1" x14ac:dyDescent="0.35">
      <c r="A1182" s="6" t="s">
        <v>3305</v>
      </c>
      <c r="B1182" s="6" t="s">
        <v>3306</v>
      </c>
      <c r="C1182" s="6" t="s">
        <v>3307</v>
      </c>
      <c r="D1182" s="6" t="s">
        <v>65</v>
      </c>
      <c r="E1182" s="7" t="s">
        <v>23</v>
      </c>
      <c r="F1182" s="6">
        <v>85202</v>
      </c>
      <c r="G1182" s="6" t="s">
        <v>364</v>
      </c>
      <c r="H1182" s="6" t="s">
        <v>365</v>
      </c>
      <c r="I1182" s="6" t="s">
        <v>26</v>
      </c>
      <c r="J1182" s="6" t="b">
        <v>0</v>
      </c>
      <c r="K1182" s="6" t="s">
        <v>27</v>
      </c>
      <c r="L1182" s="6">
        <v>0</v>
      </c>
      <c r="M1182" s="6">
        <v>165</v>
      </c>
      <c r="N1182" s="8" t="str">
        <f t="shared" si="126"/>
        <v>0</v>
      </c>
      <c r="O1182" s="8">
        <f t="shared" si="127"/>
        <v>1980</v>
      </c>
      <c r="P1182" s="8">
        <f t="shared" si="128"/>
        <v>1980</v>
      </c>
      <c r="Q1182" s="8">
        <f t="shared" si="129"/>
        <v>0</v>
      </c>
      <c r="R1182" s="9">
        <f t="shared" si="130"/>
        <v>1980</v>
      </c>
      <c r="S1182" s="10">
        <f t="shared" si="131"/>
        <v>165</v>
      </c>
      <c r="T1182">
        <v>165</v>
      </c>
      <c r="U1182">
        <f t="shared" si="132"/>
        <v>0</v>
      </c>
    </row>
    <row r="1183" spans="1:21" ht="14.25" customHeight="1" x14ac:dyDescent="0.35">
      <c r="A1183" s="6" t="s">
        <v>3308</v>
      </c>
      <c r="B1183" s="6" t="s">
        <v>3309</v>
      </c>
      <c r="C1183" s="6" t="s">
        <v>3310</v>
      </c>
      <c r="D1183" s="6" t="s">
        <v>22</v>
      </c>
      <c r="E1183" s="7" t="s">
        <v>23</v>
      </c>
      <c r="F1183" s="6">
        <v>85248</v>
      </c>
      <c r="G1183" s="6" t="s">
        <v>125</v>
      </c>
      <c r="H1183" s="6" t="s">
        <v>126</v>
      </c>
      <c r="I1183" s="6" t="s">
        <v>26</v>
      </c>
      <c r="J1183" s="6" t="b">
        <v>0</v>
      </c>
      <c r="K1183" s="6" t="s">
        <v>27</v>
      </c>
      <c r="L1183" s="6">
        <v>0</v>
      </c>
      <c r="M1183" s="6">
        <v>165</v>
      </c>
      <c r="N1183" s="8" t="str">
        <f t="shared" si="126"/>
        <v>0</v>
      </c>
      <c r="O1183" s="8">
        <f t="shared" si="127"/>
        <v>1980</v>
      </c>
      <c r="P1183" s="8">
        <f t="shared" si="128"/>
        <v>1980</v>
      </c>
      <c r="Q1183" s="8">
        <f t="shared" si="129"/>
        <v>0</v>
      </c>
      <c r="R1183" s="9">
        <f t="shared" si="130"/>
        <v>1980</v>
      </c>
      <c r="S1183" s="10">
        <f t="shared" si="131"/>
        <v>165</v>
      </c>
      <c r="T1183">
        <v>165</v>
      </c>
      <c r="U1183">
        <f t="shared" si="132"/>
        <v>0</v>
      </c>
    </row>
    <row r="1184" spans="1:21" ht="14.25" customHeight="1" x14ac:dyDescent="0.35">
      <c r="A1184" s="6" t="s">
        <v>3311</v>
      </c>
      <c r="B1184" s="6" t="s">
        <v>3312</v>
      </c>
      <c r="C1184" s="6" t="s">
        <v>3313</v>
      </c>
      <c r="D1184" s="6" t="s">
        <v>818</v>
      </c>
      <c r="E1184" s="7" t="s">
        <v>23</v>
      </c>
      <c r="F1184" s="6">
        <v>85340</v>
      </c>
      <c r="G1184" s="6" t="s">
        <v>38</v>
      </c>
      <c r="H1184" s="6" t="s">
        <v>378</v>
      </c>
      <c r="I1184" s="6" t="s">
        <v>26</v>
      </c>
      <c r="J1184" s="6" t="b">
        <v>0</v>
      </c>
      <c r="K1184" s="6" t="s">
        <v>27</v>
      </c>
      <c r="L1184" s="6">
        <v>0</v>
      </c>
      <c r="M1184" s="6">
        <v>165</v>
      </c>
      <c r="N1184" s="8" t="str">
        <f t="shared" si="126"/>
        <v>0</v>
      </c>
      <c r="O1184" s="8">
        <f t="shared" si="127"/>
        <v>1980</v>
      </c>
      <c r="P1184" s="8">
        <f t="shared" si="128"/>
        <v>1980</v>
      </c>
      <c r="Q1184" s="8">
        <f t="shared" si="129"/>
        <v>0</v>
      </c>
      <c r="R1184" s="9">
        <f t="shared" si="130"/>
        <v>1980</v>
      </c>
      <c r="S1184" s="10">
        <f t="shared" si="131"/>
        <v>165</v>
      </c>
      <c r="T1184">
        <v>165</v>
      </c>
      <c r="U1184">
        <f t="shared" si="132"/>
        <v>0</v>
      </c>
    </row>
    <row r="1185" spans="1:21" ht="14.25" customHeight="1" x14ac:dyDescent="0.35">
      <c r="A1185" s="6" t="s">
        <v>3314</v>
      </c>
      <c r="B1185" s="6" t="s">
        <v>3315</v>
      </c>
      <c r="C1185" s="6" t="s">
        <v>3316</v>
      </c>
      <c r="D1185" s="6" t="s">
        <v>44</v>
      </c>
      <c r="E1185" s="7" t="s">
        <v>23</v>
      </c>
      <c r="F1185" s="6">
        <v>85086</v>
      </c>
      <c r="G1185" s="6" t="s">
        <v>32</v>
      </c>
      <c r="I1185" s="6" t="s">
        <v>61</v>
      </c>
      <c r="J1185" s="6" t="b">
        <v>0</v>
      </c>
      <c r="K1185" s="6" t="s">
        <v>27</v>
      </c>
      <c r="L1185" s="6">
        <v>0</v>
      </c>
      <c r="M1185" s="6">
        <v>165</v>
      </c>
      <c r="N1185" s="8" t="str">
        <f t="shared" si="126"/>
        <v>0</v>
      </c>
      <c r="O1185" s="8">
        <f t="shared" si="127"/>
        <v>1980</v>
      </c>
      <c r="P1185" s="8">
        <f t="shared" si="128"/>
        <v>1980</v>
      </c>
      <c r="Q1185" s="8">
        <f t="shared" si="129"/>
        <v>0</v>
      </c>
      <c r="R1185" s="9">
        <f t="shared" si="130"/>
        <v>1980</v>
      </c>
      <c r="S1185" s="10">
        <f t="shared" si="131"/>
        <v>165</v>
      </c>
      <c r="T1185">
        <v>165</v>
      </c>
      <c r="U1185">
        <f t="shared" si="132"/>
        <v>0</v>
      </c>
    </row>
    <row r="1186" spans="1:21" ht="14.25" customHeight="1" x14ac:dyDescent="0.35">
      <c r="A1186" s="6" t="s">
        <v>3317</v>
      </c>
      <c r="B1186" s="6" t="s">
        <v>3318</v>
      </c>
      <c r="C1186" s="6" t="s">
        <v>3319</v>
      </c>
      <c r="D1186" s="6" t="s">
        <v>892</v>
      </c>
      <c r="E1186" s="7" t="s">
        <v>23</v>
      </c>
      <c r="F1186" s="6">
        <v>85142</v>
      </c>
      <c r="G1186" s="6" t="s">
        <v>125</v>
      </c>
      <c r="H1186" s="6" t="s">
        <v>3320</v>
      </c>
      <c r="I1186" s="6" t="s">
        <v>61</v>
      </c>
      <c r="J1186" s="6" t="b">
        <v>0</v>
      </c>
      <c r="K1186" s="6" t="s">
        <v>27</v>
      </c>
      <c r="L1186" s="6">
        <v>0</v>
      </c>
      <c r="M1186" s="6">
        <v>165</v>
      </c>
      <c r="N1186" s="8" t="str">
        <f t="shared" si="126"/>
        <v>0</v>
      </c>
      <c r="O1186" s="8">
        <f t="shared" si="127"/>
        <v>1980</v>
      </c>
      <c r="P1186" s="8">
        <f t="shared" si="128"/>
        <v>1980</v>
      </c>
      <c r="Q1186" s="8">
        <f t="shared" si="129"/>
        <v>0</v>
      </c>
      <c r="R1186" s="9">
        <f t="shared" si="130"/>
        <v>1980</v>
      </c>
      <c r="S1186" s="10">
        <f t="shared" si="131"/>
        <v>165</v>
      </c>
      <c r="T1186">
        <v>165</v>
      </c>
      <c r="U1186">
        <f t="shared" si="132"/>
        <v>0</v>
      </c>
    </row>
    <row r="1187" spans="1:21" ht="14.25" customHeight="1" x14ac:dyDescent="0.35">
      <c r="A1187" s="6" t="s">
        <v>3321</v>
      </c>
      <c r="B1187" s="6" t="s">
        <v>3322</v>
      </c>
      <c r="C1187" s="6" t="s">
        <v>3323</v>
      </c>
      <c r="D1187" s="6" t="s">
        <v>165</v>
      </c>
      <c r="E1187" s="7" t="s">
        <v>23</v>
      </c>
      <c r="F1187" s="6">
        <v>85295</v>
      </c>
      <c r="G1187" s="6" t="s">
        <v>125</v>
      </c>
      <c r="H1187" s="6" t="s">
        <v>225</v>
      </c>
      <c r="I1187" s="6" t="s">
        <v>26</v>
      </c>
      <c r="J1187" s="6" t="b">
        <v>0</v>
      </c>
      <c r="K1187" s="6" t="s">
        <v>27</v>
      </c>
      <c r="L1187" s="6">
        <v>0</v>
      </c>
      <c r="M1187" s="6">
        <v>165</v>
      </c>
      <c r="N1187" s="8" t="str">
        <f t="shared" si="126"/>
        <v>0</v>
      </c>
      <c r="O1187" s="8">
        <f t="shared" si="127"/>
        <v>1980</v>
      </c>
      <c r="P1187" s="8">
        <f t="shared" si="128"/>
        <v>1980</v>
      </c>
      <c r="Q1187" s="8">
        <f t="shared" si="129"/>
        <v>0</v>
      </c>
      <c r="R1187" s="9">
        <f t="shared" si="130"/>
        <v>1980</v>
      </c>
      <c r="S1187" s="10">
        <f t="shared" si="131"/>
        <v>165</v>
      </c>
      <c r="T1187">
        <v>165</v>
      </c>
      <c r="U1187">
        <f t="shared" si="132"/>
        <v>0</v>
      </c>
    </row>
    <row r="1188" spans="1:21" ht="14.25" customHeight="1" x14ac:dyDescent="0.35">
      <c r="A1188" s="6" t="s">
        <v>3324</v>
      </c>
      <c r="B1188" s="6" t="s">
        <v>3325</v>
      </c>
      <c r="C1188" s="6" t="s">
        <v>3326</v>
      </c>
      <c r="D1188" s="6" t="s">
        <v>363</v>
      </c>
      <c r="E1188" s="7" t="s">
        <v>23</v>
      </c>
      <c r="F1188" s="6">
        <v>85283</v>
      </c>
      <c r="G1188" s="6" t="s">
        <v>364</v>
      </c>
      <c r="H1188" s="6" t="s">
        <v>365</v>
      </c>
      <c r="I1188" s="6" t="s">
        <v>26</v>
      </c>
      <c r="J1188" s="6" t="b">
        <v>0</v>
      </c>
      <c r="K1188" s="6" t="s">
        <v>27</v>
      </c>
      <c r="L1188" s="6">
        <v>0</v>
      </c>
      <c r="M1188" s="6">
        <v>165</v>
      </c>
      <c r="N1188" s="8" t="str">
        <f t="shared" si="126"/>
        <v>0</v>
      </c>
      <c r="O1188" s="8">
        <f t="shared" si="127"/>
        <v>1980</v>
      </c>
      <c r="P1188" s="8">
        <f t="shared" si="128"/>
        <v>1980</v>
      </c>
      <c r="Q1188" s="8">
        <f t="shared" si="129"/>
        <v>0</v>
      </c>
      <c r="R1188" s="9">
        <f t="shared" si="130"/>
        <v>1980</v>
      </c>
      <c r="S1188" s="10">
        <f t="shared" si="131"/>
        <v>165</v>
      </c>
      <c r="T1188">
        <v>165</v>
      </c>
      <c r="U1188">
        <f t="shared" si="132"/>
        <v>0</v>
      </c>
    </row>
    <row r="1189" spans="1:21" ht="14.25" customHeight="1" x14ac:dyDescent="0.35">
      <c r="A1189" s="6" t="s">
        <v>3327</v>
      </c>
      <c r="B1189" s="6" t="s">
        <v>3328</v>
      </c>
      <c r="C1189" s="6" t="s">
        <v>3329</v>
      </c>
      <c r="D1189" s="6" t="s">
        <v>77</v>
      </c>
      <c r="E1189" s="7" t="s">
        <v>23</v>
      </c>
      <c r="F1189" s="6">
        <v>85308</v>
      </c>
      <c r="G1189" s="6" t="s">
        <v>78</v>
      </c>
      <c r="H1189" s="6" t="s">
        <v>79</v>
      </c>
      <c r="J1189" s="6" t="b">
        <v>0</v>
      </c>
      <c r="K1189" s="6" t="s">
        <v>27</v>
      </c>
      <c r="L1189" s="6">
        <v>0</v>
      </c>
      <c r="M1189" s="6">
        <v>165</v>
      </c>
      <c r="N1189" s="8" t="str">
        <f t="shared" si="126"/>
        <v>0</v>
      </c>
      <c r="O1189" s="8">
        <f t="shared" si="127"/>
        <v>1980</v>
      </c>
      <c r="P1189" s="8">
        <f t="shared" si="128"/>
        <v>1980</v>
      </c>
      <c r="Q1189" s="8">
        <f t="shared" si="129"/>
        <v>0</v>
      </c>
      <c r="R1189" s="9">
        <f t="shared" si="130"/>
        <v>1980</v>
      </c>
      <c r="S1189" s="10">
        <f t="shared" si="131"/>
        <v>165</v>
      </c>
      <c r="T1189">
        <v>165</v>
      </c>
      <c r="U1189">
        <f t="shared" si="132"/>
        <v>0</v>
      </c>
    </row>
    <row r="1190" spans="1:21" ht="14.25" customHeight="1" x14ac:dyDescent="0.35">
      <c r="A1190" s="6" t="s">
        <v>3330</v>
      </c>
      <c r="B1190" s="6" t="s">
        <v>3331</v>
      </c>
      <c r="C1190" s="6" t="s">
        <v>3332</v>
      </c>
      <c r="D1190" s="6" t="s">
        <v>65</v>
      </c>
      <c r="E1190" s="7" t="s">
        <v>23</v>
      </c>
      <c r="F1190" s="6">
        <v>85213</v>
      </c>
      <c r="G1190" s="6" t="s">
        <v>66</v>
      </c>
      <c r="H1190" s="6" t="s">
        <v>67</v>
      </c>
      <c r="I1190" s="6" t="s">
        <v>26</v>
      </c>
      <c r="J1190" s="6" t="b">
        <v>0</v>
      </c>
      <c r="K1190" s="6" t="s">
        <v>27</v>
      </c>
      <c r="L1190" s="6">
        <v>0</v>
      </c>
      <c r="M1190" s="6">
        <v>165</v>
      </c>
      <c r="N1190" s="8" t="str">
        <f t="shared" si="126"/>
        <v>0</v>
      </c>
      <c r="O1190" s="8">
        <f t="shared" si="127"/>
        <v>1980</v>
      </c>
      <c r="P1190" s="8">
        <f t="shared" si="128"/>
        <v>1980</v>
      </c>
      <c r="Q1190" s="8">
        <f t="shared" si="129"/>
        <v>0</v>
      </c>
      <c r="R1190" s="9">
        <f t="shared" si="130"/>
        <v>1980</v>
      </c>
      <c r="S1190" s="10">
        <f t="shared" si="131"/>
        <v>165</v>
      </c>
      <c r="T1190">
        <v>165</v>
      </c>
      <c r="U1190">
        <f t="shared" si="132"/>
        <v>0</v>
      </c>
    </row>
    <row r="1191" spans="1:21" ht="14.25" customHeight="1" x14ac:dyDescent="0.35">
      <c r="A1191" s="6" t="s">
        <v>3333</v>
      </c>
      <c r="B1191" s="6" t="s">
        <v>3334</v>
      </c>
      <c r="C1191" s="6" t="s">
        <v>3335</v>
      </c>
      <c r="D1191" s="6" t="s">
        <v>31</v>
      </c>
      <c r="E1191" s="7" t="s">
        <v>23</v>
      </c>
      <c r="F1191" s="6">
        <v>85257</v>
      </c>
      <c r="G1191" s="6" t="s">
        <v>49</v>
      </c>
      <c r="H1191" s="6" t="s">
        <v>202</v>
      </c>
      <c r="I1191" s="6" t="s">
        <v>26</v>
      </c>
      <c r="J1191" s="6" t="b">
        <v>0</v>
      </c>
      <c r="K1191" s="6" t="s">
        <v>27</v>
      </c>
      <c r="L1191" s="6">
        <v>0</v>
      </c>
      <c r="M1191" s="6">
        <v>165</v>
      </c>
      <c r="N1191" s="8" t="str">
        <f t="shared" si="126"/>
        <v>0</v>
      </c>
      <c r="O1191" s="8">
        <f t="shared" si="127"/>
        <v>1980</v>
      </c>
      <c r="P1191" s="8">
        <f t="shared" si="128"/>
        <v>1980</v>
      </c>
      <c r="Q1191" s="8">
        <f t="shared" si="129"/>
        <v>0</v>
      </c>
      <c r="R1191" s="9">
        <f t="shared" si="130"/>
        <v>1980</v>
      </c>
      <c r="S1191" s="10">
        <f t="shared" si="131"/>
        <v>165</v>
      </c>
      <c r="T1191">
        <v>165</v>
      </c>
      <c r="U1191">
        <f t="shared" si="132"/>
        <v>0</v>
      </c>
    </row>
    <row r="1192" spans="1:21" ht="14.25" customHeight="1" x14ac:dyDescent="0.35">
      <c r="A1192" s="6" t="s">
        <v>3336</v>
      </c>
      <c r="B1192" s="6" t="s">
        <v>3337</v>
      </c>
      <c r="C1192" s="6" t="s">
        <v>3338</v>
      </c>
      <c r="D1192" s="6" t="s">
        <v>482</v>
      </c>
      <c r="E1192" s="7" t="s">
        <v>23</v>
      </c>
      <c r="F1192" s="6">
        <v>85396</v>
      </c>
      <c r="G1192" s="6" t="s">
        <v>38</v>
      </c>
      <c r="H1192" s="6" t="s">
        <v>378</v>
      </c>
      <c r="J1192" s="6" t="b">
        <v>0</v>
      </c>
      <c r="K1192" s="6" t="s">
        <v>27</v>
      </c>
      <c r="L1192" s="6">
        <v>0</v>
      </c>
      <c r="M1192" s="6">
        <v>165</v>
      </c>
      <c r="N1192" s="8" t="str">
        <f t="shared" si="126"/>
        <v>0</v>
      </c>
      <c r="O1192" s="8">
        <f t="shared" si="127"/>
        <v>1980</v>
      </c>
      <c r="P1192" s="8">
        <f t="shared" si="128"/>
        <v>1980</v>
      </c>
      <c r="Q1192" s="8">
        <f t="shared" si="129"/>
        <v>0</v>
      </c>
      <c r="R1192" s="9">
        <f t="shared" si="130"/>
        <v>1980</v>
      </c>
      <c r="S1192" s="10">
        <f t="shared" si="131"/>
        <v>165</v>
      </c>
      <c r="T1192">
        <v>165</v>
      </c>
      <c r="U1192">
        <f t="shared" si="132"/>
        <v>0</v>
      </c>
    </row>
    <row r="1193" spans="1:21" ht="14.25" customHeight="1" x14ac:dyDescent="0.35">
      <c r="A1193" s="6" t="s">
        <v>3339</v>
      </c>
      <c r="B1193" s="6" t="s">
        <v>3340</v>
      </c>
      <c r="C1193" s="6" t="s">
        <v>3341</v>
      </c>
      <c r="D1193" s="6" t="s">
        <v>31</v>
      </c>
      <c r="E1193" s="7" t="s">
        <v>23</v>
      </c>
      <c r="F1193" s="6">
        <v>85255</v>
      </c>
      <c r="G1193" s="6" t="s">
        <v>32</v>
      </c>
      <c r="H1193" s="6" t="s">
        <v>33</v>
      </c>
      <c r="I1193" s="6" t="s">
        <v>26</v>
      </c>
      <c r="J1193" s="6" t="b">
        <v>0</v>
      </c>
      <c r="K1193" s="6" t="s">
        <v>27</v>
      </c>
      <c r="L1193" s="6">
        <v>0</v>
      </c>
      <c r="M1193" s="6">
        <v>165</v>
      </c>
      <c r="N1193" s="8" t="str">
        <f t="shared" si="126"/>
        <v>0</v>
      </c>
      <c r="O1193" s="8">
        <f t="shared" si="127"/>
        <v>1980</v>
      </c>
      <c r="P1193" s="8">
        <f t="shared" si="128"/>
        <v>1980</v>
      </c>
      <c r="Q1193" s="8">
        <f t="shared" si="129"/>
        <v>0</v>
      </c>
      <c r="R1193" s="9">
        <f t="shared" si="130"/>
        <v>1980</v>
      </c>
      <c r="S1193" s="10">
        <f t="shared" si="131"/>
        <v>165</v>
      </c>
      <c r="T1193">
        <v>165</v>
      </c>
      <c r="U1193">
        <f t="shared" si="132"/>
        <v>0</v>
      </c>
    </row>
    <row r="1194" spans="1:21" ht="14.25" customHeight="1" x14ac:dyDescent="0.35">
      <c r="A1194" s="6" t="s">
        <v>3342</v>
      </c>
      <c r="B1194" s="6" t="s">
        <v>3343</v>
      </c>
      <c r="C1194" s="6" t="s">
        <v>3344</v>
      </c>
      <c r="D1194" s="6" t="s">
        <v>22</v>
      </c>
      <c r="E1194" s="7" t="s">
        <v>23</v>
      </c>
      <c r="F1194" s="6">
        <v>85249</v>
      </c>
      <c r="G1194" s="6" t="s">
        <v>125</v>
      </c>
      <c r="H1194" s="6" t="s">
        <v>126</v>
      </c>
      <c r="I1194" s="6" t="s">
        <v>26</v>
      </c>
      <c r="J1194" s="6" t="b">
        <v>0</v>
      </c>
      <c r="K1194" s="6" t="s">
        <v>27</v>
      </c>
      <c r="L1194" s="6">
        <v>0</v>
      </c>
      <c r="M1194" s="6">
        <v>165</v>
      </c>
      <c r="N1194" s="8" t="str">
        <f t="shared" si="126"/>
        <v>0</v>
      </c>
      <c r="O1194" s="8">
        <f t="shared" si="127"/>
        <v>1980</v>
      </c>
      <c r="P1194" s="8">
        <f t="shared" si="128"/>
        <v>1980</v>
      </c>
      <c r="Q1194" s="8">
        <f t="shared" si="129"/>
        <v>0</v>
      </c>
      <c r="R1194" s="9">
        <f t="shared" si="130"/>
        <v>1980</v>
      </c>
      <c r="S1194" s="10">
        <f t="shared" si="131"/>
        <v>165</v>
      </c>
      <c r="T1194">
        <v>165</v>
      </c>
      <c r="U1194">
        <f t="shared" si="132"/>
        <v>0</v>
      </c>
    </row>
    <row r="1195" spans="1:21" ht="14.25" customHeight="1" x14ac:dyDescent="0.35">
      <c r="A1195" s="6" t="s">
        <v>3345</v>
      </c>
      <c r="B1195" s="6" t="s">
        <v>3346</v>
      </c>
      <c r="C1195" s="6" t="s">
        <v>3347</v>
      </c>
      <c r="D1195" s="6" t="s">
        <v>31</v>
      </c>
      <c r="E1195" s="7" t="s">
        <v>23</v>
      </c>
      <c r="F1195" s="6">
        <v>85257</v>
      </c>
      <c r="G1195" s="6" t="s">
        <v>49</v>
      </c>
      <c r="H1195" s="6" t="s">
        <v>202</v>
      </c>
      <c r="I1195" s="6" t="s">
        <v>57</v>
      </c>
      <c r="J1195" s="6" t="b">
        <v>0</v>
      </c>
      <c r="K1195" s="6" t="s">
        <v>27</v>
      </c>
      <c r="L1195" s="6">
        <v>0</v>
      </c>
      <c r="M1195" s="6">
        <v>165</v>
      </c>
      <c r="N1195" s="8" t="str">
        <f t="shared" si="126"/>
        <v>0</v>
      </c>
      <c r="O1195" s="8">
        <f t="shared" si="127"/>
        <v>1980</v>
      </c>
      <c r="P1195" s="8">
        <f t="shared" si="128"/>
        <v>1980</v>
      </c>
      <c r="Q1195" s="8">
        <f t="shared" si="129"/>
        <v>0</v>
      </c>
      <c r="R1195" s="9">
        <f t="shared" si="130"/>
        <v>1980</v>
      </c>
      <c r="S1195" s="10">
        <f t="shared" si="131"/>
        <v>165</v>
      </c>
      <c r="T1195">
        <v>165</v>
      </c>
      <c r="U1195">
        <f t="shared" si="132"/>
        <v>0</v>
      </c>
    </row>
    <row r="1196" spans="1:21" ht="14.25" customHeight="1" x14ac:dyDescent="0.35">
      <c r="A1196" s="6" t="s">
        <v>3348</v>
      </c>
      <c r="B1196" s="6" t="s">
        <v>3349</v>
      </c>
      <c r="C1196" s="6" t="s">
        <v>3350</v>
      </c>
      <c r="D1196" s="6" t="s">
        <v>44</v>
      </c>
      <c r="E1196" s="7" t="s">
        <v>23</v>
      </c>
      <c r="F1196" s="6">
        <v>85020</v>
      </c>
      <c r="G1196" s="6" t="s">
        <v>49</v>
      </c>
      <c r="H1196" s="6" t="s">
        <v>202</v>
      </c>
      <c r="I1196" s="6" t="s">
        <v>40</v>
      </c>
      <c r="J1196" s="6" t="b">
        <v>0</v>
      </c>
      <c r="K1196" s="6" t="s">
        <v>27</v>
      </c>
      <c r="L1196" s="6">
        <v>0</v>
      </c>
      <c r="M1196" s="6">
        <v>165</v>
      </c>
      <c r="N1196" s="8" t="str">
        <f t="shared" si="126"/>
        <v>0</v>
      </c>
      <c r="O1196" s="8">
        <f t="shared" si="127"/>
        <v>1980</v>
      </c>
      <c r="P1196" s="8">
        <f t="shared" si="128"/>
        <v>1980</v>
      </c>
      <c r="Q1196" s="8">
        <f t="shared" si="129"/>
        <v>0</v>
      </c>
      <c r="R1196" s="9">
        <f t="shared" si="130"/>
        <v>1980</v>
      </c>
      <c r="S1196" s="10">
        <f t="shared" si="131"/>
        <v>165</v>
      </c>
      <c r="T1196">
        <v>165</v>
      </c>
      <c r="U1196">
        <f t="shared" si="132"/>
        <v>0</v>
      </c>
    </row>
    <row r="1197" spans="1:21" ht="14.25" customHeight="1" x14ac:dyDescent="0.35">
      <c r="A1197" s="6" t="s">
        <v>3351</v>
      </c>
      <c r="B1197" s="6" t="s">
        <v>3352</v>
      </c>
      <c r="C1197" s="6" t="s">
        <v>3353</v>
      </c>
      <c r="D1197" s="6" t="s">
        <v>310</v>
      </c>
      <c r="E1197" s="7" t="s">
        <v>23</v>
      </c>
      <c r="F1197" s="6">
        <v>85353</v>
      </c>
      <c r="G1197" s="6" t="s">
        <v>38</v>
      </c>
      <c r="H1197" s="6" t="s">
        <v>39</v>
      </c>
      <c r="I1197" s="6" t="s">
        <v>61</v>
      </c>
      <c r="J1197" s="6" t="b">
        <v>0</v>
      </c>
      <c r="K1197" s="6" t="s">
        <v>27</v>
      </c>
      <c r="L1197" s="6">
        <v>0</v>
      </c>
      <c r="M1197" s="6">
        <v>165</v>
      </c>
      <c r="N1197" s="8" t="str">
        <f t="shared" si="126"/>
        <v>0</v>
      </c>
      <c r="O1197" s="8">
        <f t="shared" si="127"/>
        <v>1980</v>
      </c>
      <c r="P1197" s="8">
        <f t="shared" si="128"/>
        <v>1980</v>
      </c>
      <c r="Q1197" s="8">
        <f t="shared" si="129"/>
        <v>0</v>
      </c>
      <c r="R1197" s="9">
        <f t="shared" si="130"/>
        <v>1980</v>
      </c>
      <c r="S1197" s="10">
        <f t="shared" si="131"/>
        <v>165</v>
      </c>
      <c r="T1197">
        <v>165</v>
      </c>
      <c r="U1197">
        <f t="shared" si="132"/>
        <v>0</v>
      </c>
    </row>
    <row r="1198" spans="1:21" ht="14.25" customHeight="1" x14ac:dyDescent="0.35">
      <c r="A1198" s="6" t="s">
        <v>3354</v>
      </c>
      <c r="B1198" s="6" t="s">
        <v>3355</v>
      </c>
      <c r="C1198" s="6" t="s">
        <v>3356</v>
      </c>
      <c r="D1198" s="6" t="s">
        <v>54</v>
      </c>
      <c r="E1198" s="7" t="s">
        <v>23</v>
      </c>
      <c r="F1198" s="6">
        <v>85747</v>
      </c>
      <c r="G1198" s="6" t="s">
        <v>55</v>
      </c>
      <c r="H1198" s="6" t="s">
        <v>56</v>
      </c>
      <c r="I1198" s="6" t="s">
        <v>61</v>
      </c>
      <c r="J1198" s="6" t="b">
        <v>0</v>
      </c>
      <c r="K1198" s="6" t="s">
        <v>27</v>
      </c>
      <c r="L1198" s="6">
        <v>0</v>
      </c>
      <c r="M1198" s="6">
        <v>165</v>
      </c>
      <c r="N1198" s="8" t="str">
        <f t="shared" si="126"/>
        <v>0</v>
      </c>
      <c r="O1198" s="8">
        <f t="shared" si="127"/>
        <v>1980</v>
      </c>
      <c r="P1198" s="8">
        <f t="shared" si="128"/>
        <v>1980</v>
      </c>
      <c r="Q1198" s="8">
        <f t="shared" si="129"/>
        <v>0</v>
      </c>
      <c r="R1198" s="9">
        <f t="shared" si="130"/>
        <v>1980</v>
      </c>
      <c r="S1198" s="10">
        <f t="shared" si="131"/>
        <v>165</v>
      </c>
      <c r="T1198">
        <v>165</v>
      </c>
      <c r="U1198">
        <f t="shared" si="132"/>
        <v>0</v>
      </c>
    </row>
    <row r="1199" spans="1:21" ht="14.25" customHeight="1" x14ac:dyDescent="0.35">
      <c r="A1199" s="6" t="s">
        <v>3357</v>
      </c>
      <c r="B1199" s="6" t="s">
        <v>3358</v>
      </c>
      <c r="C1199" s="6" t="s">
        <v>3359</v>
      </c>
      <c r="D1199" s="6" t="s">
        <v>44</v>
      </c>
      <c r="E1199" s="7" t="s">
        <v>23</v>
      </c>
      <c r="F1199" s="6">
        <v>85020</v>
      </c>
      <c r="G1199" s="6" t="s">
        <v>173</v>
      </c>
      <c r="H1199" s="6" t="s">
        <v>33</v>
      </c>
      <c r="I1199" s="6" t="s">
        <v>61</v>
      </c>
      <c r="J1199" s="6" t="b">
        <v>0</v>
      </c>
      <c r="K1199" s="6" t="s">
        <v>27</v>
      </c>
      <c r="L1199" s="6">
        <v>0</v>
      </c>
      <c r="M1199" s="6">
        <v>165</v>
      </c>
      <c r="N1199" s="8" t="str">
        <f t="shared" si="126"/>
        <v>0</v>
      </c>
      <c r="O1199" s="8">
        <f t="shared" si="127"/>
        <v>1980</v>
      </c>
      <c r="P1199" s="8">
        <f t="shared" si="128"/>
        <v>1980</v>
      </c>
      <c r="Q1199" s="8">
        <f t="shared" si="129"/>
        <v>0</v>
      </c>
      <c r="R1199" s="9">
        <f t="shared" si="130"/>
        <v>1980</v>
      </c>
      <c r="S1199" s="10">
        <f t="shared" si="131"/>
        <v>165</v>
      </c>
      <c r="T1199">
        <v>165</v>
      </c>
      <c r="U1199">
        <f t="shared" si="132"/>
        <v>0</v>
      </c>
    </row>
    <row r="1200" spans="1:21" ht="14.25" customHeight="1" x14ac:dyDescent="0.35">
      <c r="A1200" s="6" t="s">
        <v>3360</v>
      </c>
      <c r="B1200" s="6" t="s">
        <v>3361</v>
      </c>
      <c r="C1200" s="6" t="s">
        <v>3362</v>
      </c>
      <c r="D1200" s="6" t="s">
        <v>363</v>
      </c>
      <c r="E1200" s="7" t="s">
        <v>23</v>
      </c>
      <c r="F1200" s="6">
        <v>85282</v>
      </c>
      <c r="G1200" s="6" t="s">
        <v>364</v>
      </c>
      <c r="H1200" s="6" t="s">
        <v>365</v>
      </c>
      <c r="I1200" s="6" t="s">
        <v>26</v>
      </c>
      <c r="J1200" s="6" t="b">
        <v>0</v>
      </c>
      <c r="K1200" s="6" t="s">
        <v>27</v>
      </c>
      <c r="L1200" s="6">
        <v>0</v>
      </c>
      <c r="M1200" s="6">
        <v>165</v>
      </c>
      <c r="N1200" s="8" t="str">
        <f t="shared" si="126"/>
        <v>0</v>
      </c>
      <c r="O1200" s="8">
        <f t="shared" si="127"/>
        <v>1980</v>
      </c>
      <c r="P1200" s="8">
        <f t="shared" si="128"/>
        <v>1980</v>
      </c>
      <c r="Q1200" s="8">
        <f t="shared" si="129"/>
        <v>0</v>
      </c>
      <c r="R1200" s="9">
        <f t="shared" si="130"/>
        <v>1980</v>
      </c>
      <c r="S1200" s="10">
        <f t="shared" si="131"/>
        <v>165</v>
      </c>
      <c r="T1200">
        <v>165</v>
      </c>
      <c r="U1200">
        <f t="shared" si="132"/>
        <v>0</v>
      </c>
    </row>
    <row r="1201" spans="1:21" ht="14.25" customHeight="1" x14ac:dyDescent="0.35">
      <c r="A1201" s="6" t="s">
        <v>3363</v>
      </c>
      <c r="B1201" s="6" t="s">
        <v>3364</v>
      </c>
      <c r="C1201" s="6" t="s">
        <v>3365</v>
      </c>
      <c r="D1201" s="6" t="s">
        <v>44</v>
      </c>
      <c r="E1201" s="7" t="s">
        <v>23</v>
      </c>
      <c r="F1201" s="6">
        <v>85024</v>
      </c>
      <c r="G1201" s="6" t="s">
        <v>32</v>
      </c>
      <c r="H1201" s="6" t="s">
        <v>33</v>
      </c>
      <c r="I1201" s="6" t="s">
        <v>26</v>
      </c>
      <c r="J1201" s="6" t="b">
        <v>0</v>
      </c>
      <c r="K1201" s="6" t="s">
        <v>27</v>
      </c>
      <c r="L1201" s="6">
        <v>0</v>
      </c>
      <c r="M1201" s="6">
        <v>165</v>
      </c>
      <c r="N1201" s="8" t="str">
        <f t="shared" si="126"/>
        <v>0</v>
      </c>
      <c r="O1201" s="8">
        <f t="shared" si="127"/>
        <v>1980</v>
      </c>
      <c r="P1201" s="8">
        <f t="shared" si="128"/>
        <v>1980</v>
      </c>
      <c r="Q1201" s="8">
        <f t="shared" si="129"/>
        <v>0</v>
      </c>
      <c r="R1201" s="9">
        <f t="shared" si="130"/>
        <v>1980</v>
      </c>
      <c r="S1201" s="10">
        <f t="shared" si="131"/>
        <v>165</v>
      </c>
      <c r="T1201">
        <v>165</v>
      </c>
      <c r="U1201">
        <f t="shared" si="132"/>
        <v>0</v>
      </c>
    </row>
    <row r="1202" spans="1:21" ht="14.25" customHeight="1" x14ac:dyDescent="0.35">
      <c r="A1202" s="6" t="s">
        <v>3366</v>
      </c>
      <c r="B1202" s="6" t="s">
        <v>3367</v>
      </c>
      <c r="C1202" s="6" t="s">
        <v>3368</v>
      </c>
      <c r="D1202" s="6" t="s">
        <v>267</v>
      </c>
      <c r="E1202" s="7" t="s">
        <v>23</v>
      </c>
      <c r="F1202" s="6">
        <v>85379</v>
      </c>
      <c r="G1202" s="6" t="s">
        <v>78</v>
      </c>
      <c r="H1202" s="6" t="s">
        <v>281</v>
      </c>
      <c r="I1202" s="6" t="s">
        <v>110</v>
      </c>
      <c r="J1202" s="6" t="b">
        <v>0</v>
      </c>
      <c r="K1202" s="6" t="s">
        <v>27</v>
      </c>
      <c r="L1202" s="6">
        <v>0</v>
      </c>
      <c r="M1202" s="6">
        <v>165</v>
      </c>
      <c r="N1202" s="8" t="str">
        <f t="shared" si="126"/>
        <v>0</v>
      </c>
      <c r="O1202" s="8">
        <f t="shared" si="127"/>
        <v>1980</v>
      </c>
      <c r="P1202" s="8">
        <f t="shared" si="128"/>
        <v>1980</v>
      </c>
      <c r="Q1202" s="8">
        <f t="shared" si="129"/>
        <v>0</v>
      </c>
      <c r="R1202" s="9">
        <f t="shared" si="130"/>
        <v>1980</v>
      </c>
      <c r="S1202" s="10">
        <f t="shared" si="131"/>
        <v>165</v>
      </c>
      <c r="T1202">
        <v>165</v>
      </c>
      <c r="U1202">
        <f t="shared" si="132"/>
        <v>0</v>
      </c>
    </row>
    <row r="1203" spans="1:21" ht="14.25" customHeight="1" x14ac:dyDescent="0.35">
      <c r="A1203" s="6" t="s">
        <v>3369</v>
      </c>
      <c r="B1203" s="6" t="s">
        <v>3370</v>
      </c>
      <c r="C1203" s="6" t="s">
        <v>3371</v>
      </c>
      <c r="D1203" s="6" t="s">
        <v>98</v>
      </c>
      <c r="E1203" s="7" t="s">
        <v>23</v>
      </c>
      <c r="F1203" s="6">
        <v>85122</v>
      </c>
      <c r="G1203" s="6" t="s">
        <v>87</v>
      </c>
      <c r="H1203" s="6" t="s">
        <v>99</v>
      </c>
      <c r="I1203" s="6" t="s">
        <v>61</v>
      </c>
      <c r="J1203" s="6" t="b">
        <v>0</v>
      </c>
      <c r="K1203" s="6" t="s">
        <v>27</v>
      </c>
      <c r="L1203" s="6">
        <v>0</v>
      </c>
      <c r="M1203" s="6">
        <v>165</v>
      </c>
      <c r="N1203" s="8" t="str">
        <f t="shared" si="126"/>
        <v>0</v>
      </c>
      <c r="O1203" s="8">
        <f t="shared" si="127"/>
        <v>1980</v>
      </c>
      <c r="P1203" s="8">
        <f t="shared" si="128"/>
        <v>1980</v>
      </c>
      <c r="Q1203" s="8">
        <f t="shared" si="129"/>
        <v>0</v>
      </c>
      <c r="R1203" s="9">
        <f t="shared" si="130"/>
        <v>1980</v>
      </c>
      <c r="S1203" s="10">
        <f t="shared" si="131"/>
        <v>165</v>
      </c>
      <c r="T1203">
        <v>165</v>
      </c>
      <c r="U1203">
        <f t="shared" si="132"/>
        <v>0</v>
      </c>
    </row>
    <row r="1204" spans="1:21" ht="14.25" customHeight="1" x14ac:dyDescent="0.35">
      <c r="A1204" s="6" t="s">
        <v>3372</v>
      </c>
      <c r="B1204" s="6" t="s">
        <v>3373</v>
      </c>
      <c r="C1204" s="6" t="s">
        <v>3374</v>
      </c>
      <c r="D1204" s="6" t="s">
        <v>71</v>
      </c>
      <c r="E1204" s="7" t="s">
        <v>23</v>
      </c>
      <c r="F1204" s="6">
        <v>85381</v>
      </c>
      <c r="G1204" s="6" t="s">
        <v>78</v>
      </c>
      <c r="H1204" s="6" t="s">
        <v>73</v>
      </c>
      <c r="J1204" s="6" t="b">
        <v>0</v>
      </c>
      <c r="K1204" s="6" t="s">
        <v>27</v>
      </c>
      <c r="L1204" s="6">
        <v>0</v>
      </c>
      <c r="M1204" s="6">
        <v>165</v>
      </c>
      <c r="N1204" s="8" t="str">
        <f t="shared" si="126"/>
        <v>0</v>
      </c>
      <c r="O1204" s="8">
        <f t="shared" si="127"/>
        <v>1980</v>
      </c>
      <c r="P1204" s="8">
        <f t="shared" si="128"/>
        <v>1980</v>
      </c>
      <c r="Q1204" s="8">
        <f t="shared" si="129"/>
        <v>0</v>
      </c>
      <c r="R1204" s="9">
        <f t="shared" si="130"/>
        <v>1980</v>
      </c>
      <c r="S1204" s="10">
        <f t="shared" si="131"/>
        <v>165</v>
      </c>
      <c r="T1204">
        <v>165</v>
      </c>
      <c r="U1204">
        <f t="shared" si="132"/>
        <v>0</v>
      </c>
    </row>
    <row r="1205" spans="1:21" ht="14.25" customHeight="1" x14ac:dyDescent="0.35">
      <c r="A1205" s="6" t="s">
        <v>3375</v>
      </c>
      <c r="B1205" s="6" t="s">
        <v>3376</v>
      </c>
      <c r="C1205" s="6" t="s">
        <v>3377</v>
      </c>
      <c r="D1205" s="6" t="s">
        <v>267</v>
      </c>
      <c r="E1205" s="7" t="s">
        <v>23</v>
      </c>
      <c r="F1205" s="6">
        <v>85379</v>
      </c>
      <c r="G1205" s="6" t="s">
        <v>78</v>
      </c>
      <c r="H1205" s="6" t="s">
        <v>268</v>
      </c>
      <c r="I1205" s="6" t="s">
        <v>57</v>
      </c>
      <c r="J1205" s="6" t="b">
        <v>0</v>
      </c>
      <c r="K1205" s="6" t="s">
        <v>27</v>
      </c>
      <c r="L1205" s="6">
        <v>0</v>
      </c>
      <c r="M1205" s="6">
        <v>165</v>
      </c>
      <c r="N1205" s="8" t="str">
        <f t="shared" si="126"/>
        <v>0</v>
      </c>
      <c r="O1205" s="8">
        <f t="shared" si="127"/>
        <v>1980</v>
      </c>
      <c r="P1205" s="8">
        <f t="shared" si="128"/>
        <v>1980</v>
      </c>
      <c r="Q1205" s="8">
        <f t="shared" si="129"/>
        <v>0</v>
      </c>
      <c r="R1205" s="9">
        <f t="shared" si="130"/>
        <v>1980</v>
      </c>
      <c r="S1205" s="10">
        <f t="shared" si="131"/>
        <v>165</v>
      </c>
      <c r="T1205">
        <v>165</v>
      </c>
      <c r="U1205">
        <f t="shared" si="132"/>
        <v>0</v>
      </c>
    </row>
    <row r="1206" spans="1:21" ht="14.25" customHeight="1" x14ac:dyDescent="0.35">
      <c r="A1206" s="6" t="s">
        <v>3378</v>
      </c>
      <c r="B1206" s="6" t="s">
        <v>3379</v>
      </c>
      <c r="C1206" s="6" t="s">
        <v>3380</v>
      </c>
      <c r="D1206" s="6" t="s">
        <v>1499</v>
      </c>
      <c r="E1206" s="7" t="s">
        <v>23</v>
      </c>
      <c r="F1206" s="6">
        <v>85086</v>
      </c>
      <c r="G1206" s="6" t="s">
        <v>32</v>
      </c>
      <c r="H1206" s="6" t="s">
        <v>50</v>
      </c>
      <c r="J1206" s="6" t="b">
        <v>0</v>
      </c>
      <c r="K1206" s="6" t="s">
        <v>27</v>
      </c>
      <c r="L1206" s="6">
        <v>0</v>
      </c>
      <c r="M1206" s="6">
        <v>165</v>
      </c>
      <c r="N1206" s="8" t="str">
        <f t="shared" si="126"/>
        <v>0</v>
      </c>
      <c r="O1206" s="8">
        <f t="shared" si="127"/>
        <v>1980</v>
      </c>
      <c r="P1206" s="8">
        <f t="shared" si="128"/>
        <v>1980</v>
      </c>
      <c r="Q1206" s="8">
        <f t="shared" si="129"/>
        <v>0</v>
      </c>
      <c r="R1206" s="9">
        <f t="shared" si="130"/>
        <v>1980</v>
      </c>
      <c r="S1206" s="10">
        <f t="shared" si="131"/>
        <v>165</v>
      </c>
      <c r="T1206">
        <v>165</v>
      </c>
      <c r="U1206">
        <f t="shared" si="132"/>
        <v>0</v>
      </c>
    </row>
    <row r="1207" spans="1:21" ht="14.25" customHeight="1" x14ac:dyDescent="0.35">
      <c r="A1207" s="6" t="s">
        <v>3381</v>
      </c>
      <c r="B1207" s="6" t="s">
        <v>3382</v>
      </c>
      <c r="C1207" s="6" t="s">
        <v>3383</v>
      </c>
      <c r="D1207" s="6" t="s">
        <v>44</v>
      </c>
      <c r="E1207" s="7" t="s">
        <v>23</v>
      </c>
      <c r="F1207" s="6">
        <v>85007</v>
      </c>
      <c r="G1207" s="6" t="s">
        <v>213</v>
      </c>
      <c r="H1207" s="6" t="s">
        <v>202</v>
      </c>
      <c r="I1207" s="6" t="s">
        <v>26</v>
      </c>
      <c r="J1207" s="6" t="b">
        <v>0</v>
      </c>
      <c r="K1207" s="6" t="s">
        <v>27</v>
      </c>
      <c r="L1207" s="6">
        <v>0</v>
      </c>
      <c r="M1207" s="6">
        <v>165</v>
      </c>
      <c r="N1207" s="8" t="str">
        <f t="shared" si="126"/>
        <v>0</v>
      </c>
      <c r="O1207" s="8">
        <f t="shared" si="127"/>
        <v>1980</v>
      </c>
      <c r="P1207" s="8">
        <f t="shared" si="128"/>
        <v>1980</v>
      </c>
      <c r="Q1207" s="8">
        <f t="shared" si="129"/>
        <v>0</v>
      </c>
      <c r="R1207" s="9">
        <f t="shared" si="130"/>
        <v>1980</v>
      </c>
      <c r="S1207" s="10">
        <f t="shared" si="131"/>
        <v>165</v>
      </c>
      <c r="T1207">
        <v>165</v>
      </c>
      <c r="U1207">
        <f t="shared" si="132"/>
        <v>0</v>
      </c>
    </row>
    <row r="1208" spans="1:21" ht="14.25" customHeight="1" x14ac:dyDescent="0.35">
      <c r="A1208" s="6" t="s">
        <v>3384</v>
      </c>
      <c r="B1208" s="6" t="s">
        <v>3385</v>
      </c>
      <c r="C1208" s="6" t="s">
        <v>3386</v>
      </c>
      <c r="D1208" s="6" t="s">
        <v>71</v>
      </c>
      <c r="E1208" s="7" t="s">
        <v>23</v>
      </c>
      <c r="F1208" s="6">
        <v>85383</v>
      </c>
      <c r="G1208" s="6" t="s">
        <v>78</v>
      </c>
      <c r="H1208" s="6" t="s">
        <v>73</v>
      </c>
      <c r="I1208" s="6" t="s">
        <v>26</v>
      </c>
      <c r="J1208" s="6" t="b">
        <v>0</v>
      </c>
      <c r="K1208" s="6" t="s">
        <v>27</v>
      </c>
      <c r="L1208" s="6">
        <v>0</v>
      </c>
      <c r="M1208" s="6">
        <v>165</v>
      </c>
      <c r="N1208" s="8" t="str">
        <f t="shared" si="126"/>
        <v>0</v>
      </c>
      <c r="O1208" s="8">
        <f t="shared" si="127"/>
        <v>1980</v>
      </c>
      <c r="P1208" s="8">
        <f t="shared" si="128"/>
        <v>1980</v>
      </c>
      <c r="Q1208" s="8">
        <f t="shared" si="129"/>
        <v>0</v>
      </c>
      <c r="R1208" s="9">
        <f t="shared" si="130"/>
        <v>1980</v>
      </c>
      <c r="S1208" s="10">
        <f t="shared" si="131"/>
        <v>165</v>
      </c>
      <c r="T1208">
        <v>165</v>
      </c>
      <c r="U1208">
        <f t="shared" si="132"/>
        <v>0</v>
      </c>
    </row>
    <row r="1209" spans="1:21" ht="14.25" customHeight="1" x14ac:dyDescent="0.35">
      <c r="A1209" s="6" t="s">
        <v>3387</v>
      </c>
      <c r="B1209" s="6" t="s">
        <v>3388</v>
      </c>
      <c r="C1209" s="6" t="s">
        <v>3389</v>
      </c>
      <c r="D1209" s="6" t="s">
        <v>44</v>
      </c>
      <c r="E1209" s="7" t="s">
        <v>23</v>
      </c>
      <c r="F1209" s="6">
        <v>85050</v>
      </c>
      <c r="G1209" s="6" t="s">
        <v>32</v>
      </c>
      <c r="H1209" s="6" t="s">
        <v>50</v>
      </c>
      <c r="I1209" s="6" t="s">
        <v>40</v>
      </c>
      <c r="J1209" s="6" t="b">
        <v>0</v>
      </c>
      <c r="K1209" s="6" t="s">
        <v>27</v>
      </c>
      <c r="L1209" s="6">
        <v>0</v>
      </c>
      <c r="M1209" s="6">
        <v>165</v>
      </c>
      <c r="N1209" s="8" t="str">
        <f t="shared" si="126"/>
        <v>0</v>
      </c>
      <c r="O1209" s="8">
        <f t="shared" si="127"/>
        <v>1980</v>
      </c>
      <c r="P1209" s="8">
        <f t="shared" si="128"/>
        <v>1980</v>
      </c>
      <c r="Q1209" s="8">
        <f t="shared" si="129"/>
        <v>0</v>
      </c>
      <c r="R1209" s="9">
        <f t="shared" si="130"/>
        <v>1980</v>
      </c>
      <c r="S1209" s="10">
        <f t="shared" si="131"/>
        <v>165</v>
      </c>
      <c r="T1209">
        <v>165</v>
      </c>
      <c r="U1209">
        <f t="shared" si="132"/>
        <v>0</v>
      </c>
    </row>
    <row r="1210" spans="1:21" ht="14.25" customHeight="1" x14ac:dyDescent="0.35">
      <c r="A1210" s="6" t="s">
        <v>3390</v>
      </c>
      <c r="B1210" s="6" t="s">
        <v>3391</v>
      </c>
      <c r="C1210" s="6" t="s">
        <v>3392</v>
      </c>
      <c r="D1210" s="6" t="s">
        <v>65</v>
      </c>
      <c r="E1210" s="7" t="s">
        <v>23</v>
      </c>
      <c r="F1210" s="6">
        <v>85210</v>
      </c>
      <c r="G1210" s="6" t="s">
        <v>24</v>
      </c>
      <c r="H1210" s="6" t="s">
        <v>25</v>
      </c>
      <c r="I1210" s="6" t="s">
        <v>26</v>
      </c>
      <c r="J1210" s="6" t="b">
        <v>0</v>
      </c>
      <c r="K1210" s="6" t="s">
        <v>27</v>
      </c>
      <c r="L1210" s="6">
        <v>0</v>
      </c>
      <c r="M1210" s="6">
        <v>165</v>
      </c>
      <c r="N1210" s="8" t="str">
        <f t="shared" si="126"/>
        <v>0</v>
      </c>
      <c r="O1210" s="8">
        <f t="shared" si="127"/>
        <v>1980</v>
      </c>
      <c r="P1210" s="8">
        <f t="shared" si="128"/>
        <v>1980</v>
      </c>
      <c r="Q1210" s="8">
        <f t="shared" si="129"/>
        <v>0</v>
      </c>
      <c r="R1210" s="9">
        <f t="shared" si="130"/>
        <v>1980</v>
      </c>
      <c r="S1210" s="10">
        <f t="shared" si="131"/>
        <v>165</v>
      </c>
      <c r="T1210">
        <v>165</v>
      </c>
      <c r="U1210">
        <f t="shared" si="132"/>
        <v>0</v>
      </c>
    </row>
    <row r="1211" spans="1:21" ht="14.25" customHeight="1" x14ac:dyDescent="0.35">
      <c r="A1211" s="6" t="s">
        <v>3393</v>
      </c>
      <c r="B1211" s="6" t="s">
        <v>3394</v>
      </c>
      <c r="C1211" s="6" t="s">
        <v>3395</v>
      </c>
      <c r="D1211" s="6" t="s">
        <v>54</v>
      </c>
      <c r="E1211" s="7" t="s">
        <v>23</v>
      </c>
      <c r="F1211" s="6">
        <v>85730</v>
      </c>
      <c r="G1211" s="6" t="s">
        <v>55</v>
      </c>
      <c r="H1211" s="6" t="s">
        <v>56</v>
      </c>
      <c r="I1211" s="6" t="s">
        <v>61</v>
      </c>
      <c r="J1211" s="6" t="b">
        <v>0</v>
      </c>
      <c r="K1211" s="6" t="s">
        <v>27</v>
      </c>
      <c r="L1211" s="6">
        <v>0</v>
      </c>
      <c r="M1211" s="6">
        <v>165</v>
      </c>
      <c r="N1211" s="8" t="str">
        <f t="shared" si="126"/>
        <v>0</v>
      </c>
      <c r="O1211" s="8">
        <f t="shared" si="127"/>
        <v>1980</v>
      </c>
      <c r="P1211" s="8">
        <f t="shared" si="128"/>
        <v>1980</v>
      </c>
      <c r="Q1211" s="8">
        <f t="shared" si="129"/>
        <v>0</v>
      </c>
      <c r="R1211" s="9">
        <f t="shared" si="130"/>
        <v>1980</v>
      </c>
      <c r="S1211" s="10">
        <f t="shared" si="131"/>
        <v>165</v>
      </c>
      <c r="T1211">
        <v>165</v>
      </c>
      <c r="U1211">
        <f t="shared" si="132"/>
        <v>0</v>
      </c>
    </row>
    <row r="1212" spans="1:21" ht="14.25" customHeight="1" x14ac:dyDescent="0.35">
      <c r="A1212" s="6" t="s">
        <v>3396</v>
      </c>
      <c r="B1212" s="6" t="s">
        <v>3397</v>
      </c>
      <c r="C1212" s="6" t="s">
        <v>3398</v>
      </c>
      <c r="D1212" s="6" t="s">
        <v>71</v>
      </c>
      <c r="E1212" s="7" t="s">
        <v>23</v>
      </c>
      <c r="F1212" s="6">
        <v>85345</v>
      </c>
      <c r="G1212" s="6" t="s">
        <v>78</v>
      </c>
      <c r="H1212" s="6" t="s">
        <v>73</v>
      </c>
      <c r="I1212" s="6" t="s">
        <v>40</v>
      </c>
      <c r="J1212" s="6" t="b">
        <v>0</v>
      </c>
      <c r="K1212" s="6" t="s">
        <v>27</v>
      </c>
      <c r="L1212" s="6">
        <v>0</v>
      </c>
      <c r="M1212" s="6">
        <v>165</v>
      </c>
      <c r="N1212" s="8" t="str">
        <f t="shared" si="126"/>
        <v>0</v>
      </c>
      <c r="O1212" s="8">
        <f t="shared" si="127"/>
        <v>1980</v>
      </c>
      <c r="P1212" s="8">
        <f t="shared" si="128"/>
        <v>1980</v>
      </c>
      <c r="Q1212" s="8">
        <f t="shared" si="129"/>
        <v>0</v>
      </c>
      <c r="R1212" s="9">
        <f t="shared" si="130"/>
        <v>1980</v>
      </c>
      <c r="S1212" s="10">
        <f t="shared" si="131"/>
        <v>165</v>
      </c>
      <c r="T1212">
        <v>165</v>
      </c>
      <c r="U1212">
        <f t="shared" si="132"/>
        <v>0</v>
      </c>
    </row>
    <row r="1213" spans="1:21" ht="14.25" customHeight="1" x14ac:dyDescent="0.35">
      <c r="A1213" s="6" t="s">
        <v>3399</v>
      </c>
      <c r="B1213" s="6" t="s">
        <v>3400</v>
      </c>
      <c r="C1213" s="6" t="s">
        <v>3401</v>
      </c>
      <c r="D1213" s="6" t="s">
        <v>2002</v>
      </c>
      <c r="E1213" s="7" t="s">
        <v>23</v>
      </c>
      <c r="F1213" s="6">
        <v>85355</v>
      </c>
      <c r="G1213" s="6" t="s">
        <v>78</v>
      </c>
      <c r="H1213" s="6" t="s">
        <v>281</v>
      </c>
      <c r="I1213" s="6" t="s">
        <v>26</v>
      </c>
      <c r="J1213" s="6" t="b">
        <v>0</v>
      </c>
      <c r="K1213" s="6" t="s">
        <v>27</v>
      </c>
      <c r="L1213" s="6">
        <v>0</v>
      </c>
      <c r="M1213" s="6">
        <v>165</v>
      </c>
      <c r="N1213" s="8" t="str">
        <f t="shared" si="126"/>
        <v>0</v>
      </c>
      <c r="O1213" s="8">
        <f t="shared" si="127"/>
        <v>1980</v>
      </c>
      <c r="P1213" s="8">
        <f t="shared" si="128"/>
        <v>1980</v>
      </c>
      <c r="Q1213" s="8">
        <f t="shared" si="129"/>
        <v>0</v>
      </c>
      <c r="R1213" s="9">
        <f t="shared" si="130"/>
        <v>1980</v>
      </c>
      <c r="S1213" s="10">
        <f t="shared" si="131"/>
        <v>165</v>
      </c>
      <c r="T1213">
        <v>165</v>
      </c>
      <c r="U1213">
        <f t="shared" si="132"/>
        <v>0</v>
      </c>
    </row>
    <row r="1214" spans="1:21" ht="14.25" customHeight="1" x14ac:dyDescent="0.35">
      <c r="A1214" s="6" t="s">
        <v>3402</v>
      </c>
      <c r="B1214" s="6" t="s">
        <v>3403</v>
      </c>
      <c r="C1214" s="6" t="s">
        <v>3404</v>
      </c>
      <c r="D1214" s="6" t="s">
        <v>54</v>
      </c>
      <c r="E1214" s="7" t="s">
        <v>23</v>
      </c>
      <c r="F1214" s="6">
        <v>85741</v>
      </c>
      <c r="G1214" s="6" t="s">
        <v>55</v>
      </c>
      <c r="H1214" s="6" t="s">
        <v>56</v>
      </c>
      <c r="I1214" s="6" t="s">
        <v>57</v>
      </c>
      <c r="J1214" s="6" t="b">
        <v>0</v>
      </c>
      <c r="K1214" s="6" t="s">
        <v>27</v>
      </c>
      <c r="L1214" s="6">
        <v>0</v>
      </c>
      <c r="M1214" s="6">
        <v>165</v>
      </c>
      <c r="N1214" s="8" t="str">
        <f t="shared" si="126"/>
        <v>0</v>
      </c>
      <c r="O1214" s="8">
        <f t="shared" si="127"/>
        <v>1980</v>
      </c>
      <c r="P1214" s="8">
        <f t="shared" si="128"/>
        <v>1980</v>
      </c>
      <c r="Q1214" s="8">
        <f t="shared" si="129"/>
        <v>0</v>
      </c>
      <c r="R1214" s="9">
        <f t="shared" si="130"/>
        <v>1980</v>
      </c>
      <c r="S1214" s="10">
        <f t="shared" si="131"/>
        <v>165</v>
      </c>
      <c r="T1214">
        <v>165</v>
      </c>
      <c r="U1214">
        <f t="shared" si="132"/>
        <v>0</v>
      </c>
    </row>
    <row r="1215" spans="1:21" ht="14.25" customHeight="1" x14ac:dyDescent="0.35">
      <c r="A1215" s="6" t="s">
        <v>3405</v>
      </c>
      <c r="B1215" s="6" t="s">
        <v>3406</v>
      </c>
      <c r="C1215" s="6" t="s">
        <v>3407</v>
      </c>
      <c r="D1215" s="6" t="s">
        <v>44</v>
      </c>
      <c r="E1215" s="7" t="s">
        <v>23</v>
      </c>
      <c r="F1215" s="6">
        <v>85037</v>
      </c>
      <c r="G1215" s="6" t="s">
        <v>38</v>
      </c>
      <c r="H1215" s="6" t="s">
        <v>268</v>
      </c>
      <c r="I1215" s="6" t="s">
        <v>26</v>
      </c>
      <c r="J1215" s="6" t="b">
        <v>0</v>
      </c>
      <c r="K1215" s="6" t="s">
        <v>27</v>
      </c>
      <c r="L1215" s="6">
        <v>0</v>
      </c>
      <c r="M1215" s="6">
        <v>165</v>
      </c>
      <c r="N1215" s="8" t="str">
        <f t="shared" si="126"/>
        <v>0</v>
      </c>
      <c r="O1215" s="8">
        <f t="shared" si="127"/>
        <v>1980</v>
      </c>
      <c r="P1215" s="8">
        <f t="shared" si="128"/>
        <v>1980</v>
      </c>
      <c r="Q1215" s="8">
        <f t="shared" si="129"/>
        <v>0</v>
      </c>
      <c r="R1215" s="9">
        <f t="shared" si="130"/>
        <v>1980</v>
      </c>
      <c r="S1215" s="10">
        <f t="shared" si="131"/>
        <v>165</v>
      </c>
      <c r="T1215">
        <v>165</v>
      </c>
      <c r="U1215">
        <f t="shared" si="132"/>
        <v>0</v>
      </c>
    </row>
    <row r="1216" spans="1:21" ht="14.25" customHeight="1" x14ac:dyDescent="0.35">
      <c r="A1216" s="6" t="s">
        <v>3408</v>
      </c>
      <c r="B1216" s="6" t="s">
        <v>3409</v>
      </c>
      <c r="C1216" s="6" t="s">
        <v>3410</v>
      </c>
      <c r="D1216" s="6" t="s">
        <v>165</v>
      </c>
      <c r="E1216" s="7" t="s">
        <v>23</v>
      </c>
      <c r="F1216" s="6">
        <v>85234</v>
      </c>
      <c r="G1216" s="6" t="s">
        <v>24</v>
      </c>
      <c r="H1216" s="6" t="s">
        <v>25</v>
      </c>
      <c r="I1216" s="6" t="s">
        <v>26</v>
      </c>
      <c r="J1216" s="6" t="b">
        <v>0</v>
      </c>
      <c r="K1216" s="6" t="s">
        <v>27</v>
      </c>
      <c r="L1216" s="6">
        <v>0</v>
      </c>
      <c r="M1216" s="6">
        <v>165</v>
      </c>
      <c r="N1216" s="8" t="str">
        <f t="shared" si="126"/>
        <v>0</v>
      </c>
      <c r="O1216" s="8">
        <f t="shared" si="127"/>
        <v>1980</v>
      </c>
      <c r="P1216" s="8">
        <f t="shared" si="128"/>
        <v>1980</v>
      </c>
      <c r="Q1216" s="8">
        <f t="shared" si="129"/>
        <v>0</v>
      </c>
      <c r="R1216" s="9">
        <f t="shared" si="130"/>
        <v>1980</v>
      </c>
      <c r="S1216" s="10">
        <f t="shared" si="131"/>
        <v>165</v>
      </c>
      <c r="T1216">
        <v>165</v>
      </c>
      <c r="U1216">
        <f t="shared" si="132"/>
        <v>0</v>
      </c>
    </row>
    <row r="1217" spans="1:21" ht="14.25" customHeight="1" x14ac:dyDescent="0.35">
      <c r="A1217" s="6" t="s">
        <v>3411</v>
      </c>
      <c r="B1217" s="6" t="s">
        <v>3412</v>
      </c>
      <c r="C1217" s="6" t="s">
        <v>3413</v>
      </c>
      <c r="D1217" s="6" t="s">
        <v>71</v>
      </c>
      <c r="E1217" s="7" t="s">
        <v>23</v>
      </c>
      <c r="F1217" s="6">
        <v>85383</v>
      </c>
      <c r="G1217" s="6" t="s">
        <v>78</v>
      </c>
      <c r="H1217" s="6" t="s">
        <v>73</v>
      </c>
      <c r="I1217" s="6" t="s">
        <v>26</v>
      </c>
      <c r="J1217" s="6" t="b">
        <v>0</v>
      </c>
      <c r="K1217" s="6" t="s">
        <v>27</v>
      </c>
      <c r="L1217" s="6">
        <v>0</v>
      </c>
      <c r="M1217" s="6">
        <v>165</v>
      </c>
      <c r="N1217" s="8" t="str">
        <f t="shared" si="126"/>
        <v>0</v>
      </c>
      <c r="O1217" s="8">
        <f t="shared" si="127"/>
        <v>1980</v>
      </c>
      <c r="P1217" s="8">
        <f t="shared" si="128"/>
        <v>1980</v>
      </c>
      <c r="Q1217" s="8">
        <f t="shared" si="129"/>
        <v>0</v>
      </c>
      <c r="R1217" s="9">
        <f t="shared" si="130"/>
        <v>1980</v>
      </c>
      <c r="S1217" s="10">
        <f t="shared" si="131"/>
        <v>165</v>
      </c>
      <c r="T1217">
        <v>165</v>
      </c>
      <c r="U1217">
        <f t="shared" si="132"/>
        <v>0</v>
      </c>
    </row>
    <row r="1218" spans="1:21" ht="14.25" customHeight="1" x14ac:dyDescent="0.35">
      <c r="A1218" s="6" t="s">
        <v>3414</v>
      </c>
      <c r="B1218" s="6" t="s">
        <v>3415</v>
      </c>
      <c r="C1218" s="6" t="s">
        <v>3416</v>
      </c>
      <c r="D1218" s="6" t="s">
        <v>77</v>
      </c>
      <c r="E1218" s="7" t="s">
        <v>23</v>
      </c>
      <c r="F1218" s="6">
        <v>85301</v>
      </c>
      <c r="G1218" s="6" t="s">
        <v>72</v>
      </c>
      <c r="H1218" s="6" t="s">
        <v>93</v>
      </c>
      <c r="I1218" s="6" t="s">
        <v>26</v>
      </c>
      <c r="J1218" s="6" t="b">
        <v>0</v>
      </c>
      <c r="K1218" s="6" t="s">
        <v>27</v>
      </c>
      <c r="L1218" s="6">
        <v>0</v>
      </c>
      <c r="M1218" s="6">
        <v>165</v>
      </c>
      <c r="N1218" s="8" t="str">
        <f t="shared" ref="N1218:N1281" si="133">IF(J1218=TRUE, 6.39*12, "0")</f>
        <v>0</v>
      </c>
      <c r="O1218" s="8">
        <f t="shared" ref="O1218:O1281" si="134">L1218+(M1218*12)+N1218</f>
        <v>1980</v>
      </c>
      <c r="P1218" s="8">
        <f t="shared" ref="P1218:P1281" si="135">IF(OR(K1218="Check",K1218="ACH"), O1218*0.97, O1218)</f>
        <v>1980</v>
      </c>
      <c r="Q1218" s="8">
        <f t="shared" ref="Q1218:Q1281" si="136">P1218-O1218</f>
        <v>0</v>
      </c>
      <c r="R1218" s="9">
        <f t="shared" ref="R1218:R1281" si="137">O1218-Q1218</f>
        <v>1980</v>
      </c>
      <c r="S1218" s="10">
        <f t="shared" ref="S1218:S1281" si="138">R1218/12</f>
        <v>165</v>
      </c>
      <c r="T1218">
        <v>165</v>
      </c>
      <c r="U1218">
        <f t="shared" si="132"/>
        <v>0</v>
      </c>
    </row>
    <row r="1219" spans="1:21" ht="14.25" customHeight="1" x14ac:dyDescent="0.35">
      <c r="A1219" s="6" t="s">
        <v>3417</v>
      </c>
      <c r="B1219" s="6" t="s">
        <v>3418</v>
      </c>
      <c r="C1219" s="6" t="s">
        <v>3419</v>
      </c>
      <c r="D1219" s="6" t="s">
        <v>165</v>
      </c>
      <c r="E1219" s="7" t="s">
        <v>23</v>
      </c>
      <c r="F1219" s="6">
        <v>85297</v>
      </c>
      <c r="G1219" s="6" t="s">
        <v>125</v>
      </c>
      <c r="H1219" s="6" t="s">
        <v>180</v>
      </c>
      <c r="J1219" s="6" t="b">
        <v>0</v>
      </c>
      <c r="K1219" s="6" t="s">
        <v>27</v>
      </c>
      <c r="L1219" s="6">
        <v>0</v>
      </c>
      <c r="M1219" s="6">
        <v>165</v>
      </c>
      <c r="N1219" s="8" t="str">
        <f t="shared" si="133"/>
        <v>0</v>
      </c>
      <c r="O1219" s="8">
        <f t="shared" si="134"/>
        <v>1980</v>
      </c>
      <c r="P1219" s="8">
        <f t="shared" si="135"/>
        <v>1980</v>
      </c>
      <c r="Q1219" s="8">
        <f t="shared" si="136"/>
        <v>0</v>
      </c>
      <c r="R1219" s="9">
        <f t="shared" si="137"/>
        <v>1980</v>
      </c>
      <c r="S1219" s="10">
        <f t="shared" si="138"/>
        <v>165</v>
      </c>
      <c r="T1219">
        <v>165</v>
      </c>
      <c r="U1219">
        <f t="shared" si="132"/>
        <v>0</v>
      </c>
    </row>
    <row r="1220" spans="1:21" ht="14.25" customHeight="1" x14ac:dyDescent="0.35">
      <c r="A1220" s="6" t="s">
        <v>3420</v>
      </c>
      <c r="B1220" s="6" t="s">
        <v>3421</v>
      </c>
      <c r="C1220" s="6" t="s">
        <v>3422</v>
      </c>
      <c r="D1220" s="6" t="s">
        <v>267</v>
      </c>
      <c r="E1220" s="7" t="s">
        <v>23</v>
      </c>
      <c r="F1220" s="6">
        <v>85388</v>
      </c>
      <c r="G1220" s="6" t="s">
        <v>78</v>
      </c>
      <c r="H1220" s="6" t="s">
        <v>281</v>
      </c>
      <c r="I1220" s="6" t="s">
        <v>26</v>
      </c>
      <c r="J1220" s="6" t="b">
        <v>0</v>
      </c>
      <c r="K1220" s="6" t="s">
        <v>27</v>
      </c>
      <c r="L1220" s="6">
        <v>0</v>
      </c>
      <c r="M1220" s="6">
        <v>165</v>
      </c>
      <c r="N1220" s="8" t="str">
        <f t="shared" si="133"/>
        <v>0</v>
      </c>
      <c r="O1220" s="8">
        <f t="shared" si="134"/>
        <v>1980</v>
      </c>
      <c r="P1220" s="8">
        <f t="shared" si="135"/>
        <v>1980</v>
      </c>
      <c r="Q1220" s="8">
        <f t="shared" si="136"/>
        <v>0</v>
      </c>
      <c r="R1220" s="9">
        <f t="shared" si="137"/>
        <v>1980</v>
      </c>
      <c r="S1220" s="10">
        <f t="shared" si="138"/>
        <v>165</v>
      </c>
      <c r="T1220">
        <v>165</v>
      </c>
      <c r="U1220">
        <f t="shared" ref="U1220:U1283" si="139">SUM(T1220-M1220)</f>
        <v>0</v>
      </c>
    </row>
    <row r="1221" spans="1:21" ht="14.25" customHeight="1" x14ac:dyDescent="0.35">
      <c r="A1221" s="6" t="s">
        <v>3423</v>
      </c>
      <c r="B1221" s="6" t="s">
        <v>3424</v>
      </c>
      <c r="C1221" s="6" t="s">
        <v>3425</v>
      </c>
      <c r="D1221" s="6" t="s">
        <v>117</v>
      </c>
      <c r="E1221" s="7" t="s">
        <v>23</v>
      </c>
      <c r="F1221" s="6">
        <v>85138</v>
      </c>
      <c r="G1221" s="6" t="s">
        <v>87</v>
      </c>
      <c r="H1221" s="6" t="s">
        <v>88</v>
      </c>
      <c r="I1221" s="6" t="s">
        <v>26</v>
      </c>
      <c r="J1221" s="6" t="b">
        <v>0</v>
      </c>
      <c r="K1221" s="6" t="s">
        <v>27</v>
      </c>
      <c r="L1221" s="6">
        <v>0</v>
      </c>
      <c r="M1221" s="6">
        <v>165</v>
      </c>
      <c r="N1221" s="8" t="str">
        <f t="shared" si="133"/>
        <v>0</v>
      </c>
      <c r="O1221" s="8">
        <f t="shared" si="134"/>
        <v>1980</v>
      </c>
      <c r="P1221" s="8">
        <f t="shared" si="135"/>
        <v>1980</v>
      </c>
      <c r="Q1221" s="8">
        <f t="shared" si="136"/>
        <v>0</v>
      </c>
      <c r="R1221" s="9">
        <f t="shared" si="137"/>
        <v>1980</v>
      </c>
      <c r="S1221" s="10">
        <f t="shared" si="138"/>
        <v>165</v>
      </c>
      <c r="T1221">
        <v>165</v>
      </c>
      <c r="U1221">
        <f t="shared" si="139"/>
        <v>0</v>
      </c>
    </row>
    <row r="1222" spans="1:21" ht="14.25" customHeight="1" x14ac:dyDescent="0.35">
      <c r="A1222" s="6" t="s">
        <v>3426</v>
      </c>
      <c r="B1222" s="6" t="s">
        <v>3427</v>
      </c>
      <c r="C1222" s="6" t="s">
        <v>3428</v>
      </c>
      <c r="D1222" s="6" t="s">
        <v>44</v>
      </c>
      <c r="E1222" s="7" t="s">
        <v>23</v>
      </c>
      <c r="F1222" s="6">
        <v>85029</v>
      </c>
      <c r="G1222" s="6" t="s">
        <v>72</v>
      </c>
      <c r="H1222" s="6" t="s">
        <v>93</v>
      </c>
      <c r="I1222" s="6" t="s">
        <v>26</v>
      </c>
      <c r="J1222" s="6" t="b">
        <v>0</v>
      </c>
      <c r="K1222" s="6" t="s">
        <v>27</v>
      </c>
      <c r="L1222" s="6">
        <v>0</v>
      </c>
      <c r="M1222" s="6">
        <v>165</v>
      </c>
      <c r="N1222" s="8" t="str">
        <f t="shared" si="133"/>
        <v>0</v>
      </c>
      <c r="O1222" s="8">
        <f t="shared" si="134"/>
        <v>1980</v>
      </c>
      <c r="P1222" s="8">
        <f t="shared" si="135"/>
        <v>1980</v>
      </c>
      <c r="Q1222" s="8">
        <f t="shared" si="136"/>
        <v>0</v>
      </c>
      <c r="R1222" s="9">
        <f t="shared" si="137"/>
        <v>1980</v>
      </c>
      <c r="S1222" s="10">
        <f t="shared" si="138"/>
        <v>165</v>
      </c>
      <c r="T1222">
        <v>165</v>
      </c>
      <c r="U1222">
        <f t="shared" si="139"/>
        <v>0</v>
      </c>
    </row>
    <row r="1223" spans="1:21" ht="14.25" customHeight="1" x14ac:dyDescent="0.35">
      <c r="A1223" s="6" t="s">
        <v>3429</v>
      </c>
      <c r="B1223" s="6" t="s">
        <v>3430</v>
      </c>
      <c r="C1223" s="6" t="s">
        <v>3431</v>
      </c>
      <c r="D1223" s="6" t="s">
        <v>22</v>
      </c>
      <c r="E1223" s="7" t="s">
        <v>23</v>
      </c>
      <c r="F1223" s="6">
        <v>85225</v>
      </c>
      <c r="G1223" s="6" t="s">
        <v>24</v>
      </c>
      <c r="H1223" s="6" t="s">
        <v>25</v>
      </c>
      <c r="I1223" s="6" t="s">
        <v>26</v>
      </c>
      <c r="J1223" s="6" t="b">
        <v>0</v>
      </c>
      <c r="K1223" s="6" t="s">
        <v>27</v>
      </c>
      <c r="L1223" s="6">
        <v>0</v>
      </c>
      <c r="M1223" s="6">
        <v>165</v>
      </c>
      <c r="N1223" s="8" t="str">
        <f t="shared" si="133"/>
        <v>0</v>
      </c>
      <c r="O1223" s="8">
        <f t="shared" si="134"/>
        <v>1980</v>
      </c>
      <c r="P1223" s="8">
        <f t="shared" si="135"/>
        <v>1980</v>
      </c>
      <c r="Q1223" s="8">
        <f t="shared" si="136"/>
        <v>0</v>
      </c>
      <c r="R1223" s="9">
        <f t="shared" si="137"/>
        <v>1980</v>
      </c>
      <c r="S1223" s="10">
        <f t="shared" si="138"/>
        <v>165</v>
      </c>
      <c r="T1223">
        <v>165</v>
      </c>
      <c r="U1223">
        <f t="shared" si="139"/>
        <v>0</v>
      </c>
    </row>
    <row r="1224" spans="1:21" ht="14.25" customHeight="1" x14ac:dyDescent="0.35">
      <c r="A1224" s="6" t="s">
        <v>3432</v>
      </c>
      <c r="B1224" s="6" t="s">
        <v>3433</v>
      </c>
      <c r="C1224" s="6" t="s">
        <v>3434</v>
      </c>
      <c r="D1224" s="6" t="s">
        <v>363</v>
      </c>
      <c r="E1224" s="7" t="s">
        <v>23</v>
      </c>
      <c r="F1224" s="6">
        <v>85284</v>
      </c>
      <c r="G1224" s="6" t="s">
        <v>24</v>
      </c>
      <c r="H1224" s="6" t="s">
        <v>161</v>
      </c>
      <c r="J1224" s="6" t="b">
        <v>0</v>
      </c>
      <c r="K1224" s="6" t="s">
        <v>27</v>
      </c>
      <c r="L1224" s="6">
        <v>0</v>
      </c>
      <c r="M1224" s="6">
        <v>165</v>
      </c>
      <c r="N1224" s="8" t="str">
        <f t="shared" si="133"/>
        <v>0</v>
      </c>
      <c r="O1224" s="8">
        <f t="shared" si="134"/>
        <v>1980</v>
      </c>
      <c r="P1224" s="8">
        <f t="shared" si="135"/>
        <v>1980</v>
      </c>
      <c r="Q1224" s="8">
        <f t="shared" si="136"/>
        <v>0</v>
      </c>
      <c r="R1224" s="9">
        <f t="shared" si="137"/>
        <v>1980</v>
      </c>
      <c r="S1224" s="10">
        <f t="shared" si="138"/>
        <v>165</v>
      </c>
      <c r="T1224">
        <v>165</v>
      </c>
      <c r="U1224">
        <f t="shared" si="139"/>
        <v>0</v>
      </c>
    </row>
    <row r="1225" spans="1:21" ht="14.25" customHeight="1" x14ac:dyDescent="0.35">
      <c r="A1225" s="6" t="s">
        <v>3435</v>
      </c>
      <c r="B1225" s="6" t="s">
        <v>3436</v>
      </c>
      <c r="C1225" s="6" t="s">
        <v>3437</v>
      </c>
      <c r="D1225" s="6" t="s">
        <v>454</v>
      </c>
      <c r="E1225" s="7" t="s">
        <v>23</v>
      </c>
      <c r="F1225" s="6">
        <v>85338</v>
      </c>
      <c r="G1225" s="6" t="s">
        <v>38</v>
      </c>
      <c r="H1225" s="6" t="s">
        <v>378</v>
      </c>
      <c r="I1225" s="6" t="s">
        <v>57</v>
      </c>
      <c r="J1225" s="6" t="b">
        <v>0</v>
      </c>
      <c r="K1225" s="6" t="s">
        <v>27</v>
      </c>
      <c r="L1225" s="6">
        <v>0</v>
      </c>
      <c r="M1225" s="6">
        <v>165</v>
      </c>
      <c r="N1225" s="8" t="str">
        <f t="shared" si="133"/>
        <v>0</v>
      </c>
      <c r="O1225" s="8">
        <f t="shared" si="134"/>
        <v>1980</v>
      </c>
      <c r="P1225" s="8">
        <f t="shared" si="135"/>
        <v>1980</v>
      </c>
      <c r="Q1225" s="8">
        <f t="shared" si="136"/>
        <v>0</v>
      </c>
      <c r="R1225" s="9">
        <f t="shared" si="137"/>
        <v>1980</v>
      </c>
      <c r="S1225" s="10">
        <f t="shared" si="138"/>
        <v>165</v>
      </c>
      <c r="T1225">
        <v>165</v>
      </c>
      <c r="U1225">
        <f t="shared" si="139"/>
        <v>0</v>
      </c>
    </row>
    <row r="1226" spans="1:21" ht="14.25" customHeight="1" x14ac:dyDescent="0.35">
      <c r="A1226" s="6" t="s">
        <v>3438</v>
      </c>
      <c r="B1226" s="6" t="s">
        <v>3439</v>
      </c>
      <c r="C1226" s="6" t="s">
        <v>3440</v>
      </c>
      <c r="D1226" s="6" t="s">
        <v>22</v>
      </c>
      <c r="E1226" s="7" t="s">
        <v>23</v>
      </c>
      <c r="F1226" s="6">
        <v>85249</v>
      </c>
      <c r="G1226" s="6" t="s">
        <v>125</v>
      </c>
      <c r="H1226" s="6" t="s">
        <v>126</v>
      </c>
      <c r="J1226" s="6" t="b">
        <v>0</v>
      </c>
      <c r="K1226" s="6" t="s">
        <v>27</v>
      </c>
      <c r="L1226" s="6">
        <v>0</v>
      </c>
      <c r="M1226" s="6">
        <v>165</v>
      </c>
      <c r="N1226" s="8" t="str">
        <f t="shared" si="133"/>
        <v>0</v>
      </c>
      <c r="O1226" s="8">
        <f t="shared" si="134"/>
        <v>1980</v>
      </c>
      <c r="P1226" s="8">
        <f t="shared" si="135"/>
        <v>1980</v>
      </c>
      <c r="Q1226" s="8">
        <f t="shared" si="136"/>
        <v>0</v>
      </c>
      <c r="R1226" s="9">
        <f t="shared" si="137"/>
        <v>1980</v>
      </c>
      <c r="S1226" s="10">
        <f t="shared" si="138"/>
        <v>165</v>
      </c>
      <c r="T1226">
        <v>165</v>
      </c>
      <c r="U1226">
        <f t="shared" si="139"/>
        <v>0</v>
      </c>
    </row>
    <row r="1227" spans="1:21" ht="14.25" customHeight="1" x14ac:dyDescent="0.35">
      <c r="A1227" s="6" t="s">
        <v>3441</v>
      </c>
      <c r="B1227" s="6" t="s">
        <v>3442</v>
      </c>
      <c r="C1227" s="6" t="s">
        <v>3443</v>
      </c>
      <c r="D1227" s="6" t="s">
        <v>1551</v>
      </c>
      <c r="E1227" s="7" t="s">
        <v>23</v>
      </c>
      <c r="F1227" s="6">
        <v>85373</v>
      </c>
      <c r="G1227" s="6" t="s">
        <v>78</v>
      </c>
      <c r="H1227" s="6" t="s">
        <v>281</v>
      </c>
      <c r="I1227" s="6" t="s">
        <v>26</v>
      </c>
      <c r="J1227" s="6" t="b">
        <v>0</v>
      </c>
      <c r="K1227" s="6" t="s">
        <v>27</v>
      </c>
      <c r="L1227" s="6">
        <v>0</v>
      </c>
      <c r="M1227" s="6">
        <v>165</v>
      </c>
      <c r="N1227" s="8" t="str">
        <f t="shared" si="133"/>
        <v>0</v>
      </c>
      <c r="O1227" s="8">
        <f t="shared" si="134"/>
        <v>1980</v>
      </c>
      <c r="P1227" s="8">
        <f t="shared" si="135"/>
        <v>1980</v>
      </c>
      <c r="Q1227" s="8">
        <f t="shared" si="136"/>
        <v>0</v>
      </c>
      <c r="R1227" s="9">
        <f t="shared" si="137"/>
        <v>1980</v>
      </c>
      <c r="S1227" s="10">
        <f t="shared" si="138"/>
        <v>165</v>
      </c>
      <c r="T1227">
        <v>165</v>
      </c>
      <c r="U1227">
        <f t="shared" si="139"/>
        <v>0</v>
      </c>
    </row>
    <row r="1228" spans="1:21" ht="14.25" customHeight="1" x14ac:dyDescent="0.35">
      <c r="A1228" s="6" t="s">
        <v>3444</v>
      </c>
      <c r="B1228" s="6" t="s">
        <v>3445</v>
      </c>
      <c r="C1228" s="6" t="s">
        <v>3446</v>
      </c>
      <c r="D1228" s="6" t="s">
        <v>31</v>
      </c>
      <c r="E1228" s="7" t="s">
        <v>23</v>
      </c>
      <c r="F1228" s="6">
        <v>85259</v>
      </c>
      <c r="G1228" s="6" t="s">
        <v>45</v>
      </c>
      <c r="H1228" s="6" t="s">
        <v>169</v>
      </c>
      <c r="I1228" s="6" t="s">
        <v>26</v>
      </c>
      <c r="J1228" s="6" t="b">
        <v>0</v>
      </c>
      <c r="K1228" s="6" t="s">
        <v>27</v>
      </c>
      <c r="L1228" s="6">
        <v>0</v>
      </c>
      <c r="M1228" s="6">
        <v>165</v>
      </c>
      <c r="N1228" s="8" t="str">
        <f t="shared" si="133"/>
        <v>0</v>
      </c>
      <c r="O1228" s="8">
        <f t="shared" si="134"/>
        <v>1980</v>
      </c>
      <c r="P1228" s="8">
        <f t="shared" si="135"/>
        <v>1980</v>
      </c>
      <c r="Q1228" s="8">
        <f t="shared" si="136"/>
        <v>0</v>
      </c>
      <c r="R1228" s="9">
        <f t="shared" si="137"/>
        <v>1980</v>
      </c>
      <c r="S1228" s="10">
        <f t="shared" si="138"/>
        <v>165</v>
      </c>
      <c r="T1228">
        <v>165</v>
      </c>
      <c r="U1228">
        <f t="shared" si="139"/>
        <v>0</v>
      </c>
    </row>
    <row r="1229" spans="1:21" ht="14.25" customHeight="1" x14ac:dyDescent="0.35">
      <c r="A1229" s="6" t="s">
        <v>3447</v>
      </c>
      <c r="B1229" s="6" t="s">
        <v>3448</v>
      </c>
      <c r="C1229" s="6" t="s">
        <v>3449</v>
      </c>
      <c r="D1229" s="6" t="s">
        <v>65</v>
      </c>
      <c r="E1229" s="7" t="s">
        <v>23</v>
      </c>
      <c r="F1229" s="6">
        <v>85213</v>
      </c>
      <c r="G1229" s="6" t="s">
        <v>66</v>
      </c>
      <c r="H1229" s="6" t="s">
        <v>67</v>
      </c>
      <c r="I1229" s="6" t="s">
        <v>26</v>
      </c>
      <c r="J1229" s="6" t="b">
        <v>0</v>
      </c>
      <c r="K1229" s="6" t="s">
        <v>27</v>
      </c>
      <c r="L1229" s="6">
        <v>0</v>
      </c>
      <c r="M1229" s="6">
        <v>165</v>
      </c>
      <c r="N1229" s="8" t="str">
        <f t="shared" si="133"/>
        <v>0</v>
      </c>
      <c r="O1229" s="8">
        <f t="shared" si="134"/>
        <v>1980</v>
      </c>
      <c r="P1229" s="8">
        <f t="shared" si="135"/>
        <v>1980</v>
      </c>
      <c r="Q1229" s="8">
        <f t="shared" si="136"/>
        <v>0</v>
      </c>
      <c r="R1229" s="9">
        <f t="shared" si="137"/>
        <v>1980</v>
      </c>
      <c r="S1229" s="10">
        <f t="shared" si="138"/>
        <v>165</v>
      </c>
      <c r="T1229">
        <v>165</v>
      </c>
      <c r="U1229">
        <f t="shared" si="139"/>
        <v>0</v>
      </c>
    </row>
    <row r="1230" spans="1:21" ht="14.25" customHeight="1" x14ac:dyDescent="0.35">
      <c r="A1230" s="6" t="s">
        <v>3450</v>
      </c>
      <c r="B1230" s="6" t="s">
        <v>3451</v>
      </c>
      <c r="C1230" s="6" t="s">
        <v>3452</v>
      </c>
      <c r="D1230" s="6" t="s">
        <v>71</v>
      </c>
      <c r="E1230" s="7" t="s">
        <v>23</v>
      </c>
      <c r="F1230" s="6">
        <v>85381</v>
      </c>
      <c r="G1230" s="6" t="s">
        <v>78</v>
      </c>
      <c r="H1230" s="6" t="s">
        <v>268</v>
      </c>
      <c r="J1230" s="6" t="b">
        <v>0</v>
      </c>
      <c r="K1230" s="6" t="s">
        <v>27</v>
      </c>
      <c r="L1230" s="6">
        <v>0</v>
      </c>
      <c r="M1230" s="6">
        <v>165</v>
      </c>
      <c r="N1230" s="8" t="str">
        <f t="shared" si="133"/>
        <v>0</v>
      </c>
      <c r="O1230" s="8">
        <f t="shared" si="134"/>
        <v>1980</v>
      </c>
      <c r="P1230" s="8">
        <f t="shared" si="135"/>
        <v>1980</v>
      </c>
      <c r="Q1230" s="8">
        <f t="shared" si="136"/>
        <v>0</v>
      </c>
      <c r="R1230" s="9">
        <f t="shared" si="137"/>
        <v>1980</v>
      </c>
      <c r="S1230" s="10">
        <f t="shared" si="138"/>
        <v>165</v>
      </c>
      <c r="T1230">
        <v>165</v>
      </c>
      <c r="U1230">
        <f t="shared" si="139"/>
        <v>0</v>
      </c>
    </row>
    <row r="1231" spans="1:21" ht="14.25" customHeight="1" x14ac:dyDescent="0.35">
      <c r="A1231" s="6" t="s">
        <v>3453</v>
      </c>
      <c r="B1231" s="6" t="s">
        <v>3454</v>
      </c>
      <c r="C1231" s="6" t="s">
        <v>3455</v>
      </c>
      <c r="D1231" s="6" t="s">
        <v>130</v>
      </c>
      <c r="E1231" s="7" t="s">
        <v>23</v>
      </c>
      <c r="F1231" s="6">
        <v>85143</v>
      </c>
      <c r="G1231" s="6" t="s">
        <v>87</v>
      </c>
      <c r="H1231" s="6" t="s">
        <v>109</v>
      </c>
      <c r="I1231" s="6" t="s">
        <v>26</v>
      </c>
      <c r="J1231" s="6" t="b">
        <v>0</v>
      </c>
      <c r="K1231" s="6" t="s">
        <v>27</v>
      </c>
      <c r="L1231" s="6">
        <v>0</v>
      </c>
      <c r="M1231" s="6">
        <v>165</v>
      </c>
      <c r="N1231" s="8" t="str">
        <f t="shared" si="133"/>
        <v>0</v>
      </c>
      <c r="O1231" s="8">
        <f t="shared" si="134"/>
        <v>1980</v>
      </c>
      <c r="P1231" s="8">
        <f t="shared" si="135"/>
        <v>1980</v>
      </c>
      <c r="Q1231" s="8">
        <f t="shared" si="136"/>
        <v>0</v>
      </c>
      <c r="R1231" s="9">
        <f t="shared" si="137"/>
        <v>1980</v>
      </c>
      <c r="S1231" s="10">
        <f t="shared" si="138"/>
        <v>165</v>
      </c>
      <c r="T1231">
        <v>165</v>
      </c>
      <c r="U1231">
        <f t="shared" si="139"/>
        <v>0</v>
      </c>
    </row>
    <row r="1232" spans="1:21" ht="14.25" customHeight="1" x14ac:dyDescent="0.35">
      <c r="A1232" s="6" t="s">
        <v>3456</v>
      </c>
      <c r="B1232" s="6" t="s">
        <v>3457</v>
      </c>
      <c r="C1232" s="6" t="s">
        <v>3458</v>
      </c>
      <c r="D1232" s="6" t="s">
        <v>31</v>
      </c>
      <c r="E1232" s="7" t="s">
        <v>23</v>
      </c>
      <c r="F1232" s="6">
        <v>85250</v>
      </c>
      <c r="G1232" s="6" t="s">
        <v>49</v>
      </c>
      <c r="H1232" s="6" t="s">
        <v>50</v>
      </c>
      <c r="I1232" s="6" t="s">
        <v>26</v>
      </c>
      <c r="J1232" s="6" t="b">
        <v>0</v>
      </c>
      <c r="K1232" s="6" t="s">
        <v>27</v>
      </c>
      <c r="L1232" s="6">
        <v>0</v>
      </c>
      <c r="M1232" s="6">
        <v>165</v>
      </c>
      <c r="N1232" s="8" t="str">
        <f t="shared" si="133"/>
        <v>0</v>
      </c>
      <c r="O1232" s="8">
        <f t="shared" si="134"/>
        <v>1980</v>
      </c>
      <c r="P1232" s="8">
        <f t="shared" si="135"/>
        <v>1980</v>
      </c>
      <c r="Q1232" s="8">
        <f t="shared" si="136"/>
        <v>0</v>
      </c>
      <c r="R1232" s="9">
        <f t="shared" si="137"/>
        <v>1980</v>
      </c>
      <c r="S1232" s="10">
        <f t="shared" si="138"/>
        <v>165</v>
      </c>
      <c r="T1232">
        <v>165</v>
      </c>
      <c r="U1232">
        <f t="shared" si="139"/>
        <v>0</v>
      </c>
    </row>
    <row r="1233" spans="1:21" ht="14.25" customHeight="1" x14ac:dyDescent="0.35">
      <c r="A1233" s="6" t="s">
        <v>3459</v>
      </c>
      <c r="B1233" s="6" t="s">
        <v>3460</v>
      </c>
      <c r="C1233" s="6" t="s">
        <v>3461</v>
      </c>
      <c r="D1233" s="6" t="s">
        <v>65</v>
      </c>
      <c r="E1233" s="7" t="s">
        <v>23</v>
      </c>
      <c r="F1233" s="6">
        <v>85215</v>
      </c>
      <c r="G1233" s="6" t="s">
        <v>66</v>
      </c>
      <c r="H1233" s="6" t="s">
        <v>67</v>
      </c>
      <c r="J1233" s="6" t="b">
        <v>0</v>
      </c>
      <c r="K1233" s="6" t="s">
        <v>27</v>
      </c>
      <c r="L1233" s="6">
        <v>0</v>
      </c>
      <c r="M1233" s="6">
        <v>165</v>
      </c>
      <c r="N1233" s="8" t="str">
        <f t="shared" si="133"/>
        <v>0</v>
      </c>
      <c r="O1233" s="8">
        <f t="shared" si="134"/>
        <v>1980</v>
      </c>
      <c r="P1233" s="8">
        <f t="shared" si="135"/>
        <v>1980</v>
      </c>
      <c r="Q1233" s="8">
        <f t="shared" si="136"/>
        <v>0</v>
      </c>
      <c r="R1233" s="9">
        <f t="shared" si="137"/>
        <v>1980</v>
      </c>
      <c r="S1233" s="10">
        <f t="shared" si="138"/>
        <v>165</v>
      </c>
      <c r="T1233">
        <v>165</v>
      </c>
      <c r="U1233">
        <f t="shared" si="139"/>
        <v>0</v>
      </c>
    </row>
    <row r="1234" spans="1:21" ht="14.25" customHeight="1" x14ac:dyDescent="0.35">
      <c r="A1234" s="6" t="s">
        <v>3462</v>
      </c>
      <c r="B1234" s="6" t="s">
        <v>3463</v>
      </c>
      <c r="C1234" s="6" t="s">
        <v>3464</v>
      </c>
      <c r="D1234" s="6" t="s">
        <v>65</v>
      </c>
      <c r="E1234" s="7" t="s">
        <v>23</v>
      </c>
      <c r="F1234" s="6">
        <v>85207</v>
      </c>
      <c r="G1234" s="6" t="s">
        <v>66</v>
      </c>
      <c r="H1234" s="6" t="s">
        <v>67</v>
      </c>
      <c r="I1234" s="6" t="s">
        <v>26</v>
      </c>
      <c r="J1234" s="6" t="b">
        <v>0</v>
      </c>
      <c r="K1234" s="6" t="s">
        <v>27</v>
      </c>
      <c r="L1234" s="6">
        <v>0</v>
      </c>
      <c r="M1234" s="6">
        <v>165</v>
      </c>
      <c r="N1234" s="8" t="str">
        <f t="shared" si="133"/>
        <v>0</v>
      </c>
      <c r="O1234" s="8">
        <f t="shared" si="134"/>
        <v>1980</v>
      </c>
      <c r="P1234" s="8">
        <f t="shared" si="135"/>
        <v>1980</v>
      </c>
      <c r="Q1234" s="8">
        <f t="shared" si="136"/>
        <v>0</v>
      </c>
      <c r="R1234" s="9">
        <f t="shared" si="137"/>
        <v>1980</v>
      </c>
      <c r="S1234" s="10">
        <f t="shared" si="138"/>
        <v>165</v>
      </c>
      <c r="T1234">
        <v>165</v>
      </c>
      <c r="U1234">
        <f t="shared" si="139"/>
        <v>0</v>
      </c>
    </row>
    <row r="1235" spans="1:21" ht="14.25" customHeight="1" x14ac:dyDescent="0.35">
      <c r="A1235" s="6" t="s">
        <v>3465</v>
      </c>
      <c r="B1235" s="6" t="s">
        <v>3466</v>
      </c>
      <c r="C1235" s="6" t="s">
        <v>3467</v>
      </c>
      <c r="D1235" s="6" t="s">
        <v>31</v>
      </c>
      <c r="E1235" s="7" t="s">
        <v>23</v>
      </c>
      <c r="F1235" s="6">
        <v>85257</v>
      </c>
      <c r="G1235" s="6" t="s">
        <v>49</v>
      </c>
      <c r="H1235" s="6" t="s">
        <v>202</v>
      </c>
      <c r="I1235" s="6" t="s">
        <v>26</v>
      </c>
      <c r="J1235" s="6" t="b">
        <v>0</v>
      </c>
      <c r="K1235" s="6" t="s">
        <v>27</v>
      </c>
      <c r="L1235" s="6">
        <v>0</v>
      </c>
      <c r="M1235" s="6">
        <v>165</v>
      </c>
      <c r="N1235" s="8" t="str">
        <f t="shared" si="133"/>
        <v>0</v>
      </c>
      <c r="O1235" s="8">
        <f t="shared" si="134"/>
        <v>1980</v>
      </c>
      <c r="P1235" s="8">
        <f t="shared" si="135"/>
        <v>1980</v>
      </c>
      <c r="Q1235" s="8">
        <f t="shared" si="136"/>
        <v>0</v>
      </c>
      <c r="R1235" s="9">
        <f t="shared" si="137"/>
        <v>1980</v>
      </c>
      <c r="S1235" s="10">
        <f t="shared" si="138"/>
        <v>165</v>
      </c>
      <c r="T1235">
        <v>165</v>
      </c>
      <c r="U1235">
        <f t="shared" si="139"/>
        <v>0</v>
      </c>
    </row>
    <row r="1236" spans="1:21" ht="14.25" customHeight="1" x14ac:dyDescent="0.35">
      <c r="A1236" s="6" t="s">
        <v>3468</v>
      </c>
      <c r="B1236" s="6" t="s">
        <v>3469</v>
      </c>
      <c r="C1236" s="6" t="s">
        <v>3470</v>
      </c>
      <c r="D1236" s="6" t="s">
        <v>77</v>
      </c>
      <c r="E1236" s="7" t="s">
        <v>23</v>
      </c>
      <c r="F1236" s="6">
        <v>85302</v>
      </c>
      <c r="G1236" s="6" t="s">
        <v>72</v>
      </c>
      <c r="H1236" s="6" t="s">
        <v>93</v>
      </c>
      <c r="I1236" s="6" t="s">
        <v>26</v>
      </c>
      <c r="J1236" s="6" t="b">
        <v>0</v>
      </c>
      <c r="K1236" s="6" t="s">
        <v>27</v>
      </c>
      <c r="L1236" s="6">
        <v>0</v>
      </c>
      <c r="M1236" s="6">
        <v>165</v>
      </c>
      <c r="N1236" s="8" t="str">
        <f t="shared" si="133"/>
        <v>0</v>
      </c>
      <c r="O1236" s="8">
        <f t="shared" si="134"/>
        <v>1980</v>
      </c>
      <c r="P1236" s="8">
        <f t="shared" si="135"/>
        <v>1980</v>
      </c>
      <c r="Q1236" s="8">
        <f t="shared" si="136"/>
        <v>0</v>
      </c>
      <c r="R1236" s="9">
        <f t="shared" si="137"/>
        <v>1980</v>
      </c>
      <c r="S1236" s="10">
        <f t="shared" si="138"/>
        <v>165</v>
      </c>
      <c r="T1236">
        <v>165</v>
      </c>
      <c r="U1236">
        <f t="shared" si="139"/>
        <v>0</v>
      </c>
    </row>
    <row r="1237" spans="1:21" ht="14.25" customHeight="1" x14ac:dyDescent="0.35">
      <c r="A1237" s="6" t="s">
        <v>3471</v>
      </c>
      <c r="B1237" s="6" t="s">
        <v>3472</v>
      </c>
      <c r="C1237" s="6" t="s">
        <v>3473</v>
      </c>
      <c r="D1237" s="6" t="s">
        <v>31</v>
      </c>
      <c r="E1237" s="7" t="s">
        <v>23</v>
      </c>
      <c r="F1237" s="6">
        <v>85254</v>
      </c>
      <c r="G1237" s="6" t="s">
        <v>45</v>
      </c>
      <c r="H1237" s="6" t="s">
        <v>169</v>
      </c>
      <c r="I1237" s="6" t="s">
        <v>110</v>
      </c>
      <c r="J1237" s="6" t="b">
        <v>0</v>
      </c>
      <c r="K1237" s="6" t="s">
        <v>27</v>
      </c>
      <c r="L1237" s="6">
        <v>0</v>
      </c>
      <c r="M1237" s="6">
        <v>165</v>
      </c>
      <c r="N1237" s="8" t="str">
        <f t="shared" si="133"/>
        <v>0</v>
      </c>
      <c r="O1237" s="8">
        <f t="shared" si="134"/>
        <v>1980</v>
      </c>
      <c r="P1237" s="8">
        <f t="shared" si="135"/>
        <v>1980</v>
      </c>
      <c r="Q1237" s="8">
        <f t="shared" si="136"/>
        <v>0</v>
      </c>
      <c r="R1237" s="9">
        <f t="shared" si="137"/>
        <v>1980</v>
      </c>
      <c r="S1237" s="10">
        <f t="shared" si="138"/>
        <v>165</v>
      </c>
      <c r="T1237">
        <v>165</v>
      </c>
      <c r="U1237">
        <f t="shared" si="139"/>
        <v>0</v>
      </c>
    </row>
    <row r="1238" spans="1:21" ht="14.25" customHeight="1" x14ac:dyDescent="0.35">
      <c r="A1238" s="6" t="s">
        <v>3474</v>
      </c>
      <c r="B1238" s="6" t="s">
        <v>3475</v>
      </c>
      <c r="C1238" s="6" t="s">
        <v>3476</v>
      </c>
      <c r="D1238" s="6" t="s">
        <v>86</v>
      </c>
      <c r="E1238" s="7" t="s">
        <v>23</v>
      </c>
      <c r="F1238" s="6">
        <v>85123</v>
      </c>
      <c r="G1238" s="6" t="s">
        <v>87</v>
      </c>
      <c r="H1238" s="6" t="s">
        <v>88</v>
      </c>
      <c r="I1238" s="6" t="s">
        <v>40</v>
      </c>
      <c r="J1238" s="6" t="b">
        <v>0</v>
      </c>
      <c r="K1238" s="6" t="s">
        <v>27</v>
      </c>
      <c r="L1238" s="6">
        <v>0</v>
      </c>
      <c r="M1238" s="6">
        <v>165</v>
      </c>
      <c r="N1238" s="8" t="str">
        <f t="shared" si="133"/>
        <v>0</v>
      </c>
      <c r="O1238" s="8">
        <f t="shared" si="134"/>
        <v>1980</v>
      </c>
      <c r="P1238" s="8">
        <f t="shared" si="135"/>
        <v>1980</v>
      </c>
      <c r="Q1238" s="8">
        <f t="shared" si="136"/>
        <v>0</v>
      </c>
      <c r="R1238" s="9">
        <f t="shared" si="137"/>
        <v>1980</v>
      </c>
      <c r="S1238" s="10">
        <f t="shared" si="138"/>
        <v>165</v>
      </c>
      <c r="T1238">
        <v>165</v>
      </c>
      <c r="U1238">
        <f t="shared" si="139"/>
        <v>0</v>
      </c>
    </row>
    <row r="1239" spans="1:21" ht="14.25" customHeight="1" x14ac:dyDescent="0.35">
      <c r="A1239" s="6" t="s">
        <v>3477</v>
      </c>
      <c r="B1239" s="6" t="s">
        <v>3478</v>
      </c>
      <c r="C1239" s="6" t="s">
        <v>3479</v>
      </c>
      <c r="D1239" s="6" t="s">
        <v>54</v>
      </c>
      <c r="E1239" s="7" t="s">
        <v>23</v>
      </c>
      <c r="F1239" s="6">
        <v>85749</v>
      </c>
      <c r="G1239" s="6" t="s">
        <v>55</v>
      </c>
      <c r="H1239" s="6" t="s">
        <v>56</v>
      </c>
      <c r="I1239" s="6" t="s">
        <v>110</v>
      </c>
      <c r="J1239" s="6" t="b">
        <v>0</v>
      </c>
      <c r="K1239" s="6" t="s">
        <v>27</v>
      </c>
      <c r="L1239" s="6">
        <v>0</v>
      </c>
      <c r="M1239" s="6">
        <v>165</v>
      </c>
      <c r="N1239" s="8" t="str">
        <f t="shared" si="133"/>
        <v>0</v>
      </c>
      <c r="O1239" s="8">
        <f t="shared" si="134"/>
        <v>1980</v>
      </c>
      <c r="P1239" s="8">
        <f t="shared" si="135"/>
        <v>1980</v>
      </c>
      <c r="Q1239" s="8">
        <f t="shared" si="136"/>
        <v>0</v>
      </c>
      <c r="R1239" s="9">
        <f t="shared" si="137"/>
        <v>1980</v>
      </c>
      <c r="S1239" s="10">
        <f t="shared" si="138"/>
        <v>165</v>
      </c>
      <c r="T1239">
        <v>165</v>
      </c>
      <c r="U1239">
        <f t="shared" si="139"/>
        <v>0</v>
      </c>
    </row>
    <row r="1240" spans="1:21" ht="14.25" customHeight="1" x14ac:dyDescent="0.35">
      <c r="A1240" s="6" t="s">
        <v>3480</v>
      </c>
      <c r="B1240" s="6" t="s">
        <v>3481</v>
      </c>
      <c r="C1240" s="6" t="s">
        <v>3482</v>
      </c>
      <c r="D1240" s="6" t="s">
        <v>363</v>
      </c>
      <c r="E1240" s="7" t="s">
        <v>23</v>
      </c>
      <c r="F1240" s="6">
        <v>85283</v>
      </c>
      <c r="G1240" s="6" t="s">
        <v>364</v>
      </c>
      <c r="H1240" s="6" t="s">
        <v>365</v>
      </c>
      <c r="I1240" s="6" t="s">
        <v>26</v>
      </c>
      <c r="J1240" s="6" t="b">
        <v>0</v>
      </c>
      <c r="K1240" s="6" t="s">
        <v>27</v>
      </c>
      <c r="L1240" s="6">
        <v>0</v>
      </c>
      <c r="M1240" s="6">
        <v>165</v>
      </c>
      <c r="N1240" s="8" t="str">
        <f t="shared" si="133"/>
        <v>0</v>
      </c>
      <c r="O1240" s="8">
        <f t="shared" si="134"/>
        <v>1980</v>
      </c>
      <c r="P1240" s="8">
        <f t="shared" si="135"/>
        <v>1980</v>
      </c>
      <c r="Q1240" s="8">
        <f t="shared" si="136"/>
        <v>0</v>
      </c>
      <c r="R1240" s="9">
        <f t="shared" si="137"/>
        <v>1980</v>
      </c>
      <c r="S1240" s="10">
        <f t="shared" si="138"/>
        <v>165</v>
      </c>
      <c r="T1240">
        <v>165</v>
      </c>
      <c r="U1240">
        <f t="shared" si="139"/>
        <v>0</v>
      </c>
    </row>
    <row r="1241" spans="1:21" ht="14.25" customHeight="1" x14ac:dyDescent="0.35">
      <c r="A1241" s="6" t="s">
        <v>3483</v>
      </c>
      <c r="B1241" s="6" t="s">
        <v>3484</v>
      </c>
      <c r="C1241" s="6" t="s">
        <v>3485</v>
      </c>
      <c r="D1241" s="6" t="s">
        <v>44</v>
      </c>
      <c r="E1241" s="7" t="s">
        <v>23</v>
      </c>
      <c r="F1241" s="6">
        <v>85032</v>
      </c>
      <c r="G1241" s="6" t="s">
        <v>45</v>
      </c>
      <c r="H1241" s="6" t="s">
        <v>33</v>
      </c>
      <c r="I1241" s="6" t="s">
        <v>40</v>
      </c>
      <c r="J1241" s="6" t="b">
        <v>0</v>
      </c>
      <c r="K1241" s="6" t="s">
        <v>27</v>
      </c>
      <c r="L1241" s="6">
        <v>0</v>
      </c>
      <c r="M1241" s="6">
        <v>165</v>
      </c>
      <c r="N1241" s="8" t="str">
        <f t="shared" si="133"/>
        <v>0</v>
      </c>
      <c r="O1241" s="8">
        <f t="shared" si="134"/>
        <v>1980</v>
      </c>
      <c r="P1241" s="8">
        <f t="shared" si="135"/>
        <v>1980</v>
      </c>
      <c r="Q1241" s="8">
        <f t="shared" si="136"/>
        <v>0</v>
      </c>
      <c r="R1241" s="9">
        <f t="shared" si="137"/>
        <v>1980</v>
      </c>
      <c r="S1241" s="10">
        <f t="shared" si="138"/>
        <v>165</v>
      </c>
      <c r="T1241">
        <v>165</v>
      </c>
      <c r="U1241">
        <f t="shared" si="139"/>
        <v>0</v>
      </c>
    </row>
    <row r="1242" spans="1:21" ht="14.25" customHeight="1" x14ac:dyDescent="0.35">
      <c r="A1242" s="6" t="s">
        <v>3486</v>
      </c>
      <c r="B1242" s="6" t="s">
        <v>3487</v>
      </c>
      <c r="C1242" s="6" t="s">
        <v>3488</v>
      </c>
      <c r="D1242" s="6" t="s">
        <v>44</v>
      </c>
      <c r="E1242" s="7" t="s">
        <v>23</v>
      </c>
      <c r="F1242" s="6">
        <v>85024</v>
      </c>
      <c r="G1242" s="6" t="s">
        <v>173</v>
      </c>
      <c r="H1242" s="6" t="s">
        <v>33</v>
      </c>
      <c r="I1242" s="6" t="s">
        <v>26</v>
      </c>
      <c r="J1242" s="6" t="b">
        <v>0</v>
      </c>
      <c r="K1242" s="6" t="s">
        <v>27</v>
      </c>
      <c r="L1242" s="6">
        <v>0</v>
      </c>
      <c r="M1242" s="6">
        <v>165</v>
      </c>
      <c r="N1242" s="8" t="str">
        <f t="shared" si="133"/>
        <v>0</v>
      </c>
      <c r="O1242" s="8">
        <f t="shared" si="134"/>
        <v>1980</v>
      </c>
      <c r="P1242" s="8">
        <f t="shared" si="135"/>
        <v>1980</v>
      </c>
      <c r="Q1242" s="8">
        <f t="shared" si="136"/>
        <v>0</v>
      </c>
      <c r="R1242" s="9">
        <f t="shared" si="137"/>
        <v>1980</v>
      </c>
      <c r="S1242" s="10">
        <f t="shared" si="138"/>
        <v>165</v>
      </c>
      <c r="T1242">
        <v>165</v>
      </c>
      <c r="U1242">
        <f t="shared" si="139"/>
        <v>0</v>
      </c>
    </row>
    <row r="1243" spans="1:21" ht="14.25" customHeight="1" x14ac:dyDescent="0.35">
      <c r="A1243" s="6" t="s">
        <v>3489</v>
      </c>
      <c r="B1243" s="6" t="s">
        <v>3490</v>
      </c>
      <c r="C1243" s="6" t="s">
        <v>3491</v>
      </c>
      <c r="D1243" s="6" t="s">
        <v>77</v>
      </c>
      <c r="E1243" s="7" t="s">
        <v>23</v>
      </c>
      <c r="F1243" s="6">
        <v>85308</v>
      </c>
      <c r="G1243" s="6" t="s">
        <v>78</v>
      </c>
      <c r="H1243" s="6" t="s">
        <v>281</v>
      </c>
      <c r="I1243" s="6" t="s">
        <v>26</v>
      </c>
      <c r="J1243" s="6" t="b">
        <v>0</v>
      </c>
      <c r="K1243" s="6" t="s">
        <v>27</v>
      </c>
      <c r="L1243" s="6">
        <v>0</v>
      </c>
      <c r="M1243" s="6">
        <v>165</v>
      </c>
      <c r="N1243" s="8" t="str">
        <f t="shared" si="133"/>
        <v>0</v>
      </c>
      <c r="O1243" s="8">
        <f t="shared" si="134"/>
        <v>1980</v>
      </c>
      <c r="P1243" s="8">
        <f t="shared" si="135"/>
        <v>1980</v>
      </c>
      <c r="Q1243" s="8">
        <f t="shared" si="136"/>
        <v>0</v>
      </c>
      <c r="R1243" s="9">
        <f t="shared" si="137"/>
        <v>1980</v>
      </c>
      <c r="S1243" s="10">
        <f t="shared" si="138"/>
        <v>165</v>
      </c>
      <c r="T1243">
        <v>165</v>
      </c>
      <c r="U1243">
        <f t="shared" si="139"/>
        <v>0</v>
      </c>
    </row>
    <row r="1244" spans="1:21" ht="14.25" customHeight="1" x14ac:dyDescent="0.35">
      <c r="A1244" s="6" t="s">
        <v>3492</v>
      </c>
      <c r="B1244" s="6" t="s">
        <v>3493</v>
      </c>
      <c r="C1244" s="6" t="s">
        <v>3494</v>
      </c>
      <c r="D1244" s="6" t="s">
        <v>454</v>
      </c>
      <c r="E1244" s="7" t="s">
        <v>23</v>
      </c>
      <c r="F1244" s="6">
        <v>85338</v>
      </c>
      <c r="G1244" s="6" t="s">
        <v>38</v>
      </c>
      <c r="H1244" s="6" t="s">
        <v>378</v>
      </c>
      <c r="I1244" s="6" t="s">
        <v>57</v>
      </c>
      <c r="J1244" s="6" t="b">
        <v>0</v>
      </c>
      <c r="K1244" s="6" t="s">
        <v>27</v>
      </c>
      <c r="L1244" s="6">
        <v>0</v>
      </c>
      <c r="M1244" s="6">
        <v>165</v>
      </c>
      <c r="N1244" s="8" t="str">
        <f t="shared" si="133"/>
        <v>0</v>
      </c>
      <c r="O1244" s="8">
        <f t="shared" si="134"/>
        <v>1980</v>
      </c>
      <c r="P1244" s="8">
        <f t="shared" si="135"/>
        <v>1980</v>
      </c>
      <c r="Q1244" s="8">
        <f t="shared" si="136"/>
        <v>0</v>
      </c>
      <c r="R1244" s="9">
        <f t="shared" si="137"/>
        <v>1980</v>
      </c>
      <c r="S1244" s="10">
        <f t="shared" si="138"/>
        <v>165</v>
      </c>
      <c r="T1244">
        <v>165</v>
      </c>
      <c r="U1244">
        <f t="shared" si="139"/>
        <v>0</v>
      </c>
    </row>
    <row r="1245" spans="1:21" ht="14.25" customHeight="1" x14ac:dyDescent="0.35">
      <c r="A1245" s="6" t="s">
        <v>3495</v>
      </c>
      <c r="B1245" s="6" t="s">
        <v>3496</v>
      </c>
      <c r="C1245" s="6" t="s">
        <v>3497</v>
      </c>
      <c r="D1245" s="6" t="s">
        <v>44</v>
      </c>
      <c r="E1245" s="7" t="s">
        <v>23</v>
      </c>
      <c r="F1245" s="6">
        <v>85018</v>
      </c>
      <c r="G1245" s="6" t="s">
        <v>49</v>
      </c>
      <c r="H1245" s="6" t="s">
        <v>50</v>
      </c>
      <c r="I1245" s="6" t="s">
        <v>26</v>
      </c>
      <c r="J1245" s="6" t="b">
        <v>0</v>
      </c>
      <c r="K1245" s="6" t="s">
        <v>27</v>
      </c>
      <c r="L1245" s="6">
        <v>0</v>
      </c>
      <c r="M1245" s="6">
        <v>165</v>
      </c>
      <c r="N1245" s="8" t="str">
        <f t="shared" si="133"/>
        <v>0</v>
      </c>
      <c r="O1245" s="8">
        <f t="shared" si="134"/>
        <v>1980</v>
      </c>
      <c r="P1245" s="8">
        <f t="shared" si="135"/>
        <v>1980</v>
      </c>
      <c r="Q1245" s="8">
        <f t="shared" si="136"/>
        <v>0</v>
      </c>
      <c r="R1245" s="9">
        <f t="shared" si="137"/>
        <v>1980</v>
      </c>
      <c r="S1245" s="10">
        <f t="shared" si="138"/>
        <v>165</v>
      </c>
      <c r="T1245">
        <v>165</v>
      </c>
      <c r="U1245">
        <f t="shared" si="139"/>
        <v>0</v>
      </c>
    </row>
    <row r="1246" spans="1:21" ht="14.25" customHeight="1" x14ac:dyDescent="0.35">
      <c r="A1246" s="6" t="s">
        <v>3498</v>
      </c>
      <c r="B1246" s="6" t="s">
        <v>3499</v>
      </c>
      <c r="C1246" s="6" t="s">
        <v>3500</v>
      </c>
      <c r="D1246" s="6" t="s">
        <v>71</v>
      </c>
      <c r="E1246" s="7" t="s">
        <v>23</v>
      </c>
      <c r="F1246" s="6">
        <v>85383</v>
      </c>
      <c r="G1246" s="6" t="s">
        <v>78</v>
      </c>
      <c r="H1246" s="6" t="s">
        <v>73</v>
      </c>
      <c r="I1246" s="6" t="s">
        <v>26</v>
      </c>
      <c r="J1246" s="6" t="b">
        <v>0</v>
      </c>
      <c r="K1246" s="6" t="s">
        <v>27</v>
      </c>
      <c r="L1246" s="6">
        <v>0</v>
      </c>
      <c r="M1246" s="6">
        <v>165</v>
      </c>
      <c r="N1246" s="8" t="str">
        <f t="shared" si="133"/>
        <v>0</v>
      </c>
      <c r="O1246" s="8">
        <f t="shared" si="134"/>
        <v>1980</v>
      </c>
      <c r="P1246" s="8">
        <f t="shared" si="135"/>
        <v>1980</v>
      </c>
      <c r="Q1246" s="8">
        <f t="shared" si="136"/>
        <v>0</v>
      </c>
      <c r="R1246" s="9">
        <f t="shared" si="137"/>
        <v>1980</v>
      </c>
      <c r="S1246" s="10">
        <f t="shared" si="138"/>
        <v>165</v>
      </c>
      <c r="T1246">
        <v>165</v>
      </c>
      <c r="U1246">
        <f t="shared" si="139"/>
        <v>0</v>
      </c>
    </row>
    <row r="1247" spans="1:21" ht="14.25" customHeight="1" x14ac:dyDescent="0.35">
      <c r="A1247" s="6" t="s">
        <v>3501</v>
      </c>
      <c r="B1247" s="6" t="s">
        <v>3502</v>
      </c>
      <c r="C1247" s="6" t="s">
        <v>3503</v>
      </c>
      <c r="D1247" s="6" t="s">
        <v>98</v>
      </c>
      <c r="E1247" s="7" t="s">
        <v>23</v>
      </c>
      <c r="F1247" s="6">
        <v>85122</v>
      </c>
      <c r="G1247" s="6" t="s">
        <v>87</v>
      </c>
      <c r="H1247" s="6" t="s">
        <v>99</v>
      </c>
      <c r="I1247" s="6" t="s">
        <v>110</v>
      </c>
      <c r="J1247" s="6" t="b">
        <v>0</v>
      </c>
      <c r="K1247" s="6" t="s">
        <v>27</v>
      </c>
      <c r="L1247" s="6">
        <v>0</v>
      </c>
      <c r="M1247" s="6">
        <v>165</v>
      </c>
      <c r="N1247" s="8" t="str">
        <f t="shared" si="133"/>
        <v>0</v>
      </c>
      <c r="O1247" s="8">
        <f t="shared" si="134"/>
        <v>1980</v>
      </c>
      <c r="P1247" s="8">
        <f t="shared" si="135"/>
        <v>1980</v>
      </c>
      <c r="Q1247" s="8">
        <f t="shared" si="136"/>
        <v>0</v>
      </c>
      <c r="R1247" s="9">
        <f t="shared" si="137"/>
        <v>1980</v>
      </c>
      <c r="S1247" s="10">
        <f t="shared" si="138"/>
        <v>165</v>
      </c>
      <c r="T1247">
        <v>165</v>
      </c>
      <c r="U1247">
        <f t="shared" si="139"/>
        <v>0</v>
      </c>
    </row>
    <row r="1248" spans="1:21" ht="14.25" customHeight="1" x14ac:dyDescent="0.35">
      <c r="A1248" s="6" t="s">
        <v>3504</v>
      </c>
      <c r="B1248" s="6" t="s">
        <v>3505</v>
      </c>
      <c r="C1248" s="6" t="s">
        <v>3506</v>
      </c>
      <c r="D1248" s="6" t="s">
        <v>44</v>
      </c>
      <c r="E1248" s="7" t="s">
        <v>23</v>
      </c>
      <c r="F1248" s="6">
        <v>85053</v>
      </c>
      <c r="G1248" s="6" t="s">
        <v>72</v>
      </c>
      <c r="H1248" s="6" t="s">
        <v>93</v>
      </c>
      <c r="J1248" s="6" t="b">
        <v>0</v>
      </c>
      <c r="K1248" s="6" t="s">
        <v>27</v>
      </c>
      <c r="L1248" s="6">
        <v>0</v>
      </c>
      <c r="M1248" s="6">
        <v>165</v>
      </c>
      <c r="N1248" s="8" t="str">
        <f t="shared" si="133"/>
        <v>0</v>
      </c>
      <c r="O1248" s="8">
        <f t="shared" si="134"/>
        <v>1980</v>
      </c>
      <c r="P1248" s="8">
        <f t="shared" si="135"/>
        <v>1980</v>
      </c>
      <c r="Q1248" s="8">
        <f t="shared" si="136"/>
        <v>0</v>
      </c>
      <c r="R1248" s="9">
        <f t="shared" si="137"/>
        <v>1980</v>
      </c>
      <c r="S1248" s="10">
        <f t="shared" si="138"/>
        <v>165</v>
      </c>
      <c r="T1248">
        <v>165</v>
      </c>
      <c r="U1248">
        <f t="shared" si="139"/>
        <v>0</v>
      </c>
    </row>
    <row r="1249" spans="1:21" ht="14.25" customHeight="1" x14ac:dyDescent="0.35">
      <c r="A1249" s="6" t="s">
        <v>3507</v>
      </c>
      <c r="B1249" s="6" t="s">
        <v>3508</v>
      </c>
      <c r="C1249" s="6" t="s">
        <v>3509</v>
      </c>
      <c r="D1249" s="6" t="s">
        <v>31</v>
      </c>
      <c r="E1249" s="7" t="s">
        <v>23</v>
      </c>
      <c r="F1249" s="6">
        <v>85255</v>
      </c>
      <c r="G1249" s="6" t="s">
        <v>32</v>
      </c>
      <c r="H1249" s="6" t="s">
        <v>33</v>
      </c>
      <c r="I1249" s="6" t="s">
        <v>26</v>
      </c>
      <c r="J1249" s="6" t="b">
        <v>0</v>
      </c>
      <c r="K1249" s="6" t="s">
        <v>27</v>
      </c>
      <c r="L1249" s="6">
        <v>0</v>
      </c>
      <c r="M1249" s="6">
        <v>165</v>
      </c>
      <c r="N1249" s="8" t="str">
        <f t="shared" si="133"/>
        <v>0</v>
      </c>
      <c r="O1249" s="8">
        <f t="shared" si="134"/>
        <v>1980</v>
      </c>
      <c r="P1249" s="8">
        <f t="shared" si="135"/>
        <v>1980</v>
      </c>
      <c r="Q1249" s="8">
        <f t="shared" si="136"/>
        <v>0</v>
      </c>
      <c r="R1249" s="9">
        <f t="shared" si="137"/>
        <v>1980</v>
      </c>
      <c r="S1249" s="10">
        <f t="shared" si="138"/>
        <v>165</v>
      </c>
      <c r="T1249">
        <v>165</v>
      </c>
      <c r="U1249">
        <f t="shared" si="139"/>
        <v>0</v>
      </c>
    </row>
    <row r="1250" spans="1:21" ht="14.25" customHeight="1" x14ac:dyDescent="0.35">
      <c r="A1250" s="6" t="s">
        <v>3510</v>
      </c>
      <c r="B1250" s="6" t="s">
        <v>3511</v>
      </c>
      <c r="C1250" s="6" t="s">
        <v>3512</v>
      </c>
      <c r="D1250" s="6" t="s">
        <v>98</v>
      </c>
      <c r="E1250" s="7" t="s">
        <v>23</v>
      </c>
      <c r="F1250" s="6">
        <v>85122</v>
      </c>
      <c r="G1250" s="6" t="s">
        <v>87</v>
      </c>
      <c r="H1250" s="6" t="s">
        <v>99</v>
      </c>
      <c r="I1250" s="6" t="s">
        <v>61</v>
      </c>
      <c r="J1250" s="6" t="b">
        <v>0</v>
      </c>
      <c r="K1250" s="6" t="s">
        <v>27</v>
      </c>
      <c r="L1250" s="6">
        <v>0</v>
      </c>
      <c r="M1250" s="6">
        <v>165</v>
      </c>
      <c r="N1250" s="8" t="str">
        <f t="shared" si="133"/>
        <v>0</v>
      </c>
      <c r="O1250" s="8">
        <f t="shared" si="134"/>
        <v>1980</v>
      </c>
      <c r="P1250" s="8">
        <f t="shared" si="135"/>
        <v>1980</v>
      </c>
      <c r="Q1250" s="8">
        <f t="shared" si="136"/>
        <v>0</v>
      </c>
      <c r="R1250" s="9">
        <f t="shared" si="137"/>
        <v>1980</v>
      </c>
      <c r="S1250" s="10">
        <f t="shared" si="138"/>
        <v>165</v>
      </c>
      <c r="T1250">
        <v>165</v>
      </c>
      <c r="U1250">
        <f t="shared" si="139"/>
        <v>0</v>
      </c>
    </row>
    <row r="1251" spans="1:21" ht="14.25" customHeight="1" x14ac:dyDescent="0.35">
      <c r="A1251" s="6" t="s">
        <v>3513</v>
      </c>
      <c r="B1251" s="6" t="s">
        <v>3514</v>
      </c>
      <c r="C1251" s="6" t="s">
        <v>3515</v>
      </c>
      <c r="D1251" s="6" t="s">
        <v>44</v>
      </c>
      <c r="E1251" s="7" t="s">
        <v>23</v>
      </c>
      <c r="F1251" s="6">
        <v>85018</v>
      </c>
      <c r="G1251" s="6" t="s">
        <v>49</v>
      </c>
      <c r="H1251" s="6" t="s">
        <v>50</v>
      </c>
      <c r="I1251" s="6" t="s">
        <v>26</v>
      </c>
      <c r="J1251" s="6" t="b">
        <v>0</v>
      </c>
      <c r="K1251" s="6" t="s">
        <v>27</v>
      </c>
      <c r="L1251" s="6">
        <v>0</v>
      </c>
      <c r="M1251" s="6">
        <v>165</v>
      </c>
      <c r="N1251" s="8" t="str">
        <f t="shared" si="133"/>
        <v>0</v>
      </c>
      <c r="O1251" s="8">
        <f t="shared" si="134"/>
        <v>1980</v>
      </c>
      <c r="P1251" s="8">
        <f t="shared" si="135"/>
        <v>1980</v>
      </c>
      <c r="Q1251" s="8">
        <f t="shared" si="136"/>
        <v>0</v>
      </c>
      <c r="R1251" s="9">
        <f t="shared" si="137"/>
        <v>1980</v>
      </c>
      <c r="S1251" s="10">
        <f t="shared" si="138"/>
        <v>165</v>
      </c>
      <c r="T1251">
        <v>165</v>
      </c>
      <c r="U1251">
        <f t="shared" si="139"/>
        <v>0</v>
      </c>
    </row>
    <row r="1252" spans="1:21" ht="14.25" customHeight="1" x14ac:dyDescent="0.35">
      <c r="A1252" s="6" t="s">
        <v>3516</v>
      </c>
      <c r="B1252" s="6" t="s">
        <v>3517</v>
      </c>
      <c r="C1252" s="6" t="s">
        <v>3518</v>
      </c>
      <c r="D1252" s="6" t="s">
        <v>31</v>
      </c>
      <c r="E1252" s="7" t="s">
        <v>23</v>
      </c>
      <c r="F1252" s="6">
        <v>85254</v>
      </c>
      <c r="G1252" s="6" t="s">
        <v>45</v>
      </c>
      <c r="H1252" s="6" t="s">
        <v>291</v>
      </c>
      <c r="I1252" s="6" t="s">
        <v>26</v>
      </c>
      <c r="J1252" s="6" t="b">
        <v>0</v>
      </c>
      <c r="K1252" s="6" t="s">
        <v>27</v>
      </c>
      <c r="L1252" s="6">
        <v>0</v>
      </c>
      <c r="M1252" s="6">
        <v>165</v>
      </c>
      <c r="N1252" s="8" t="str">
        <f t="shared" si="133"/>
        <v>0</v>
      </c>
      <c r="O1252" s="8">
        <f t="shared" si="134"/>
        <v>1980</v>
      </c>
      <c r="P1252" s="8">
        <f t="shared" si="135"/>
        <v>1980</v>
      </c>
      <c r="Q1252" s="8">
        <f t="shared" si="136"/>
        <v>0</v>
      </c>
      <c r="R1252" s="9">
        <f t="shared" si="137"/>
        <v>1980</v>
      </c>
      <c r="S1252" s="10">
        <f t="shared" si="138"/>
        <v>165</v>
      </c>
      <c r="T1252">
        <v>165</v>
      </c>
      <c r="U1252">
        <f t="shared" si="139"/>
        <v>0</v>
      </c>
    </row>
    <row r="1253" spans="1:21" ht="14.25" customHeight="1" x14ac:dyDescent="0.35">
      <c r="A1253" s="6" t="s">
        <v>3519</v>
      </c>
      <c r="B1253" s="6" t="s">
        <v>3520</v>
      </c>
      <c r="C1253" s="6" t="s">
        <v>3521</v>
      </c>
      <c r="D1253" s="6" t="s">
        <v>71</v>
      </c>
      <c r="E1253" s="7" t="s">
        <v>23</v>
      </c>
      <c r="F1253" s="6">
        <v>85382</v>
      </c>
      <c r="G1253" s="6" t="s">
        <v>78</v>
      </c>
      <c r="H1253" s="6" t="s">
        <v>281</v>
      </c>
      <c r="I1253" s="6" t="s">
        <v>61</v>
      </c>
      <c r="J1253" s="6" t="b">
        <v>0</v>
      </c>
      <c r="K1253" s="6" t="s">
        <v>27</v>
      </c>
      <c r="L1253" s="6">
        <v>0</v>
      </c>
      <c r="M1253" s="6">
        <v>165</v>
      </c>
      <c r="N1253" s="8" t="str">
        <f t="shared" si="133"/>
        <v>0</v>
      </c>
      <c r="O1253" s="8">
        <f t="shared" si="134"/>
        <v>1980</v>
      </c>
      <c r="P1253" s="8">
        <f t="shared" si="135"/>
        <v>1980</v>
      </c>
      <c r="Q1253" s="8">
        <f t="shared" si="136"/>
        <v>0</v>
      </c>
      <c r="R1253" s="9">
        <f t="shared" si="137"/>
        <v>1980</v>
      </c>
      <c r="S1253" s="10">
        <f t="shared" si="138"/>
        <v>165</v>
      </c>
      <c r="T1253">
        <v>165</v>
      </c>
      <c r="U1253">
        <f t="shared" si="139"/>
        <v>0</v>
      </c>
    </row>
    <row r="1254" spans="1:21" ht="14.25" customHeight="1" x14ac:dyDescent="0.35">
      <c r="A1254" s="6" t="s">
        <v>3522</v>
      </c>
      <c r="B1254" s="6" t="s">
        <v>3523</v>
      </c>
      <c r="C1254" s="6" t="s">
        <v>3524</v>
      </c>
      <c r="D1254" s="6" t="s">
        <v>77</v>
      </c>
      <c r="E1254" s="7" t="s">
        <v>23</v>
      </c>
      <c r="F1254" s="6">
        <v>85304</v>
      </c>
      <c r="G1254" s="6" t="s">
        <v>72</v>
      </c>
      <c r="H1254" s="6" t="s">
        <v>93</v>
      </c>
      <c r="I1254" s="6" t="s">
        <v>40</v>
      </c>
      <c r="J1254" s="6" t="b">
        <v>0</v>
      </c>
      <c r="K1254" s="6" t="s">
        <v>27</v>
      </c>
      <c r="L1254" s="6">
        <v>0</v>
      </c>
      <c r="M1254" s="6">
        <v>165</v>
      </c>
      <c r="N1254" s="8" t="str">
        <f t="shared" si="133"/>
        <v>0</v>
      </c>
      <c r="O1254" s="8">
        <f t="shared" si="134"/>
        <v>1980</v>
      </c>
      <c r="P1254" s="8">
        <f t="shared" si="135"/>
        <v>1980</v>
      </c>
      <c r="Q1254" s="8">
        <f t="shared" si="136"/>
        <v>0</v>
      </c>
      <c r="R1254" s="9">
        <f t="shared" si="137"/>
        <v>1980</v>
      </c>
      <c r="S1254" s="10">
        <f t="shared" si="138"/>
        <v>165</v>
      </c>
      <c r="T1254">
        <v>165</v>
      </c>
      <c r="U1254">
        <f t="shared" si="139"/>
        <v>0</v>
      </c>
    </row>
    <row r="1255" spans="1:21" ht="14.25" customHeight="1" x14ac:dyDescent="0.35">
      <c r="A1255" s="6" t="s">
        <v>3525</v>
      </c>
      <c r="B1255" s="6" t="s">
        <v>3526</v>
      </c>
      <c r="C1255" s="6" t="s">
        <v>3527</v>
      </c>
      <c r="D1255" s="6" t="s">
        <v>22</v>
      </c>
      <c r="E1255" s="7" t="s">
        <v>23</v>
      </c>
      <c r="F1255" s="6">
        <v>85224</v>
      </c>
      <c r="G1255" s="6" t="s">
        <v>24</v>
      </c>
      <c r="H1255" s="6" t="s">
        <v>25</v>
      </c>
      <c r="I1255" s="6" t="s">
        <v>61</v>
      </c>
      <c r="J1255" s="6" t="b">
        <v>0</v>
      </c>
      <c r="K1255" s="6" t="s">
        <v>27</v>
      </c>
      <c r="L1255" s="6">
        <v>0</v>
      </c>
      <c r="M1255" s="6">
        <v>165</v>
      </c>
      <c r="N1255" s="8" t="str">
        <f t="shared" si="133"/>
        <v>0</v>
      </c>
      <c r="O1255" s="8">
        <f t="shared" si="134"/>
        <v>1980</v>
      </c>
      <c r="P1255" s="8">
        <f t="shared" si="135"/>
        <v>1980</v>
      </c>
      <c r="Q1255" s="8">
        <f t="shared" si="136"/>
        <v>0</v>
      </c>
      <c r="R1255" s="9">
        <f t="shared" si="137"/>
        <v>1980</v>
      </c>
      <c r="S1255" s="10">
        <f t="shared" si="138"/>
        <v>165</v>
      </c>
      <c r="T1255">
        <v>165</v>
      </c>
      <c r="U1255">
        <f t="shared" si="139"/>
        <v>0</v>
      </c>
    </row>
    <row r="1256" spans="1:21" ht="14.25" customHeight="1" x14ac:dyDescent="0.35">
      <c r="A1256" s="6" t="s">
        <v>3528</v>
      </c>
      <c r="B1256" s="6" t="s">
        <v>3529</v>
      </c>
      <c r="C1256" s="6" t="s">
        <v>3530</v>
      </c>
      <c r="D1256" s="6" t="s">
        <v>22</v>
      </c>
      <c r="E1256" s="7" t="s">
        <v>23</v>
      </c>
      <c r="F1256" s="6">
        <v>85249</v>
      </c>
      <c r="G1256" s="6" t="s">
        <v>125</v>
      </c>
      <c r="H1256" s="6" t="s">
        <v>126</v>
      </c>
      <c r="J1256" s="6" t="b">
        <v>0</v>
      </c>
      <c r="K1256" s="6" t="s">
        <v>27</v>
      </c>
      <c r="L1256" s="6">
        <v>0</v>
      </c>
      <c r="M1256" s="6">
        <v>165</v>
      </c>
      <c r="N1256" s="8" t="str">
        <f t="shared" si="133"/>
        <v>0</v>
      </c>
      <c r="O1256" s="8">
        <f t="shared" si="134"/>
        <v>1980</v>
      </c>
      <c r="P1256" s="8">
        <f t="shared" si="135"/>
        <v>1980</v>
      </c>
      <c r="Q1256" s="8">
        <f t="shared" si="136"/>
        <v>0</v>
      </c>
      <c r="R1256" s="9">
        <f t="shared" si="137"/>
        <v>1980</v>
      </c>
      <c r="S1256" s="10">
        <f t="shared" si="138"/>
        <v>165</v>
      </c>
      <c r="T1256">
        <v>165</v>
      </c>
      <c r="U1256">
        <f t="shared" si="139"/>
        <v>0</v>
      </c>
    </row>
    <row r="1257" spans="1:21" ht="14.25" customHeight="1" x14ac:dyDescent="0.35">
      <c r="A1257" s="6" t="s">
        <v>3531</v>
      </c>
      <c r="B1257" s="6" t="s">
        <v>3532</v>
      </c>
      <c r="C1257" s="6" t="s">
        <v>3533</v>
      </c>
      <c r="D1257" s="6" t="s">
        <v>31</v>
      </c>
      <c r="E1257" s="7" t="s">
        <v>23</v>
      </c>
      <c r="F1257" s="6">
        <v>85254</v>
      </c>
      <c r="G1257" s="6" t="s">
        <v>45</v>
      </c>
      <c r="H1257" s="6" t="s">
        <v>169</v>
      </c>
      <c r="I1257" s="6" t="s">
        <v>61</v>
      </c>
      <c r="J1257" s="6" t="b">
        <v>0</v>
      </c>
      <c r="K1257" s="6" t="s">
        <v>27</v>
      </c>
      <c r="L1257" s="6">
        <v>0</v>
      </c>
      <c r="M1257" s="6">
        <v>165</v>
      </c>
      <c r="N1257" s="8" t="str">
        <f t="shared" si="133"/>
        <v>0</v>
      </c>
      <c r="O1257" s="8">
        <f t="shared" si="134"/>
        <v>1980</v>
      </c>
      <c r="P1257" s="8">
        <f t="shared" si="135"/>
        <v>1980</v>
      </c>
      <c r="Q1257" s="8">
        <f t="shared" si="136"/>
        <v>0</v>
      </c>
      <c r="R1257" s="9">
        <f t="shared" si="137"/>
        <v>1980</v>
      </c>
      <c r="S1257" s="10">
        <f t="shared" si="138"/>
        <v>165</v>
      </c>
      <c r="T1257">
        <v>165</v>
      </c>
      <c r="U1257">
        <f t="shared" si="139"/>
        <v>0</v>
      </c>
    </row>
    <row r="1258" spans="1:21" ht="14.25" customHeight="1" x14ac:dyDescent="0.35">
      <c r="A1258" s="6" t="s">
        <v>3534</v>
      </c>
      <c r="B1258" s="6" t="s">
        <v>3535</v>
      </c>
      <c r="C1258" s="6" t="s">
        <v>3536</v>
      </c>
      <c r="D1258" s="6" t="s">
        <v>818</v>
      </c>
      <c r="E1258" s="7" t="s">
        <v>23</v>
      </c>
      <c r="F1258" s="6">
        <v>85340</v>
      </c>
      <c r="G1258" s="6" t="s">
        <v>38</v>
      </c>
      <c r="H1258" s="6" t="s">
        <v>378</v>
      </c>
      <c r="I1258" s="6" t="s">
        <v>26</v>
      </c>
      <c r="J1258" s="6" t="b">
        <v>0</v>
      </c>
      <c r="K1258" s="6" t="s">
        <v>27</v>
      </c>
      <c r="L1258" s="6">
        <v>0</v>
      </c>
      <c r="M1258" s="6">
        <v>165</v>
      </c>
      <c r="N1258" s="8" t="str">
        <f t="shared" si="133"/>
        <v>0</v>
      </c>
      <c r="O1258" s="8">
        <f t="shared" si="134"/>
        <v>1980</v>
      </c>
      <c r="P1258" s="8">
        <f t="shared" si="135"/>
        <v>1980</v>
      </c>
      <c r="Q1258" s="8">
        <f t="shared" si="136"/>
        <v>0</v>
      </c>
      <c r="R1258" s="9">
        <f t="shared" si="137"/>
        <v>1980</v>
      </c>
      <c r="S1258" s="10">
        <f t="shared" si="138"/>
        <v>165</v>
      </c>
      <c r="T1258">
        <v>165</v>
      </c>
      <c r="U1258">
        <f t="shared" si="139"/>
        <v>0</v>
      </c>
    </row>
    <row r="1259" spans="1:21" ht="14.25" customHeight="1" x14ac:dyDescent="0.35">
      <c r="A1259" s="6" t="s">
        <v>3537</v>
      </c>
      <c r="B1259" s="6" t="s">
        <v>3538</v>
      </c>
      <c r="C1259" s="6" t="s">
        <v>3539</v>
      </c>
      <c r="D1259" s="6" t="s">
        <v>44</v>
      </c>
      <c r="E1259" s="7" t="s">
        <v>23</v>
      </c>
      <c r="F1259" s="6">
        <v>85050</v>
      </c>
      <c r="G1259" s="6" t="s">
        <v>32</v>
      </c>
      <c r="H1259" s="6" t="s">
        <v>169</v>
      </c>
      <c r="I1259" s="6" t="s">
        <v>26</v>
      </c>
      <c r="J1259" s="6" t="b">
        <v>0</v>
      </c>
      <c r="K1259" s="6" t="s">
        <v>27</v>
      </c>
      <c r="L1259" s="6">
        <v>0</v>
      </c>
      <c r="M1259" s="6">
        <v>165</v>
      </c>
      <c r="N1259" s="8" t="str">
        <f t="shared" si="133"/>
        <v>0</v>
      </c>
      <c r="O1259" s="8">
        <f t="shared" si="134"/>
        <v>1980</v>
      </c>
      <c r="P1259" s="8">
        <f t="shared" si="135"/>
        <v>1980</v>
      </c>
      <c r="Q1259" s="8">
        <f t="shared" si="136"/>
        <v>0</v>
      </c>
      <c r="R1259" s="9">
        <f t="shared" si="137"/>
        <v>1980</v>
      </c>
      <c r="S1259" s="10">
        <f t="shared" si="138"/>
        <v>165</v>
      </c>
      <c r="T1259">
        <v>165</v>
      </c>
      <c r="U1259">
        <f t="shared" si="139"/>
        <v>0</v>
      </c>
    </row>
    <row r="1260" spans="1:21" ht="14.25" customHeight="1" x14ac:dyDescent="0.35">
      <c r="A1260" s="6" t="s">
        <v>3540</v>
      </c>
      <c r="B1260" s="6" t="s">
        <v>3541</v>
      </c>
      <c r="C1260" s="6" t="s">
        <v>3542</v>
      </c>
      <c r="D1260" s="6" t="s">
        <v>44</v>
      </c>
      <c r="E1260" s="7" t="s">
        <v>23</v>
      </c>
      <c r="F1260" s="6">
        <v>85016</v>
      </c>
      <c r="G1260" s="6" t="s">
        <v>49</v>
      </c>
      <c r="H1260" s="6" t="s">
        <v>202</v>
      </c>
      <c r="I1260" s="6" t="s">
        <v>26</v>
      </c>
      <c r="J1260" s="6" t="b">
        <v>0</v>
      </c>
      <c r="K1260" s="6" t="s">
        <v>27</v>
      </c>
      <c r="L1260" s="6">
        <v>0</v>
      </c>
      <c r="M1260" s="6">
        <v>165</v>
      </c>
      <c r="N1260" s="8" t="str">
        <f t="shared" si="133"/>
        <v>0</v>
      </c>
      <c r="O1260" s="8">
        <f t="shared" si="134"/>
        <v>1980</v>
      </c>
      <c r="P1260" s="8">
        <f t="shared" si="135"/>
        <v>1980</v>
      </c>
      <c r="Q1260" s="8">
        <f t="shared" si="136"/>
        <v>0</v>
      </c>
      <c r="R1260" s="9">
        <f t="shared" si="137"/>
        <v>1980</v>
      </c>
      <c r="S1260" s="10">
        <f t="shared" si="138"/>
        <v>165</v>
      </c>
      <c r="T1260">
        <v>165</v>
      </c>
      <c r="U1260">
        <f t="shared" si="139"/>
        <v>0</v>
      </c>
    </row>
    <row r="1261" spans="1:21" ht="14.25" customHeight="1" x14ac:dyDescent="0.35">
      <c r="A1261" s="6" t="s">
        <v>3543</v>
      </c>
      <c r="B1261" s="6" t="s">
        <v>3544</v>
      </c>
      <c r="C1261" s="6" t="s">
        <v>3545</v>
      </c>
      <c r="D1261" s="6" t="s">
        <v>65</v>
      </c>
      <c r="E1261" s="7" t="s">
        <v>23</v>
      </c>
      <c r="F1261" s="6">
        <v>85213</v>
      </c>
      <c r="G1261" s="6" t="s">
        <v>66</v>
      </c>
      <c r="H1261" s="6" t="s">
        <v>67</v>
      </c>
      <c r="I1261" s="6" t="s">
        <v>26</v>
      </c>
      <c r="J1261" s="6" t="b">
        <v>0</v>
      </c>
      <c r="K1261" s="6" t="s">
        <v>27</v>
      </c>
      <c r="L1261" s="6">
        <v>0</v>
      </c>
      <c r="M1261" s="6">
        <v>165</v>
      </c>
      <c r="N1261" s="8" t="str">
        <f t="shared" si="133"/>
        <v>0</v>
      </c>
      <c r="O1261" s="8">
        <f t="shared" si="134"/>
        <v>1980</v>
      </c>
      <c r="P1261" s="8">
        <f t="shared" si="135"/>
        <v>1980</v>
      </c>
      <c r="Q1261" s="8">
        <f t="shared" si="136"/>
        <v>0</v>
      </c>
      <c r="R1261" s="9">
        <f t="shared" si="137"/>
        <v>1980</v>
      </c>
      <c r="S1261" s="10">
        <f t="shared" si="138"/>
        <v>165</v>
      </c>
      <c r="T1261">
        <v>165</v>
      </c>
      <c r="U1261">
        <f t="shared" si="139"/>
        <v>0</v>
      </c>
    </row>
    <row r="1262" spans="1:21" ht="14.25" customHeight="1" x14ac:dyDescent="0.35">
      <c r="A1262" s="6" t="s">
        <v>3546</v>
      </c>
      <c r="B1262" s="6" t="s">
        <v>3547</v>
      </c>
      <c r="C1262" s="6" t="s">
        <v>3548</v>
      </c>
      <c r="D1262" s="6" t="s">
        <v>267</v>
      </c>
      <c r="E1262" s="7" t="s">
        <v>23</v>
      </c>
      <c r="F1262" s="6">
        <v>85388</v>
      </c>
      <c r="G1262" s="6" t="s">
        <v>78</v>
      </c>
      <c r="H1262" s="6" t="s">
        <v>281</v>
      </c>
      <c r="I1262" s="6" t="s">
        <v>26</v>
      </c>
      <c r="J1262" s="6" t="b">
        <v>0</v>
      </c>
      <c r="K1262" s="6" t="s">
        <v>27</v>
      </c>
      <c r="L1262" s="6">
        <v>0</v>
      </c>
      <c r="M1262" s="6">
        <v>165</v>
      </c>
      <c r="N1262" s="8" t="str">
        <f t="shared" si="133"/>
        <v>0</v>
      </c>
      <c r="O1262" s="8">
        <f t="shared" si="134"/>
        <v>1980</v>
      </c>
      <c r="P1262" s="8">
        <f t="shared" si="135"/>
        <v>1980</v>
      </c>
      <c r="Q1262" s="8">
        <f t="shared" si="136"/>
        <v>0</v>
      </c>
      <c r="R1262" s="9">
        <f t="shared" si="137"/>
        <v>1980</v>
      </c>
      <c r="S1262" s="10">
        <f t="shared" si="138"/>
        <v>165</v>
      </c>
      <c r="T1262">
        <v>165</v>
      </c>
      <c r="U1262">
        <f t="shared" si="139"/>
        <v>0</v>
      </c>
    </row>
    <row r="1263" spans="1:21" ht="14.25" customHeight="1" x14ac:dyDescent="0.35">
      <c r="A1263" s="6" t="s">
        <v>3549</v>
      </c>
      <c r="B1263" s="6" t="s">
        <v>3550</v>
      </c>
      <c r="C1263" s="6" t="s">
        <v>3551</v>
      </c>
      <c r="D1263" s="6" t="s">
        <v>44</v>
      </c>
      <c r="E1263" s="7" t="s">
        <v>23</v>
      </c>
      <c r="F1263" s="6">
        <v>85024</v>
      </c>
      <c r="G1263" s="6" t="s">
        <v>173</v>
      </c>
      <c r="H1263" s="6" t="s">
        <v>169</v>
      </c>
      <c r="I1263" s="6" t="s">
        <v>26</v>
      </c>
      <c r="J1263" s="6" t="b">
        <v>0</v>
      </c>
      <c r="K1263" s="6" t="s">
        <v>27</v>
      </c>
      <c r="L1263" s="6">
        <v>0</v>
      </c>
      <c r="M1263" s="6">
        <v>165</v>
      </c>
      <c r="N1263" s="8" t="str">
        <f t="shared" si="133"/>
        <v>0</v>
      </c>
      <c r="O1263" s="8">
        <f t="shared" si="134"/>
        <v>1980</v>
      </c>
      <c r="P1263" s="8">
        <f t="shared" si="135"/>
        <v>1980</v>
      </c>
      <c r="Q1263" s="8">
        <f t="shared" si="136"/>
        <v>0</v>
      </c>
      <c r="R1263" s="9">
        <f t="shared" si="137"/>
        <v>1980</v>
      </c>
      <c r="S1263" s="10">
        <f t="shared" si="138"/>
        <v>165</v>
      </c>
      <c r="T1263">
        <v>165</v>
      </c>
      <c r="U1263">
        <f t="shared" si="139"/>
        <v>0</v>
      </c>
    </row>
    <row r="1264" spans="1:21" ht="14.25" customHeight="1" x14ac:dyDescent="0.35">
      <c r="A1264" s="6" t="s">
        <v>3552</v>
      </c>
      <c r="B1264" s="6" t="s">
        <v>3553</v>
      </c>
      <c r="C1264" s="6" t="s">
        <v>3554</v>
      </c>
      <c r="D1264" s="6" t="s">
        <v>165</v>
      </c>
      <c r="E1264" s="7" t="s">
        <v>23</v>
      </c>
      <c r="F1264" s="6">
        <v>85233</v>
      </c>
      <c r="G1264" s="6" t="s">
        <v>24</v>
      </c>
      <c r="I1264" s="6" t="s">
        <v>61</v>
      </c>
      <c r="J1264" s="6" t="b">
        <v>0</v>
      </c>
      <c r="K1264" s="6" t="s">
        <v>27</v>
      </c>
      <c r="L1264" s="6">
        <v>0</v>
      </c>
      <c r="M1264" s="6">
        <v>165</v>
      </c>
      <c r="N1264" s="8" t="str">
        <f t="shared" si="133"/>
        <v>0</v>
      </c>
      <c r="O1264" s="8">
        <f t="shared" si="134"/>
        <v>1980</v>
      </c>
      <c r="P1264" s="8">
        <f t="shared" si="135"/>
        <v>1980</v>
      </c>
      <c r="Q1264" s="8">
        <f t="shared" si="136"/>
        <v>0</v>
      </c>
      <c r="R1264" s="9">
        <f t="shared" si="137"/>
        <v>1980</v>
      </c>
      <c r="S1264" s="10">
        <f t="shared" si="138"/>
        <v>165</v>
      </c>
      <c r="T1264">
        <v>165</v>
      </c>
      <c r="U1264">
        <f t="shared" si="139"/>
        <v>0</v>
      </c>
    </row>
    <row r="1265" spans="1:21" ht="14.25" customHeight="1" x14ac:dyDescent="0.35">
      <c r="A1265" s="6" t="s">
        <v>3555</v>
      </c>
      <c r="B1265" s="6" t="s">
        <v>3556</v>
      </c>
      <c r="C1265" s="6" t="s">
        <v>3557</v>
      </c>
      <c r="D1265" s="6" t="s">
        <v>22</v>
      </c>
      <c r="E1265" s="7" t="s">
        <v>23</v>
      </c>
      <c r="F1265" s="6">
        <v>85286</v>
      </c>
      <c r="G1265" s="6" t="s">
        <v>125</v>
      </c>
      <c r="H1265" s="6" t="s">
        <v>126</v>
      </c>
      <c r="I1265" s="6" t="s">
        <v>26</v>
      </c>
      <c r="J1265" s="6" t="b">
        <v>0</v>
      </c>
      <c r="K1265" s="6" t="s">
        <v>27</v>
      </c>
      <c r="L1265" s="6">
        <v>0</v>
      </c>
      <c r="M1265" s="6">
        <v>165</v>
      </c>
      <c r="N1265" s="8" t="str">
        <f t="shared" si="133"/>
        <v>0</v>
      </c>
      <c r="O1265" s="8">
        <f t="shared" si="134"/>
        <v>1980</v>
      </c>
      <c r="P1265" s="8">
        <f t="shared" si="135"/>
        <v>1980</v>
      </c>
      <c r="Q1265" s="8">
        <f t="shared" si="136"/>
        <v>0</v>
      </c>
      <c r="R1265" s="9">
        <f t="shared" si="137"/>
        <v>1980</v>
      </c>
      <c r="S1265" s="10">
        <f t="shared" si="138"/>
        <v>165</v>
      </c>
      <c r="T1265">
        <v>165</v>
      </c>
      <c r="U1265">
        <f t="shared" si="139"/>
        <v>0</v>
      </c>
    </row>
    <row r="1266" spans="1:21" ht="14.25" customHeight="1" x14ac:dyDescent="0.35">
      <c r="A1266" s="6" t="s">
        <v>3558</v>
      </c>
      <c r="B1266" s="6" t="s">
        <v>3559</v>
      </c>
      <c r="C1266" s="6" t="s">
        <v>3560</v>
      </c>
      <c r="D1266" s="6" t="s">
        <v>44</v>
      </c>
      <c r="E1266" s="7" t="s">
        <v>23</v>
      </c>
      <c r="F1266" s="6">
        <v>85029</v>
      </c>
      <c r="G1266" s="6" t="s">
        <v>72</v>
      </c>
      <c r="H1266" s="6" t="s">
        <v>93</v>
      </c>
      <c r="J1266" s="6" t="b">
        <v>0</v>
      </c>
      <c r="K1266" s="6" t="s">
        <v>27</v>
      </c>
      <c r="L1266" s="6">
        <v>0</v>
      </c>
      <c r="M1266" s="6">
        <v>165</v>
      </c>
      <c r="N1266" s="8" t="str">
        <f t="shared" si="133"/>
        <v>0</v>
      </c>
      <c r="O1266" s="8">
        <f t="shared" si="134"/>
        <v>1980</v>
      </c>
      <c r="P1266" s="8">
        <f t="shared" si="135"/>
        <v>1980</v>
      </c>
      <c r="Q1266" s="8">
        <f t="shared" si="136"/>
        <v>0</v>
      </c>
      <c r="R1266" s="9">
        <f t="shared" si="137"/>
        <v>1980</v>
      </c>
      <c r="S1266" s="10">
        <f t="shared" si="138"/>
        <v>165</v>
      </c>
      <c r="T1266">
        <v>165</v>
      </c>
      <c r="U1266">
        <f t="shared" si="139"/>
        <v>0</v>
      </c>
    </row>
    <row r="1267" spans="1:21" ht="14.25" customHeight="1" x14ac:dyDescent="0.35">
      <c r="A1267" s="6" t="s">
        <v>3561</v>
      </c>
      <c r="B1267" s="6" t="s">
        <v>3562</v>
      </c>
      <c r="C1267" s="6" t="s">
        <v>3563</v>
      </c>
      <c r="D1267" s="6" t="s">
        <v>22</v>
      </c>
      <c r="E1267" s="7" t="s">
        <v>23</v>
      </c>
      <c r="F1267" s="6">
        <v>85224</v>
      </c>
      <c r="G1267" s="6" t="s">
        <v>24</v>
      </c>
      <c r="H1267" s="6" t="s">
        <v>25</v>
      </c>
      <c r="I1267" s="6" t="s">
        <v>26</v>
      </c>
      <c r="J1267" s="6" t="b">
        <v>0</v>
      </c>
      <c r="K1267" s="6" t="s">
        <v>27</v>
      </c>
      <c r="L1267" s="6">
        <v>0</v>
      </c>
      <c r="M1267" s="6">
        <v>165</v>
      </c>
      <c r="N1267" s="8" t="str">
        <f t="shared" si="133"/>
        <v>0</v>
      </c>
      <c r="O1267" s="8">
        <f t="shared" si="134"/>
        <v>1980</v>
      </c>
      <c r="P1267" s="8">
        <f t="shared" si="135"/>
        <v>1980</v>
      </c>
      <c r="Q1267" s="8">
        <f t="shared" si="136"/>
        <v>0</v>
      </c>
      <c r="R1267" s="9">
        <f t="shared" si="137"/>
        <v>1980</v>
      </c>
      <c r="S1267" s="10">
        <f t="shared" si="138"/>
        <v>165</v>
      </c>
      <c r="T1267">
        <v>165</v>
      </c>
      <c r="U1267">
        <f t="shared" si="139"/>
        <v>0</v>
      </c>
    </row>
    <row r="1268" spans="1:21" ht="14.25" customHeight="1" x14ac:dyDescent="0.35">
      <c r="A1268" s="6" t="s">
        <v>3564</v>
      </c>
      <c r="B1268" s="6" t="s">
        <v>3565</v>
      </c>
      <c r="C1268" s="6" t="s">
        <v>3566</v>
      </c>
      <c r="D1268" s="6" t="s">
        <v>818</v>
      </c>
      <c r="E1268" s="7" t="s">
        <v>23</v>
      </c>
      <c r="F1268" s="6">
        <v>85340</v>
      </c>
      <c r="G1268" s="6" t="s">
        <v>38</v>
      </c>
      <c r="H1268" s="6" t="s">
        <v>378</v>
      </c>
      <c r="I1268" s="6" t="s">
        <v>110</v>
      </c>
      <c r="J1268" s="6" t="b">
        <v>0</v>
      </c>
      <c r="K1268" s="6" t="s">
        <v>27</v>
      </c>
      <c r="L1268" s="6">
        <v>0</v>
      </c>
      <c r="M1268" s="6">
        <v>165</v>
      </c>
      <c r="N1268" s="8" t="str">
        <f t="shared" si="133"/>
        <v>0</v>
      </c>
      <c r="O1268" s="8">
        <f t="shared" si="134"/>
        <v>1980</v>
      </c>
      <c r="P1268" s="8">
        <f t="shared" si="135"/>
        <v>1980</v>
      </c>
      <c r="Q1268" s="8">
        <f t="shared" si="136"/>
        <v>0</v>
      </c>
      <c r="R1268" s="9">
        <f t="shared" si="137"/>
        <v>1980</v>
      </c>
      <c r="S1268" s="10">
        <f t="shared" si="138"/>
        <v>165</v>
      </c>
      <c r="T1268">
        <v>165</v>
      </c>
      <c r="U1268">
        <f t="shared" si="139"/>
        <v>0</v>
      </c>
    </row>
    <row r="1269" spans="1:21" ht="14.25" customHeight="1" x14ac:dyDescent="0.35">
      <c r="A1269" s="6" t="s">
        <v>3567</v>
      </c>
      <c r="B1269" s="6" t="s">
        <v>3568</v>
      </c>
      <c r="C1269" s="6" t="s">
        <v>3569</v>
      </c>
      <c r="D1269" s="6" t="s">
        <v>818</v>
      </c>
      <c r="E1269" s="7" t="s">
        <v>23</v>
      </c>
      <c r="F1269" s="6">
        <v>85340</v>
      </c>
      <c r="G1269" s="6" t="s">
        <v>38</v>
      </c>
      <c r="H1269" s="6" t="s">
        <v>378</v>
      </c>
      <c r="J1269" s="6" t="b">
        <v>0</v>
      </c>
      <c r="K1269" s="6" t="s">
        <v>27</v>
      </c>
      <c r="L1269" s="6">
        <v>0</v>
      </c>
      <c r="M1269" s="6">
        <v>165</v>
      </c>
      <c r="N1269" s="8" t="str">
        <f t="shared" si="133"/>
        <v>0</v>
      </c>
      <c r="O1269" s="8">
        <f t="shared" si="134"/>
        <v>1980</v>
      </c>
      <c r="P1269" s="8">
        <f t="shared" si="135"/>
        <v>1980</v>
      </c>
      <c r="Q1269" s="8">
        <f t="shared" si="136"/>
        <v>0</v>
      </c>
      <c r="R1269" s="9">
        <f t="shared" si="137"/>
        <v>1980</v>
      </c>
      <c r="S1269" s="10">
        <f t="shared" si="138"/>
        <v>165</v>
      </c>
      <c r="T1269">
        <v>165</v>
      </c>
      <c r="U1269">
        <f t="shared" si="139"/>
        <v>0</v>
      </c>
    </row>
    <row r="1270" spans="1:21" ht="14.25" customHeight="1" x14ac:dyDescent="0.35">
      <c r="A1270" s="6" t="s">
        <v>3570</v>
      </c>
      <c r="B1270" s="6" t="s">
        <v>3571</v>
      </c>
      <c r="C1270" s="6" t="s">
        <v>3572</v>
      </c>
      <c r="D1270" s="6" t="s">
        <v>44</v>
      </c>
      <c r="E1270" s="7" t="s">
        <v>23</v>
      </c>
      <c r="F1270" s="6">
        <v>85023</v>
      </c>
      <c r="G1270" s="6" t="s">
        <v>173</v>
      </c>
      <c r="H1270" s="6" t="s">
        <v>79</v>
      </c>
      <c r="I1270" s="6" t="s">
        <v>61</v>
      </c>
      <c r="J1270" s="6" t="b">
        <v>0</v>
      </c>
      <c r="K1270" s="6" t="s">
        <v>27</v>
      </c>
      <c r="L1270" s="6">
        <v>0</v>
      </c>
      <c r="M1270" s="6">
        <v>165</v>
      </c>
      <c r="N1270" s="8" t="str">
        <f t="shared" si="133"/>
        <v>0</v>
      </c>
      <c r="O1270" s="8">
        <f t="shared" si="134"/>
        <v>1980</v>
      </c>
      <c r="P1270" s="8">
        <f t="shared" si="135"/>
        <v>1980</v>
      </c>
      <c r="Q1270" s="8">
        <f t="shared" si="136"/>
        <v>0</v>
      </c>
      <c r="R1270" s="9">
        <f t="shared" si="137"/>
        <v>1980</v>
      </c>
      <c r="S1270" s="10">
        <f t="shared" si="138"/>
        <v>165</v>
      </c>
      <c r="T1270">
        <v>165</v>
      </c>
      <c r="U1270">
        <f t="shared" si="139"/>
        <v>0</v>
      </c>
    </row>
    <row r="1271" spans="1:21" ht="14.25" customHeight="1" x14ac:dyDescent="0.35">
      <c r="A1271" s="6" t="s">
        <v>3573</v>
      </c>
      <c r="B1271" s="6" t="s">
        <v>3574</v>
      </c>
      <c r="C1271" s="6" t="s">
        <v>3575</v>
      </c>
      <c r="D1271" s="6" t="s">
        <v>332</v>
      </c>
      <c r="E1271" s="7" t="s">
        <v>23</v>
      </c>
      <c r="F1271" s="6">
        <v>85339</v>
      </c>
      <c r="G1271" s="6" t="s">
        <v>213</v>
      </c>
      <c r="H1271" s="6" t="s">
        <v>39</v>
      </c>
      <c r="I1271" s="6" t="s">
        <v>26</v>
      </c>
      <c r="J1271" s="6" t="b">
        <v>0</v>
      </c>
      <c r="K1271" s="6" t="s">
        <v>27</v>
      </c>
      <c r="L1271" s="6">
        <v>0</v>
      </c>
      <c r="M1271" s="6">
        <v>165</v>
      </c>
      <c r="N1271" s="8" t="str">
        <f t="shared" si="133"/>
        <v>0</v>
      </c>
      <c r="O1271" s="8">
        <f t="shared" si="134"/>
        <v>1980</v>
      </c>
      <c r="P1271" s="8">
        <f t="shared" si="135"/>
        <v>1980</v>
      </c>
      <c r="Q1271" s="8">
        <f t="shared" si="136"/>
        <v>0</v>
      </c>
      <c r="R1271" s="9">
        <f t="shared" si="137"/>
        <v>1980</v>
      </c>
      <c r="S1271" s="10">
        <f t="shared" si="138"/>
        <v>165</v>
      </c>
      <c r="T1271">
        <v>165</v>
      </c>
      <c r="U1271">
        <f t="shared" si="139"/>
        <v>0</v>
      </c>
    </row>
    <row r="1272" spans="1:21" ht="14.25" customHeight="1" x14ac:dyDescent="0.35">
      <c r="A1272" s="6" t="s">
        <v>3576</v>
      </c>
      <c r="B1272" s="6" t="s">
        <v>3577</v>
      </c>
      <c r="C1272" s="6" t="s">
        <v>3578</v>
      </c>
      <c r="D1272" s="6" t="s">
        <v>44</v>
      </c>
      <c r="E1272" s="7" t="s">
        <v>23</v>
      </c>
      <c r="F1272" s="6">
        <v>85018</v>
      </c>
      <c r="G1272" s="6" t="s">
        <v>49</v>
      </c>
      <c r="H1272" s="6" t="s">
        <v>50</v>
      </c>
      <c r="I1272" s="6" t="s">
        <v>26</v>
      </c>
      <c r="J1272" s="6" t="b">
        <v>0</v>
      </c>
      <c r="K1272" s="6" t="s">
        <v>27</v>
      </c>
      <c r="L1272" s="6">
        <v>0</v>
      </c>
      <c r="M1272" s="6">
        <v>165</v>
      </c>
      <c r="N1272" s="8" t="str">
        <f t="shared" si="133"/>
        <v>0</v>
      </c>
      <c r="O1272" s="8">
        <f t="shared" si="134"/>
        <v>1980</v>
      </c>
      <c r="P1272" s="8">
        <f t="shared" si="135"/>
        <v>1980</v>
      </c>
      <c r="Q1272" s="8">
        <f t="shared" si="136"/>
        <v>0</v>
      </c>
      <c r="R1272" s="9">
        <f t="shared" si="137"/>
        <v>1980</v>
      </c>
      <c r="S1272" s="10">
        <f t="shared" si="138"/>
        <v>165</v>
      </c>
      <c r="T1272">
        <v>165</v>
      </c>
      <c r="U1272">
        <f t="shared" si="139"/>
        <v>0</v>
      </c>
    </row>
    <row r="1273" spans="1:21" ht="14.25" customHeight="1" x14ac:dyDescent="0.35">
      <c r="A1273" s="6" t="s">
        <v>3579</v>
      </c>
      <c r="B1273" s="6" t="s">
        <v>3580</v>
      </c>
      <c r="C1273" s="6" t="s">
        <v>3581</v>
      </c>
      <c r="D1273" s="6" t="s">
        <v>44</v>
      </c>
      <c r="E1273" s="7" t="s">
        <v>23</v>
      </c>
      <c r="F1273" s="6">
        <v>85041</v>
      </c>
      <c r="G1273" s="6" t="s">
        <v>213</v>
      </c>
      <c r="H1273" s="6" t="s">
        <v>39</v>
      </c>
      <c r="I1273" s="6" t="s">
        <v>26</v>
      </c>
      <c r="J1273" s="6" t="b">
        <v>0</v>
      </c>
      <c r="K1273" s="6" t="s">
        <v>27</v>
      </c>
      <c r="L1273" s="6">
        <v>0</v>
      </c>
      <c r="M1273" s="6">
        <v>165</v>
      </c>
      <c r="N1273" s="8" t="str">
        <f t="shared" si="133"/>
        <v>0</v>
      </c>
      <c r="O1273" s="8">
        <f t="shared" si="134"/>
        <v>1980</v>
      </c>
      <c r="P1273" s="8">
        <f t="shared" si="135"/>
        <v>1980</v>
      </c>
      <c r="Q1273" s="8">
        <f t="shared" si="136"/>
        <v>0</v>
      </c>
      <c r="R1273" s="9">
        <f t="shared" si="137"/>
        <v>1980</v>
      </c>
      <c r="S1273" s="10">
        <f t="shared" si="138"/>
        <v>165</v>
      </c>
      <c r="T1273">
        <v>165</v>
      </c>
      <c r="U1273">
        <f t="shared" si="139"/>
        <v>0</v>
      </c>
    </row>
    <row r="1274" spans="1:21" ht="14.25" customHeight="1" x14ac:dyDescent="0.35">
      <c r="A1274" s="6" t="s">
        <v>3582</v>
      </c>
      <c r="B1274" s="6" t="s">
        <v>3583</v>
      </c>
      <c r="C1274" s="6" t="s">
        <v>3584</v>
      </c>
      <c r="D1274" s="6" t="s">
        <v>77</v>
      </c>
      <c r="E1274" s="7" t="s">
        <v>23</v>
      </c>
      <c r="F1274" s="6">
        <v>85308</v>
      </c>
      <c r="G1274" s="6" t="s">
        <v>78</v>
      </c>
      <c r="H1274" s="6" t="s">
        <v>79</v>
      </c>
      <c r="I1274" s="6" t="s">
        <v>110</v>
      </c>
      <c r="J1274" s="6" t="b">
        <v>0</v>
      </c>
      <c r="K1274" s="6" t="s">
        <v>27</v>
      </c>
      <c r="L1274" s="6">
        <v>0</v>
      </c>
      <c r="M1274" s="6">
        <v>165</v>
      </c>
      <c r="N1274" s="8" t="str">
        <f t="shared" si="133"/>
        <v>0</v>
      </c>
      <c r="O1274" s="8">
        <f t="shared" si="134"/>
        <v>1980</v>
      </c>
      <c r="P1274" s="8">
        <f t="shared" si="135"/>
        <v>1980</v>
      </c>
      <c r="Q1274" s="8">
        <f t="shared" si="136"/>
        <v>0</v>
      </c>
      <c r="R1274" s="9">
        <f t="shared" si="137"/>
        <v>1980</v>
      </c>
      <c r="S1274" s="10">
        <f t="shared" si="138"/>
        <v>165</v>
      </c>
      <c r="T1274">
        <v>165</v>
      </c>
      <c r="U1274">
        <f t="shared" si="139"/>
        <v>0</v>
      </c>
    </row>
    <row r="1275" spans="1:21" ht="14.25" customHeight="1" x14ac:dyDescent="0.35">
      <c r="A1275" s="6" t="s">
        <v>3585</v>
      </c>
      <c r="B1275" s="6" t="s">
        <v>3586</v>
      </c>
      <c r="C1275" s="6" t="s">
        <v>3587</v>
      </c>
      <c r="D1275" s="6" t="s">
        <v>98</v>
      </c>
      <c r="E1275" s="7" t="s">
        <v>23</v>
      </c>
      <c r="F1275" s="6">
        <v>85122</v>
      </c>
      <c r="G1275" s="6" t="s">
        <v>87</v>
      </c>
      <c r="H1275" s="6" t="s">
        <v>109</v>
      </c>
      <c r="I1275" s="6" t="s">
        <v>57</v>
      </c>
      <c r="J1275" s="6" t="b">
        <v>0</v>
      </c>
      <c r="K1275" s="6" t="s">
        <v>27</v>
      </c>
      <c r="L1275" s="6">
        <v>0</v>
      </c>
      <c r="M1275" s="6">
        <v>165</v>
      </c>
      <c r="N1275" s="8" t="str">
        <f t="shared" si="133"/>
        <v>0</v>
      </c>
      <c r="O1275" s="8">
        <f t="shared" si="134"/>
        <v>1980</v>
      </c>
      <c r="P1275" s="8">
        <f t="shared" si="135"/>
        <v>1980</v>
      </c>
      <c r="Q1275" s="8">
        <f t="shared" si="136"/>
        <v>0</v>
      </c>
      <c r="R1275" s="9">
        <f t="shared" si="137"/>
        <v>1980</v>
      </c>
      <c r="S1275" s="10">
        <f t="shared" si="138"/>
        <v>165</v>
      </c>
      <c r="T1275">
        <v>165</v>
      </c>
      <c r="U1275">
        <f t="shared" si="139"/>
        <v>0</v>
      </c>
    </row>
    <row r="1276" spans="1:21" ht="14.25" customHeight="1" x14ac:dyDescent="0.35">
      <c r="A1276" s="6" t="s">
        <v>3588</v>
      </c>
      <c r="B1276" s="6" t="s">
        <v>3589</v>
      </c>
      <c r="C1276" s="6" t="s">
        <v>3590</v>
      </c>
      <c r="D1276" s="6" t="s">
        <v>44</v>
      </c>
      <c r="E1276" s="7" t="s">
        <v>23</v>
      </c>
      <c r="F1276" s="6">
        <v>85020</v>
      </c>
      <c r="G1276" s="6" t="s">
        <v>173</v>
      </c>
      <c r="H1276" s="6" t="s">
        <v>79</v>
      </c>
      <c r="J1276" s="6" t="b">
        <v>0</v>
      </c>
      <c r="K1276" s="6" t="s">
        <v>27</v>
      </c>
      <c r="L1276" s="6">
        <v>0</v>
      </c>
      <c r="M1276" s="6">
        <v>165</v>
      </c>
      <c r="N1276" s="8" t="str">
        <f t="shared" si="133"/>
        <v>0</v>
      </c>
      <c r="O1276" s="8">
        <f t="shared" si="134"/>
        <v>1980</v>
      </c>
      <c r="P1276" s="8">
        <f t="shared" si="135"/>
        <v>1980</v>
      </c>
      <c r="Q1276" s="8">
        <f t="shared" si="136"/>
        <v>0</v>
      </c>
      <c r="R1276" s="9">
        <f t="shared" si="137"/>
        <v>1980</v>
      </c>
      <c r="S1276" s="10">
        <f t="shared" si="138"/>
        <v>165</v>
      </c>
      <c r="T1276">
        <v>165</v>
      </c>
      <c r="U1276">
        <f t="shared" si="139"/>
        <v>0</v>
      </c>
    </row>
    <row r="1277" spans="1:21" ht="14.25" customHeight="1" x14ac:dyDescent="0.35">
      <c r="A1277" s="6" t="s">
        <v>3591</v>
      </c>
      <c r="B1277" s="6" t="s">
        <v>3592</v>
      </c>
      <c r="C1277" s="6" t="s">
        <v>3593</v>
      </c>
      <c r="D1277" s="6" t="s">
        <v>77</v>
      </c>
      <c r="E1277" s="7" t="s">
        <v>23</v>
      </c>
      <c r="F1277" s="6">
        <v>85308</v>
      </c>
      <c r="G1277" s="6" t="s">
        <v>78</v>
      </c>
      <c r="H1277" s="6" t="s">
        <v>281</v>
      </c>
      <c r="I1277" s="6" t="s">
        <v>26</v>
      </c>
      <c r="J1277" s="6" t="b">
        <v>0</v>
      </c>
      <c r="K1277" s="6" t="s">
        <v>27</v>
      </c>
      <c r="L1277" s="6">
        <v>0</v>
      </c>
      <c r="M1277" s="6">
        <v>165</v>
      </c>
      <c r="N1277" s="8" t="str">
        <f t="shared" si="133"/>
        <v>0</v>
      </c>
      <c r="O1277" s="8">
        <f t="shared" si="134"/>
        <v>1980</v>
      </c>
      <c r="P1277" s="8">
        <f t="shared" si="135"/>
        <v>1980</v>
      </c>
      <c r="Q1277" s="8">
        <f t="shared" si="136"/>
        <v>0</v>
      </c>
      <c r="R1277" s="9">
        <f t="shared" si="137"/>
        <v>1980</v>
      </c>
      <c r="S1277" s="10">
        <f t="shared" si="138"/>
        <v>165</v>
      </c>
      <c r="T1277">
        <v>165</v>
      </c>
      <c r="U1277">
        <f t="shared" si="139"/>
        <v>0</v>
      </c>
    </row>
    <row r="1278" spans="1:21" ht="14.25" customHeight="1" x14ac:dyDescent="0.35">
      <c r="A1278" s="6" t="s">
        <v>3594</v>
      </c>
      <c r="B1278" s="6" t="s">
        <v>3595</v>
      </c>
      <c r="C1278" s="6" t="s">
        <v>3596</v>
      </c>
      <c r="D1278" s="6" t="s">
        <v>65</v>
      </c>
      <c r="E1278" s="7" t="s">
        <v>23</v>
      </c>
      <c r="F1278" s="6">
        <v>85202</v>
      </c>
      <c r="G1278" s="6" t="s">
        <v>364</v>
      </c>
      <c r="H1278" s="6" t="s">
        <v>365</v>
      </c>
      <c r="J1278" s="6" t="b">
        <v>0</v>
      </c>
      <c r="K1278" s="6" t="s">
        <v>27</v>
      </c>
      <c r="L1278" s="6">
        <v>0</v>
      </c>
      <c r="M1278" s="6">
        <v>165</v>
      </c>
      <c r="N1278" s="8" t="str">
        <f t="shared" si="133"/>
        <v>0</v>
      </c>
      <c r="O1278" s="8">
        <f t="shared" si="134"/>
        <v>1980</v>
      </c>
      <c r="P1278" s="8">
        <f t="shared" si="135"/>
        <v>1980</v>
      </c>
      <c r="Q1278" s="8">
        <f t="shared" si="136"/>
        <v>0</v>
      </c>
      <c r="R1278" s="9">
        <f t="shared" si="137"/>
        <v>1980</v>
      </c>
      <c r="S1278" s="10">
        <f t="shared" si="138"/>
        <v>165</v>
      </c>
      <c r="T1278">
        <v>165</v>
      </c>
      <c r="U1278">
        <f t="shared" si="139"/>
        <v>0</v>
      </c>
    </row>
    <row r="1279" spans="1:21" ht="14.25" customHeight="1" x14ac:dyDescent="0.35">
      <c r="A1279" s="6" t="s">
        <v>3597</v>
      </c>
      <c r="B1279" s="6" t="s">
        <v>3598</v>
      </c>
      <c r="C1279" s="6" t="s">
        <v>3599</v>
      </c>
      <c r="D1279" s="6" t="s">
        <v>22</v>
      </c>
      <c r="E1279" s="7" t="s">
        <v>23</v>
      </c>
      <c r="F1279" s="6">
        <v>85286</v>
      </c>
      <c r="G1279" s="6" t="s">
        <v>125</v>
      </c>
      <c r="H1279" s="6" t="s">
        <v>126</v>
      </c>
      <c r="J1279" s="6" t="b">
        <v>0</v>
      </c>
      <c r="K1279" s="6" t="s">
        <v>27</v>
      </c>
      <c r="L1279" s="6">
        <v>0</v>
      </c>
      <c r="M1279" s="6">
        <v>165</v>
      </c>
      <c r="N1279" s="8" t="str">
        <f t="shared" si="133"/>
        <v>0</v>
      </c>
      <c r="O1279" s="8">
        <f t="shared" si="134"/>
        <v>1980</v>
      </c>
      <c r="P1279" s="8">
        <f t="shared" si="135"/>
        <v>1980</v>
      </c>
      <c r="Q1279" s="8">
        <f t="shared" si="136"/>
        <v>0</v>
      </c>
      <c r="R1279" s="9">
        <f t="shared" si="137"/>
        <v>1980</v>
      </c>
      <c r="S1279" s="10">
        <f t="shared" si="138"/>
        <v>165</v>
      </c>
      <c r="T1279">
        <v>165</v>
      </c>
      <c r="U1279">
        <f t="shared" si="139"/>
        <v>0</v>
      </c>
    </row>
    <row r="1280" spans="1:21" ht="14.25" customHeight="1" x14ac:dyDescent="0.35">
      <c r="A1280" s="6" t="s">
        <v>3600</v>
      </c>
      <c r="B1280" s="6" t="s">
        <v>3601</v>
      </c>
      <c r="C1280" s="6" t="s">
        <v>3602</v>
      </c>
      <c r="D1280" s="6" t="s">
        <v>22</v>
      </c>
      <c r="E1280" s="7" t="s">
        <v>23</v>
      </c>
      <c r="F1280" s="6">
        <v>85224</v>
      </c>
      <c r="G1280" s="6" t="s">
        <v>24</v>
      </c>
      <c r="H1280" s="6" t="s">
        <v>25</v>
      </c>
      <c r="I1280" s="6" t="s">
        <v>26</v>
      </c>
      <c r="J1280" s="6" t="b">
        <v>0</v>
      </c>
      <c r="K1280" s="6" t="s">
        <v>27</v>
      </c>
      <c r="L1280" s="6">
        <v>0</v>
      </c>
      <c r="M1280" s="6">
        <v>165</v>
      </c>
      <c r="N1280" s="8" t="str">
        <f t="shared" si="133"/>
        <v>0</v>
      </c>
      <c r="O1280" s="8">
        <f t="shared" si="134"/>
        <v>1980</v>
      </c>
      <c r="P1280" s="8">
        <f t="shared" si="135"/>
        <v>1980</v>
      </c>
      <c r="Q1280" s="8">
        <f t="shared" si="136"/>
        <v>0</v>
      </c>
      <c r="R1280" s="9">
        <f t="shared" si="137"/>
        <v>1980</v>
      </c>
      <c r="S1280" s="10">
        <f t="shared" si="138"/>
        <v>165</v>
      </c>
      <c r="T1280">
        <v>165</v>
      </c>
      <c r="U1280">
        <f t="shared" si="139"/>
        <v>0</v>
      </c>
    </row>
    <row r="1281" spans="1:21" ht="14.25" customHeight="1" x14ac:dyDescent="0.35">
      <c r="A1281" s="6" t="s">
        <v>3603</v>
      </c>
      <c r="B1281" s="6" t="s">
        <v>3604</v>
      </c>
      <c r="C1281" s="6" t="s">
        <v>3605</v>
      </c>
      <c r="D1281" s="6" t="s">
        <v>31</v>
      </c>
      <c r="E1281" s="7" t="s">
        <v>23</v>
      </c>
      <c r="F1281" s="6">
        <v>85250</v>
      </c>
      <c r="G1281" s="6" t="s">
        <v>49</v>
      </c>
      <c r="H1281" s="6" t="s">
        <v>202</v>
      </c>
      <c r="I1281" s="6" t="s">
        <v>26</v>
      </c>
      <c r="J1281" s="6" t="b">
        <v>0</v>
      </c>
      <c r="K1281" s="6" t="s">
        <v>27</v>
      </c>
      <c r="L1281" s="6">
        <v>0</v>
      </c>
      <c r="M1281" s="6">
        <v>165</v>
      </c>
      <c r="N1281" s="8" t="str">
        <f t="shared" si="133"/>
        <v>0</v>
      </c>
      <c r="O1281" s="8">
        <f t="shared" si="134"/>
        <v>1980</v>
      </c>
      <c r="P1281" s="8">
        <f t="shared" si="135"/>
        <v>1980</v>
      </c>
      <c r="Q1281" s="8">
        <f t="shared" si="136"/>
        <v>0</v>
      </c>
      <c r="R1281" s="9">
        <f t="shared" si="137"/>
        <v>1980</v>
      </c>
      <c r="S1281" s="10">
        <f t="shared" si="138"/>
        <v>165</v>
      </c>
      <c r="T1281">
        <v>165</v>
      </c>
      <c r="U1281">
        <f t="shared" si="139"/>
        <v>0</v>
      </c>
    </row>
    <row r="1282" spans="1:21" ht="14.25" customHeight="1" x14ac:dyDescent="0.35">
      <c r="A1282" s="6" t="s">
        <v>3606</v>
      </c>
      <c r="B1282" s="6" t="s">
        <v>3607</v>
      </c>
      <c r="C1282" s="6" t="s">
        <v>3608</v>
      </c>
      <c r="D1282" s="6" t="s">
        <v>44</v>
      </c>
      <c r="E1282" s="7" t="s">
        <v>23</v>
      </c>
      <c r="F1282" s="6">
        <v>85015</v>
      </c>
      <c r="G1282" s="6" t="s">
        <v>213</v>
      </c>
      <c r="I1282" s="6" t="s">
        <v>57</v>
      </c>
      <c r="J1282" s="6" t="b">
        <v>0</v>
      </c>
      <c r="K1282" s="6" t="s">
        <v>27</v>
      </c>
      <c r="L1282" s="6">
        <v>0</v>
      </c>
      <c r="M1282" s="6">
        <v>165</v>
      </c>
      <c r="N1282" s="8" t="str">
        <f t="shared" ref="N1282:N1345" si="140">IF(J1282=TRUE, 6.39*12, "0")</f>
        <v>0</v>
      </c>
      <c r="O1282" s="8">
        <f t="shared" ref="O1282:O1345" si="141">L1282+(M1282*12)+N1282</f>
        <v>1980</v>
      </c>
      <c r="P1282" s="8">
        <f t="shared" ref="P1282:P1345" si="142">IF(OR(K1282="Check",K1282="ACH"), O1282*0.97, O1282)</f>
        <v>1980</v>
      </c>
      <c r="Q1282" s="8">
        <f t="shared" ref="Q1282:Q1345" si="143">P1282-O1282</f>
        <v>0</v>
      </c>
      <c r="R1282" s="9">
        <f t="shared" ref="R1282:R1345" si="144">O1282-Q1282</f>
        <v>1980</v>
      </c>
      <c r="S1282" s="10">
        <f t="shared" ref="S1282:S1345" si="145">R1282/12</f>
        <v>165</v>
      </c>
      <c r="T1282">
        <v>165</v>
      </c>
      <c r="U1282">
        <f t="shared" si="139"/>
        <v>0</v>
      </c>
    </row>
    <row r="1283" spans="1:21" ht="14.25" customHeight="1" x14ac:dyDescent="0.35">
      <c r="A1283" s="6" t="s">
        <v>3609</v>
      </c>
      <c r="B1283" s="6" t="s">
        <v>3610</v>
      </c>
      <c r="C1283" s="6" t="s">
        <v>3611</v>
      </c>
      <c r="D1283" s="6" t="s">
        <v>2002</v>
      </c>
      <c r="E1283" s="7" t="s">
        <v>23</v>
      </c>
      <c r="F1283" s="6">
        <v>85355</v>
      </c>
      <c r="G1283" s="6" t="s">
        <v>78</v>
      </c>
      <c r="H1283" s="6" t="s">
        <v>378</v>
      </c>
      <c r="I1283" s="6" t="s">
        <v>57</v>
      </c>
      <c r="J1283" s="6" t="b">
        <v>0</v>
      </c>
      <c r="K1283" s="6" t="s">
        <v>27</v>
      </c>
      <c r="L1283" s="6">
        <v>0</v>
      </c>
      <c r="M1283" s="6">
        <v>165</v>
      </c>
      <c r="N1283" s="8" t="str">
        <f t="shared" si="140"/>
        <v>0</v>
      </c>
      <c r="O1283" s="8">
        <f t="shared" si="141"/>
        <v>1980</v>
      </c>
      <c r="P1283" s="8">
        <f t="shared" si="142"/>
        <v>1980</v>
      </c>
      <c r="Q1283" s="8">
        <f t="shared" si="143"/>
        <v>0</v>
      </c>
      <c r="R1283" s="9">
        <f t="shared" si="144"/>
        <v>1980</v>
      </c>
      <c r="S1283" s="10">
        <f t="shared" si="145"/>
        <v>165</v>
      </c>
      <c r="T1283">
        <v>165</v>
      </c>
      <c r="U1283">
        <f t="shared" si="139"/>
        <v>0</v>
      </c>
    </row>
    <row r="1284" spans="1:21" ht="14.25" customHeight="1" x14ac:dyDescent="0.35">
      <c r="A1284" s="6" t="s">
        <v>3612</v>
      </c>
      <c r="B1284" s="6" t="s">
        <v>3613</v>
      </c>
      <c r="C1284" s="6" t="s">
        <v>3614</v>
      </c>
      <c r="D1284" s="6" t="s">
        <v>892</v>
      </c>
      <c r="E1284" s="7" t="s">
        <v>23</v>
      </c>
      <c r="F1284" s="6">
        <v>85140</v>
      </c>
      <c r="G1284" s="6" t="s">
        <v>87</v>
      </c>
      <c r="H1284" s="6" t="s">
        <v>109</v>
      </c>
      <c r="I1284" s="6" t="s">
        <v>26</v>
      </c>
      <c r="J1284" s="6" t="b">
        <v>0</v>
      </c>
      <c r="K1284" s="6" t="s">
        <v>27</v>
      </c>
      <c r="L1284" s="6">
        <v>0</v>
      </c>
      <c r="M1284" s="6">
        <v>165</v>
      </c>
      <c r="N1284" s="8" t="str">
        <f t="shared" si="140"/>
        <v>0</v>
      </c>
      <c r="O1284" s="8">
        <f t="shared" si="141"/>
        <v>1980</v>
      </c>
      <c r="P1284" s="8">
        <f t="shared" si="142"/>
        <v>1980</v>
      </c>
      <c r="Q1284" s="8">
        <f t="shared" si="143"/>
        <v>0</v>
      </c>
      <c r="R1284" s="9">
        <f t="shared" si="144"/>
        <v>1980</v>
      </c>
      <c r="S1284" s="10">
        <f t="shared" si="145"/>
        <v>165</v>
      </c>
      <c r="T1284">
        <v>165</v>
      </c>
      <c r="U1284">
        <f t="shared" ref="U1284:U1347" si="146">SUM(T1284-M1284)</f>
        <v>0</v>
      </c>
    </row>
    <row r="1285" spans="1:21" ht="14.25" customHeight="1" x14ac:dyDescent="0.35">
      <c r="A1285" s="6" t="s">
        <v>3615</v>
      </c>
      <c r="B1285" s="6" t="s">
        <v>3616</v>
      </c>
      <c r="C1285" s="6" t="s">
        <v>3617</v>
      </c>
      <c r="D1285" s="6" t="s">
        <v>44</v>
      </c>
      <c r="E1285" s="7" t="s">
        <v>23</v>
      </c>
      <c r="F1285" s="6">
        <v>85021</v>
      </c>
      <c r="G1285" s="6" t="s">
        <v>72</v>
      </c>
      <c r="H1285" s="6" t="s">
        <v>93</v>
      </c>
      <c r="I1285" s="6" t="s">
        <v>26</v>
      </c>
      <c r="J1285" s="6" t="b">
        <v>0</v>
      </c>
      <c r="K1285" s="6" t="s">
        <v>27</v>
      </c>
      <c r="L1285" s="6">
        <v>0</v>
      </c>
      <c r="M1285" s="6">
        <v>165</v>
      </c>
      <c r="N1285" s="8" t="str">
        <f t="shared" si="140"/>
        <v>0</v>
      </c>
      <c r="O1285" s="8">
        <f t="shared" si="141"/>
        <v>1980</v>
      </c>
      <c r="P1285" s="8">
        <f t="shared" si="142"/>
        <v>1980</v>
      </c>
      <c r="Q1285" s="8">
        <f t="shared" si="143"/>
        <v>0</v>
      </c>
      <c r="R1285" s="9">
        <f t="shared" si="144"/>
        <v>1980</v>
      </c>
      <c r="S1285" s="10">
        <f t="shared" si="145"/>
        <v>165</v>
      </c>
      <c r="T1285">
        <v>165</v>
      </c>
      <c r="U1285">
        <f t="shared" si="146"/>
        <v>0</v>
      </c>
    </row>
    <row r="1286" spans="1:21" ht="14.25" customHeight="1" x14ac:dyDescent="0.35">
      <c r="A1286" s="6" t="s">
        <v>3618</v>
      </c>
      <c r="B1286" s="6" t="s">
        <v>3619</v>
      </c>
      <c r="C1286" s="6" t="s">
        <v>3620</v>
      </c>
      <c r="D1286" s="6" t="s">
        <v>37</v>
      </c>
      <c r="E1286" s="7" t="s">
        <v>23</v>
      </c>
      <c r="F1286" s="6">
        <v>85323</v>
      </c>
      <c r="G1286" s="6" t="s">
        <v>38</v>
      </c>
      <c r="H1286" s="6" t="s">
        <v>378</v>
      </c>
      <c r="I1286" s="6" t="s">
        <v>61</v>
      </c>
      <c r="J1286" s="6" t="b">
        <v>0</v>
      </c>
      <c r="K1286" s="6" t="s">
        <v>27</v>
      </c>
      <c r="L1286" s="6">
        <v>0</v>
      </c>
      <c r="M1286" s="6">
        <v>165</v>
      </c>
      <c r="N1286" s="8" t="str">
        <f t="shared" si="140"/>
        <v>0</v>
      </c>
      <c r="O1286" s="8">
        <f t="shared" si="141"/>
        <v>1980</v>
      </c>
      <c r="P1286" s="8">
        <f t="shared" si="142"/>
        <v>1980</v>
      </c>
      <c r="Q1286" s="8">
        <f t="shared" si="143"/>
        <v>0</v>
      </c>
      <c r="R1286" s="9">
        <f t="shared" si="144"/>
        <v>1980</v>
      </c>
      <c r="S1286" s="10">
        <f t="shared" si="145"/>
        <v>165</v>
      </c>
      <c r="T1286">
        <v>165</v>
      </c>
      <c r="U1286">
        <f t="shared" si="146"/>
        <v>0</v>
      </c>
    </row>
    <row r="1287" spans="1:21" ht="14.25" customHeight="1" x14ac:dyDescent="0.35">
      <c r="A1287" s="6" t="s">
        <v>3621</v>
      </c>
      <c r="B1287" s="6" t="s">
        <v>3622</v>
      </c>
      <c r="C1287" s="6" t="s">
        <v>3623</v>
      </c>
      <c r="D1287" s="6" t="s">
        <v>31</v>
      </c>
      <c r="E1287" s="7" t="s">
        <v>23</v>
      </c>
      <c r="F1287" s="6">
        <v>85254</v>
      </c>
      <c r="G1287" s="6" t="s">
        <v>45</v>
      </c>
      <c r="H1287" s="6" t="s">
        <v>291</v>
      </c>
      <c r="I1287" s="6" t="s">
        <v>57</v>
      </c>
      <c r="J1287" s="6" t="b">
        <v>0</v>
      </c>
      <c r="K1287" s="6" t="s">
        <v>27</v>
      </c>
      <c r="L1287" s="6">
        <v>0</v>
      </c>
      <c r="M1287" s="6">
        <v>165</v>
      </c>
      <c r="N1287" s="8" t="str">
        <f t="shared" si="140"/>
        <v>0</v>
      </c>
      <c r="O1287" s="8">
        <f t="shared" si="141"/>
        <v>1980</v>
      </c>
      <c r="P1287" s="8">
        <f t="shared" si="142"/>
        <v>1980</v>
      </c>
      <c r="Q1287" s="8">
        <f t="shared" si="143"/>
        <v>0</v>
      </c>
      <c r="R1287" s="9">
        <f t="shared" si="144"/>
        <v>1980</v>
      </c>
      <c r="S1287" s="10">
        <f t="shared" si="145"/>
        <v>165</v>
      </c>
      <c r="T1287">
        <v>165</v>
      </c>
      <c r="U1287">
        <f t="shared" si="146"/>
        <v>0</v>
      </c>
    </row>
    <row r="1288" spans="1:21" ht="14.25" customHeight="1" x14ac:dyDescent="0.35">
      <c r="A1288" s="6" t="s">
        <v>3624</v>
      </c>
      <c r="B1288" s="6" t="s">
        <v>3625</v>
      </c>
      <c r="C1288" s="6" t="s">
        <v>3626</v>
      </c>
      <c r="D1288" s="6" t="s">
        <v>44</v>
      </c>
      <c r="E1288" s="7" t="s">
        <v>23</v>
      </c>
      <c r="F1288" s="6">
        <v>85023</v>
      </c>
      <c r="G1288" s="6" t="s">
        <v>78</v>
      </c>
      <c r="H1288" s="6" t="s">
        <v>268</v>
      </c>
      <c r="J1288" s="6" t="b">
        <v>0</v>
      </c>
      <c r="K1288" s="6" t="s">
        <v>27</v>
      </c>
      <c r="L1288" s="6">
        <v>0</v>
      </c>
      <c r="M1288" s="6">
        <v>165</v>
      </c>
      <c r="N1288" s="8" t="str">
        <f t="shared" si="140"/>
        <v>0</v>
      </c>
      <c r="O1288" s="8">
        <f t="shared" si="141"/>
        <v>1980</v>
      </c>
      <c r="P1288" s="8">
        <f t="shared" si="142"/>
        <v>1980</v>
      </c>
      <c r="Q1288" s="8">
        <f t="shared" si="143"/>
        <v>0</v>
      </c>
      <c r="R1288" s="9">
        <f t="shared" si="144"/>
        <v>1980</v>
      </c>
      <c r="S1288" s="10">
        <f t="shared" si="145"/>
        <v>165</v>
      </c>
      <c r="T1288">
        <v>165</v>
      </c>
      <c r="U1288">
        <f t="shared" si="146"/>
        <v>0</v>
      </c>
    </row>
    <row r="1289" spans="1:21" ht="14.25" customHeight="1" x14ac:dyDescent="0.35">
      <c r="A1289" s="6" t="s">
        <v>3627</v>
      </c>
      <c r="B1289" s="6" t="s">
        <v>3628</v>
      </c>
      <c r="C1289" s="6" t="s">
        <v>3629</v>
      </c>
      <c r="D1289" s="6" t="s">
        <v>44</v>
      </c>
      <c r="E1289" s="7" t="s">
        <v>23</v>
      </c>
      <c r="F1289" s="6">
        <v>85044</v>
      </c>
      <c r="G1289" s="6" t="s">
        <v>24</v>
      </c>
      <c r="H1289" s="6" t="s">
        <v>161</v>
      </c>
      <c r="I1289" s="6" t="s">
        <v>26</v>
      </c>
      <c r="J1289" s="6" t="b">
        <v>0</v>
      </c>
      <c r="K1289" s="6" t="s">
        <v>27</v>
      </c>
      <c r="L1289" s="6">
        <v>0</v>
      </c>
      <c r="M1289" s="6">
        <v>165</v>
      </c>
      <c r="N1289" s="8" t="str">
        <f t="shared" si="140"/>
        <v>0</v>
      </c>
      <c r="O1289" s="8">
        <f t="shared" si="141"/>
        <v>1980</v>
      </c>
      <c r="P1289" s="8">
        <f t="shared" si="142"/>
        <v>1980</v>
      </c>
      <c r="Q1289" s="8">
        <f t="shared" si="143"/>
        <v>0</v>
      </c>
      <c r="R1289" s="9">
        <f t="shared" si="144"/>
        <v>1980</v>
      </c>
      <c r="S1289" s="10">
        <f t="shared" si="145"/>
        <v>165</v>
      </c>
      <c r="T1289">
        <v>165</v>
      </c>
      <c r="U1289">
        <f t="shared" si="146"/>
        <v>0</v>
      </c>
    </row>
    <row r="1290" spans="1:21" ht="14.25" customHeight="1" x14ac:dyDescent="0.35">
      <c r="A1290" s="6" t="s">
        <v>3630</v>
      </c>
      <c r="B1290" s="6" t="s">
        <v>3631</v>
      </c>
      <c r="C1290" s="6" t="s">
        <v>3632</v>
      </c>
      <c r="D1290" s="6" t="s">
        <v>31</v>
      </c>
      <c r="E1290" s="7" t="s">
        <v>23</v>
      </c>
      <c r="F1290" s="6">
        <v>85254</v>
      </c>
      <c r="G1290" s="6" t="s">
        <v>45</v>
      </c>
      <c r="H1290" s="6" t="s">
        <v>169</v>
      </c>
      <c r="I1290" s="6" t="s">
        <v>26</v>
      </c>
      <c r="J1290" s="6" t="b">
        <v>0</v>
      </c>
      <c r="K1290" s="6" t="s">
        <v>27</v>
      </c>
      <c r="L1290" s="6">
        <v>0</v>
      </c>
      <c r="M1290" s="6">
        <v>165</v>
      </c>
      <c r="N1290" s="8" t="str">
        <f t="shared" si="140"/>
        <v>0</v>
      </c>
      <c r="O1290" s="8">
        <f t="shared" si="141"/>
        <v>1980</v>
      </c>
      <c r="P1290" s="8">
        <f t="shared" si="142"/>
        <v>1980</v>
      </c>
      <c r="Q1290" s="8">
        <f t="shared" si="143"/>
        <v>0</v>
      </c>
      <c r="R1290" s="9">
        <f t="shared" si="144"/>
        <v>1980</v>
      </c>
      <c r="S1290" s="10">
        <f t="shared" si="145"/>
        <v>165</v>
      </c>
      <c r="T1290">
        <v>165</v>
      </c>
      <c r="U1290">
        <f t="shared" si="146"/>
        <v>0</v>
      </c>
    </row>
    <row r="1291" spans="1:21" ht="14.25" customHeight="1" x14ac:dyDescent="0.35">
      <c r="A1291" s="6" t="s">
        <v>3633</v>
      </c>
      <c r="B1291" s="6" t="s">
        <v>3634</v>
      </c>
      <c r="C1291" s="6" t="s">
        <v>3635</v>
      </c>
      <c r="D1291" s="6" t="s">
        <v>37</v>
      </c>
      <c r="E1291" s="7" t="s">
        <v>23</v>
      </c>
      <c r="F1291" s="6">
        <v>85392</v>
      </c>
      <c r="G1291" s="6" t="s">
        <v>38</v>
      </c>
      <c r="H1291" s="6" t="s">
        <v>378</v>
      </c>
      <c r="I1291" s="6" t="s">
        <v>40</v>
      </c>
      <c r="J1291" s="6" t="b">
        <v>0</v>
      </c>
      <c r="K1291" s="6" t="s">
        <v>27</v>
      </c>
      <c r="L1291" s="6">
        <v>0</v>
      </c>
      <c r="M1291" s="6">
        <v>165</v>
      </c>
      <c r="N1291" s="8" t="str">
        <f t="shared" si="140"/>
        <v>0</v>
      </c>
      <c r="O1291" s="8">
        <f t="shared" si="141"/>
        <v>1980</v>
      </c>
      <c r="P1291" s="8">
        <f t="shared" si="142"/>
        <v>1980</v>
      </c>
      <c r="Q1291" s="8">
        <f t="shared" si="143"/>
        <v>0</v>
      </c>
      <c r="R1291" s="9">
        <f t="shared" si="144"/>
        <v>1980</v>
      </c>
      <c r="S1291" s="10">
        <f t="shared" si="145"/>
        <v>165</v>
      </c>
      <c r="T1291">
        <v>165</v>
      </c>
      <c r="U1291">
        <f t="shared" si="146"/>
        <v>0</v>
      </c>
    </row>
    <row r="1292" spans="1:21" ht="14.25" customHeight="1" x14ac:dyDescent="0.35">
      <c r="A1292" s="6" t="s">
        <v>3636</v>
      </c>
      <c r="B1292" s="6" t="s">
        <v>3637</v>
      </c>
      <c r="C1292" s="6" t="s">
        <v>3638</v>
      </c>
      <c r="D1292" s="6" t="s">
        <v>71</v>
      </c>
      <c r="E1292" s="7" t="s">
        <v>23</v>
      </c>
      <c r="F1292" s="6">
        <v>85345</v>
      </c>
      <c r="G1292" s="6" t="s">
        <v>72</v>
      </c>
      <c r="H1292" s="6" t="s">
        <v>73</v>
      </c>
      <c r="J1292" s="6" t="b">
        <v>0</v>
      </c>
      <c r="K1292" s="6" t="s">
        <v>27</v>
      </c>
      <c r="L1292" s="6">
        <v>0</v>
      </c>
      <c r="M1292" s="6">
        <v>165</v>
      </c>
      <c r="N1292" s="8" t="str">
        <f t="shared" si="140"/>
        <v>0</v>
      </c>
      <c r="O1292" s="8">
        <f t="shared" si="141"/>
        <v>1980</v>
      </c>
      <c r="P1292" s="8">
        <f t="shared" si="142"/>
        <v>1980</v>
      </c>
      <c r="Q1292" s="8">
        <f t="shared" si="143"/>
        <v>0</v>
      </c>
      <c r="R1292" s="9">
        <f t="shared" si="144"/>
        <v>1980</v>
      </c>
      <c r="S1292" s="10">
        <f t="shared" si="145"/>
        <v>165</v>
      </c>
      <c r="T1292">
        <v>165</v>
      </c>
      <c r="U1292">
        <f t="shared" si="146"/>
        <v>0</v>
      </c>
    </row>
    <row r="1293" spans="1:21" ht="14.25" customHeight="1" x14ac:dyDescent="0.35">
      <c r="A1293" s="6" t="s">
        <v>3639</v>
      </c>
      <c r="B1293" s="6" t="s">
        <v>3640</v>
      </c>
      <c r="C1293" s="6" t="s">
        <v>3641</v>
      </c>
      <c r="D1293" s="6" t="s">
        <v>44</v>
      </c>
      <c r="E1293" s="7" t="s">
        <v>23</v>
      </c>
      <c r="F1293" s="6">
        <v>85042</v>
      </c>
      <c r="G1293" s="6" t="s">
        <v>213</v>
      </c>
      <c r="H1293" s="6" t="s">
        <v>39</v>
      </c>
      <c r="I1293" s="6" t="s">
        <v>26</v>
      </c>
      <c r="J1293" s="6" t="b">
        <v>0</v>
      </c>
      <c r="K1293" s="6" t="s">
        <v>27</v>
      </c>
      <c r="L1293" s="6">
        <v>0</v>
      </c>
      <c r="M1293" s="6">
        <v>165</v>
      </c>
      <c r="N1293" s="8" t="str">
        <f t="shared" si="140"/>
        <v>0</v>
      </c>
      <c r="O1293" s="8">
        <f t="shared" si="141"/>
        <v>1980</v>
      </c>
      <c r="P1293" s="8">
        <f t="shared" si="142"/>
        <v>1980</v>
      </c>
      <c r="Q1293" s="8">
        <f t="shared" si="143"/>
        <v>0</v>
      </c>
      <c r="R1293" s="9">
        <f t="shared" si="144"/>
        <v>1980</v>
      </c>
      <c r="S1293" s="10">
        <f t="shared" si="145"/>
        <v>165</v>
      </c>
      <c r="T1293">
        <v>165</v>
      </c>
      <c r="U1293">
        <f t="shared" si="146"/>
        <v>0</v>
      </c>
    </row>
    <row r="1294" spans="1:21" ht="14.25" customHeight="1" x14ac:dyDescent="0.35">
      <c r="A1294" s="6" t="s">
        <v>3642</v>
      </c>
      <c r="B1294" s="6" t="s">
        <v>3643</v>
      </c>
      <c r="C1294" s="6" t="s">
        <v>3644</v>
      </c>
      <c r="D1294" s="6" t="s">
        <v>2002</v>
      </c>
      <c r="E1294" s="7" t="s">
        <v>23</v>
      </c>
      <c r="F1294" s="6">
        <v>85355</v>
      </c>
      <c r="G1294" s="6" t="s">
        <v>78</v>
      </c>
      <c r="H1294" s="6" t="s">
        <v>281</v>
      </c>
      <c r="I1294" s="6" t="s">
        <v>26</v>
      </c>
      <c r="J1294" s="6" t="b">
        <v>1</v>
      </c>
      <c r="K1294" s="6" t="s">
        <v>27</v>
      </c>
      <c r="L1294" s="6">
        <v>0</v>
      </c>
      <c r="M1294" s="6">
        <v>165</v>
      </c>
      <c r="N1294" s="8">
        <f t="shared" si="140"/>
        <v>76.679999999999993</v>
      </c>
      <c r="O1294" s="8">
        <f t="shared" si="141"/>
        <v>2056.6799999999998</v>
      </c>
      <c r="P1294" s="8">
        <f t="shared" si="142"/>
        <v>2056.6799999999998</v>
      </c>
      <c r="Q1294" s="8">
        <f t="shared" si="143"/>
        <v>0</v>
      </c>
      <c r="R1294" s="9">
        <f t="shared" si="144"/>
        <v>2056.6799999999998</v>
      </c>
      <c r="S1294" s="10">
        <f t="shared" si="145"/>
        <v>171.39</v>
      </c>
      <c r="T1294">
        <v>165</v>
      </c>
      <c r="U1294">
        <f t="shared" si="146"/>
        <v>0</v>
      </c>
    </row>
    <row r="1295" spans="1:21" ht="14.25" customHeight="1" x14ac:dyDescent="0.35">
      <c r="A1295" s="6" t="s">
        <v>3645</v>
      </c>
      <c r="B1295" s="6" t="s">
        <v>3646</v>
      </c>
      <c r="C1295" s="6" t="s">
        <v>3647</v>
      </c>
      <c r="D1295" s="6" t="s">
        <v>54</v>
      </c>
      <c r="E1295" s="7" t="s">
        <v>23</v>
      </c>
      <c r="F1295" s="6">
        <v>85741</v>
      </c>
      <c r="G1295" s="6" t="s">
        <v>55</v>
      </c>
      <c r="H1295" s="6" t="s">
        <v>56</v>
      </c>
      <c r="I1295" s="6" t="s">
        <v>40</v>
      </c>
      <c r="J1295" s="6" t="b">
        <v>0</v>
      </c>
      <c r="K1295" s="6" t="s">
        <v>27</v>
      </c>
      <c r="L1295" s="6">
        <v>0</v>
      </c>
      <c r="M1295" s="6">
        <v>165</v>
      </c>
      <c r="N1295" s="8" t="str">
        <f t="shared" si="140"/>
        <v>0</v>
      </c>
      <c r="O1295" s="8">
        <f t="shared" si="141"/>
        <v>1980</v>
      </c>
      <c r="P1295" s="8">
        <f t="shared" si="142"/>
        <v>1980</v>
      </c>
      <c r="Q1295" s="8">
        <f t="shared" si="143"/>
        <v>0</v>
      </c>
      <c r="R1295" s="9">
        <f t="shared" si="144"/>
        <v>1980</v>
      </c>
      <c r="S1295" s="10">
        <f t="shared" si="145"/>
        <v>165</v>
      </c>
      <c r="T1295">
        <v>165</v>
      </c>
      <c r="U1295">
        <f t="shared" si="146"/>
        <v>0</v>
      </c>
    </row>
    <row r="1296" spans="1:21" ht="14.25" customHeight="1" x14ac:dyDescent="0.35">
      <c r="A1296" s="6" t="s">
        <v>3648</v>
      </c>
      <c r="B1296" s="6" t="s">
        <v>3649</v>
      </c>
      <c r="C1296" s="6" t="s">
        <v>3650</v>
      </c>
      <c r="D1296" s="6" t="s">
        <v>54</v>
      </c>
      <c r="E1296" s="7" t="s">
        <v>23</v>
      </c>
      <c r="F1296" s="6">
        <v>85718</v>
      </c>
      <c r="G1296" s="6" t="s">
        <v>55</v>
      </c>
      <c r="H1296" s="6" t="s">
        <v>56</v>
      </c>
      <c r="I1296" s="6" t="s">
        <v>57</v>
      </c>
      <c r="J1296" s="6" t="b">
        <v>0</v>
      </c>
      <c r="K1296" s="6" t="s">
        <v>27</v>
      </c>
      <c r="L1296" s="6">
        <v>0</v>
      </c>
      <c r="M1296" s="6">
        <v>165</v>
      </c>
      <c r="N1296" s="8" t="str">
        <f t="shared" si="140"/>
        <v>0</v>
      </c>
      <c r="O1296" s="8">
        <f t="shared" si="141"/>
        <v>1980</v>
      </c>
      <c r="P1296" s="8">
        <f t="shared" si="142"/>
        <v>1980</v>
      </c>
      <c r="Q1296" s="8">
        <f t="shared" si="143"/>
        <v>0</v>
      </c>
      <c r="R1296" s="9">
        <f t="shared" si="144"/>
        <v>1980</v>
      </c>
      <c r="S1296" s="10">
        <f t="shared" si="145"/>
        <v>165</v>
      </c>
      <c r="T1296">
        <v>165</v>
      </c>
      <c r="U1296">
        <f t="shared" si="146"/>
        <v>0</v>
      </c>
    </row>
    <row r="1297" spans="1:21" ht="14.25" customHeight="1" x14ac:dyDescent="0.35">
      <c r="A1297" s="6" t="s">
        <v>3651</v>
      </c>
      <c r="B1297" s="6" t="s">
        <v>3652</v>
      </c>
      <c r="C1297" s="6" t="s">
        <v>3653</v>
      </c>
      <c r="D1297" s="6" t="s">
        <v>165</v>
      </c>
      <c r="E1297" s="7" t="s">
        <v>23</v>
      </c>
      <c r="F1297" s="6">
        <v>85296</v>
      </c>
      <c r="G1297" s="6" t="s">
        <v>125</v>
      </c>
      <c r="H1297" s="6" t="s">
        <v>25</v>
      </c>
      <c r="I1297" s="6" t="s">
        <v>26</v>
      </c>
      <c r="J1297" s="6" t="b">
        <v>0</v>
      </c>
      <c r="K1297" s="6" t="s">
        <v>27</v>
      </c>
      <c r="L1297" s="6">
        <v>0</v>
      </c>
      <c r="M1297" s="6">
        <v>165</v>
      </c>
      <c r="N1297" s="8" t="str">
        <f t="shared" si="140"/>
        <v>0</v>
      </c>
      <c r="O1297" s="8">
        <f t="shared" si="141"/>
        <v>1980</v>
      </c>
      <c r="P1297" s="8">
        <f t="shared" si="142"/>
        <v>1980</v>
      </c>
      <c r="Q1297" s="8">
        <f t="shared" si="143"/>
        <v>0</v>
      </c>
      <c r="R1297" s="9">
        <f t="shared" si="144"/>
        <v>1980</v>
      </c>
      <c r="S1297" s="10">
        <f t="shared" si="145"/>
        <v>165</v>
      </c>
      <c r="T1297">
        <v>165</v>
      </c>
      <c r="U1297">
        <f t="shared" si="146"/>
        <v>0</v>
      </c>
    </row>
    <row r="1298" spans="1:21" ht="14.25" customHeight="1" x14ac:dyDescent="0.35">
      <c r="A1298" s="6" t="s">
        <v>3654</v>
      </c>
      <c r="B1298" s="6" t="s">
        <v>3655</v>
      </c>
      <c r="C1298" s="6" t="s">
        <v>3656</v>
      </c>
      <c r="D1298" s="6" t="s">
        <v>44</v>
      </c>
      <c r="E1298" s="7" t="s">
        <v>23</v>
      </c>
      <c r="F1298" s="6">
        <v>85019</v>
      </c>
      <c r="G1298" s="6" t="s">
        <v>72</v>
      </c>
      <c r="H1298" s="6" t="s">
        <v>73</v>
      </c>
      <c r="I1298" s="6" t="s">
        <v>57</v>
      </c>
      <c r="J1298" s="6" t="b">
        <v>0</v>
      </c>
      <c r="K1298" s="6" t="s">
        <v>27</v>
      </c>
      <c r="L1298" s="6">
        <v>0</v>
      </c>
      <c r="M1298" s="6">
        <v>165</v>
      </c>
      <c r="N1298" s="8" t="str">
        <f t="shared" si="140"/>
        <v>0</v>
      </c>
      <c r="O1298" s="8">
        <f t="shared" si="141"/>
        <v>1980</v>
      </c>
      <c r="P1298" s="8">
        <f t="shared" si="142"/>
        <v>1980</v>
      </c>
      <c r="Q1298" s="8">
        <f t="shared" si="143"/>
        <v>0</v>
      </c>
      <c r="R1298" s="9">
        <f t="shared" si="144"/>
        <v>1980</v>
      </c>
      <c r="S1298" s="10">
        <f t="shared" si="145"/>
        <v>165</v>
      </c>
      <c r="T1298">
        <v>165</v>
      </c>
      <c r="U1298">
        <f t="shared" si="146"/>
        <v>0</v>
      </c>
    </row>
    <row r="1299" spans="1:21" ht="14.25" customHeight="1" x14ac:dyDescent="0.35">
      <c r="A1299" s="6" t="s">
        <v>3657</v>
      </c>
      <c r="B1299" s="6" t="s">
        <v>3658</v>
      </c>
      <c r="C1299" s="6" t="s">
        <v>3659</v>
      </c>
      <c r="D1299" s="6" t="s">
        <v>363</v>
      </c>
      <c r="E1299" s="7" t="s">
        <v>23</v>
      </c>
      <c r="F1299" s="6">
        <v>85284</v>
      </c>
      <c r="G1299" s="6" t="s">
        <v>24</v>
      </c>
      <c r="H1299" s="6" t="s">
        <v>161</v>
      </c>
      <c r="I1299" s="6" t="s">
        <v>26</v>
      </c>
      <c r="J1299" s="6" t="b">
        <v>0</v>
      </c>
      <c r="K1299" s="6" t="s">
        <v>27</v>
      </c>
      <c r="L1299" s="6">
        <v>0</v>
      </c>
      <c r="M1299" s="6">
        <v>165</v>
      </c>
      <c r="N1299" s="8" t="str">
        <f t="shared" si="140"/>
        <v>0</v>
      </c>
      <c r="O1299" s="8">
        <f t="shared" si="141"/>
        <v>1980</v>
      </c>
      <c r="P1299" s="8">
        <f t="shared" si="142"/>
        <v>1980</v>
      </c>
      <c r="Q1299" s="8">
        <f t="shared" si="143"/>
        <v>0</v>
      </c>
      <c r="R1299" s="9">
        <f t="shared" si="144"/>
        <v>1980</v>
      </c>
      <c r="S1299" s="10">
        <f t="shared" si="145"/>
        <v>165</v>
      </c>
      <c r="T1299">
        <v>165</v>
      </c>
      <c r="U1299">
        <f t="shared" si="146"/>
        <v>0</v>
      </c>
    </row>
    <row r="1300" spans="1:21" ht="14.25" customHeight="1" x14ac:dyDescent="0.35">
      <c r="A1300" s="6" t="s">
        <v>3660</v>
      </c>
      <c r="B1300" s="6" t="s">
        <v>3661</v>
      </c>
      <c r="C1300" s="6" t="s">
        <v>3662</v>
      </c>
      <c r="D1300" s="6" t="s">
        <v>77</v>
      </c>
      <c r="E1300" s="7" t="s">
        <v>23</v>
      </c>
      <c r="F1300" s="6">
        <v>85304</v>
      </c>
      <c r="G1300" s="6" t="s">
        <v>72</v>
      </c>
      <c r="I1300" s="6" t="s">
        <v>26</v>
      </c>
      <c r="J1300" s="6" t="b">
        <v>0</v>
      </c>
      <c r="K1300" s="6" t="s">
        <v>27</v>
      </c>
      <c r="L1300" s="6">
        <v>0</v>
      </c>
      <c r="M1300" s="6">
        <v>165</v>
      </c>
      <c r="N1300" s="8" t="str">
        <f t="shared" si="140"/>
        <v>0</v>
      </c>
      <c r="O1300" s="8">
        <f t="shared" si="141"/>
        <v>1980</v>
      </c>
      <c r="P1300" s="8">
        <f t="shared" si="142"/>
        <v>1980</v>
      </c>
      <c r="Q1300" s="8">
        <f t="shared" si="143"/>
        <v>0</v>
      </c>
      <c r="R1300" s="9">
        <f t="shared" si="144"/>
        <v>1980</v>
      </c>
      <c r="S1300" s="10">
        <f t="shared" si="145"/>
        <v>165</v>
      </c>
      <c r="T1300">
        <v>165</v>
      </c>
      <c r="U1300">
        <f t="shared" si="146"/>
        <v>0</v>
      </c>
    </row>
    <row r="1301" spans="1:21" ht="14.25" customHeight="1" x14ac:dyDescent="0.35">
      <c r="A1301" s="6" t="s">
        <v>3663</v>
      </c>
      <c r="B1301" s="6" t="s">
        <v>3664</v>
      </c>
      <c r="C1301" s="6" t="s">
        <v>3665</v>
      </c>
      <c r="D1301" s="6" t="s">
        <v>44</v>
      </c>
      <c r="E1301" s="7" t="s">
        <v>23</v>
      </c>
      <c r="F1301" s="6">
        <v>85015</v>
      </c>
      <c r="G1301" s="6" t="s">
        <v>213</v>
      </c>
      <c r="H1301" s="6" t="s">
        <v>202</v>
      </c>
      <c r="I1301" s="6" t="s">
        <v>26</v>
      </c>
      <c r="J1301" s="6" t="b">
        <v>0</v>
      </c>
      <c r="K1301" s="6" t="s">
        <v>27</v>
      </c>
      <c r="L1301" s="6">
        <v>0</v>
      </c>
      <c r="M1301" s="6">
        <v>165</v>
      </c>
      <c r="N1301" s="8" t="str">
        <f t="shared" si="140"/>
        <v>0</v>
      </c>
      <c r="O1301" s="8">
        <f t="shared" si="141"/>
        <v>1980</v>
      </c>
      <c r="P1301" s="8">
        <f t="shared" si="142"/>
        <v>1980</v>
      </c>
      <c r="Q1301" s="8">
        <f t="shared" si="143"/>
        <v>0</v>
      </c>
      <c r="R1301" s="9">
        <f t="shared" si="144"/>
        <v>1980</v>
      </c>
      <c r="S1301" s="10">
        <f t="shared" si="145"/>
        <v>165</v>
      </c>
      <c r="T1301">
        <v>165</v>
      </c>
      <c r="U1301">
        <f t="shared" si="146"/>
        <v>0</v>
      </c>
    </row>
    <row r="1302" spans="1:21" ht="14.25" customHeight="1" x14ac:dyDescent="0.35">
      <c r="A1302" s="6" t="s">
        <v>3666</v>
      </c>
      <c r="B1302" s="6" t="s">
        <v>3667</v>
      </c>
      <c r="C1302" s="6" t="s">
        <v>3668</v>
      </c>
      <c r="D1302" s="6" t="s">
        <v>44</v>
      </c>
      <c r="E1302" s="7" t="s">
        <v>23</v>
      </c>
      <c r="F1302" s="6">
        <v>85083</v>
      </c>
      <c r="G1302" s="6" t="s">
        <v>78</v>
      </c>
      <c r="H1302" s="6" t="s">
        <v>268</v>
      </c>
      <c r="I1302" s="6" t="s">
        <v>61</v>
      </c>
      <c r="J1302" s="6" t="b">
        <v>0</v>
      </c>
      <c r="K1302" s="6" t="s">
        <v>27</v>
      </c>
      <c r="L1302" s="6">
        <v>0</v>
      </c>
      <c r="M1302" s="6">
        <v>165</v>
      </c>
      <c r="N1302" s="8" t="str">
        <f t="shared" si="140"/>
        <v>0</v>
      </c>
      <c r="O1302" s="8">
        <f t="shared" si="141"/>
        <v>1980</v>
      </c>
      <c r="P1302" s="8">
        <f t="shared" si="142"/>
        <v>1980</v>
      </c>
      <c r="Q1302" s="8">
        <f t="shared" si="143"/>
        <v>0</v>
      </c>
      <c r="R1302" s="9">
        <f t="shared" si="144"/>
        <v>1980</v>
      </c>
      <c r="S1302" s="10">
        <f t="shared" si="145"/>
        <v>165</v>
      </c>
      <c r="T1302">
        <v>165</v>
      </c>
      <c r="U1302">
        <f t="shared" si="146"/>
        <v>0</v>
      </c>
    </row>
    <row r="1303" spans="1:21" ht="14.25" customHeight="1" x14ac:dyDescent="0.35">
      <c r="A1303" s="6" t="s">
        <v>3669</v>
      </c>
      <c r="B1303" s="6" t="s">
        <v>3670</v>
      </c>
      <c r="C1303" s="6" t="s">
        <v>3671</v>
      </c>
      <c r="D1303" s="6" t="s">
        <v>482</v>
      </c>
      <c r="E1303" s="7" t="s">
        <v>23</v>
      </c>
      <c r="F1303" s="6">
        <v>85396</v>
      </c>
      <c r="G1303" s="6" t="s">
        <v>38</v>
      </c>
      <c r="H1303" s="6" t="s">
        <v>378</v>
      </c>
      <c r="I1303" s="6" t="s">
        <v>40</v>
      </c>
      <c r="J1303" s="6" t="b">
        <v>0</v>
      </c>
      <c r="K1303" s="6" t="s">
        <v>27</v>
      </c>
      <c r="L1303" s="6">
        <v>0</v>
      </c>
      <c r="M1303" s="6">
        <v>165</v>
      </c>
      <c r="N1303" s="8" t="str">
        <f t="shared" si="140"/>
        <v>0</v>
      </c>
      <c r="O1303" s="8">
        <f t="shared" si="141"/>
        <v>1980</v>
      </c>
      <c r="P1303" s="8">
        <f t="shared" si="142"/>
        <v>1980</v>
      </c>
      <c r="Q1303" s="8">
        <f t="shared" si="143"/>
        <v>0</v>
      </c>
      <c r="R1303" s="9">
        <f t="shared" si="144"/>
        <v>1980</v>
      </c>
      <c r="S1303" s="10">
        <f t="shared" si="145"/>
        <v>165</v>
      </c>
      <c r="T1303">
        <v>165</v>
      </c>
      <c r="U1303">
        <f t="shared" si="146"/>
        <v>0</v>
      </c>
    </row>
    <row r="1304" spans="1:21" ht="14.25" customHeight="1" x14ac:dyDescent="0.35">
      <c r="A1304" s="6" t="s">
        <v>3672</v>
      </c>
      <c r="B1304" s="6" t="s">
        <v>3673</v>
      </c>
      <c r="C1304" s="6" t="s">
        <v>3674</v>
      </c>
      <c r="D1304" s="6" t="s">
        <v>98</v>
      </c>
      <c r="E1304" s="7" t="s">
        <v>23</v>
      </c>
      <c r="F1304" s="6">
        <v>85122</v>
      </c>
      <c r="G1304" s="6" t="s">
        <v>87</v>
      </c>
      <c r="H1304" s="6" t="s">
        <v>109</v>
      </c>
      <c r="I1304" s="6" t="s">
        <v>110</v>
      </c>
      <c r="J1304" s="6" t="b">
        <v>0</v>
      </c>
      <c r="K1304" s="6" t="s">
        <v>27</v>
      </c>
      <c r="L1304" s="6">
        <v>0</v>
      </c>
      <c r="M1304" s="6">
        <v>165</v>
      </c>
      <c r="N1304" s="8" t="str">
        <f t="shared" si="140"/>
        <v>0</v>
      </c>
      <c r="O1304" s="8">
        <f t="shared" si="141"/>
        <v>1980</v>
      </c>
      <c r="P1304" s="8">
        <f t="shared" si="142"/>
        <v>1980</v>
      </c>
      <c r="Q1304" s="8">
        <f t="shared" si="143"/>
        <v>0</v>
      </c>
      <c r="R1304" s="9">
        <f t="shared" si="144"/>
        <v>1980</v>
      </c>
      <c r="S1304" s="10">
        <f t="shared" si="145"/>
        <v>165</v>
      </c>
      <c r="T1304">
        <v>165</v>
      </c>
      <c r="U1304">
        <f t="shared" si="146"/>
        <v>0</v>
      </c>
    </row>
    <row r="1305" spans="1:21" ht="14.25" customHeight="1" x14ac:dyDescent="0.35">
      <c r="A1305" s="6" t="s">
        <v>3675</v>
      </c>
      <c r="B1305" s="6" t="s">
        <v>3676</v>
      </c>
      <c r="C1305" s="6" t="s">
        <v>3677</v>
      </c>
      <c r="D1305" s="6" t="s">
        <v>31</v>
      </c>
      <c r="E1305" s="7" t="s">
        <v>23</v>
      </c>
      <c r="F1305" s="6">
        <v>85260</v>
      </c>
      <c r="G1305" s="6" t="s">
        <v>45</v>
      </c>
      <c r="H1305" s="6" t="s">
        <v>291</v>
      </c>
      <c r="J1305" s="6" t="b">
        <v>0</v>
      </c>
      <c r="K1305" s="6" t="s">
        <v>27</v>
      </c>
      <c r="L1305" s="6">
        <v>0</v>
      </c>
      <c r="M1305" s="6">
        <v>165</v>
      </c>
      <c r="N1305" s="8" t="str">
        <f t="shared" si="140"/>
        <v>0</v>
      </c>
      <c r="O1305" s="8">
        <f t="shared" si="141"/>
        <v>1980</v>
      </c>
      <c r="P1305" s="8">
        <f t="shared" si="142"/>
        <v>1980</v>
      </c>
      <c r="Q1305" s="8">
        <f t="shared" si="143"/>
        <v>0</v>
      </c>
      <c r="R1305" s="9">
        <f t="shared" si="144"/>
        <v>1980</v>
      </c>
      <c r="S1305" s="10">
        <f t="shared" si="145"/>
        <v>165</v>
      </c>
      <c r="T1305">
        <v>165</v>
      </c>
      <c r="U1305">
        <f t="shared" si="146"/>
        <v>0</v>
      </c>
    </row>
    <row r="1306" spans="1:21" ht="14.25" customHeight="1" x14ac:dyDescent="0.35">
      <c r="A1306" s="6" t="s">
        <v>3678</v>
      </c>
      <c r="B1306" s="6" t="s">
        <v>3679</v>
      </c>
      <c r="C1306" s="6" t="s">
        <v>3680</v>
      </c>
      <c r="D1306" s="6" t="s">
        <v>77</v>
      </c>
      <c r="E1306" s="7" t="s">
        <v>23</v>
      </c>
      <c r="F1306" s="6">
        <v>85302</v>
      </c>
      <c r="G1306" s="6" t="s">
        <v>72</v>
      </c>
      <c r="H1306" s="6" t="s">
        <v>93</v>
      </c>
      <c r="I1306" s="6" t="s">
        <v>26</v>
      </c>
      <c r="J1306" s="6" t="b">
        <v>0</v>
      </c>
      <c r="K1306" s="6" t="s">
        <v>27</v>
      </c>
      <c r="L1306" s="6">
        <v>0</v>
      </c>
      <c r="M1306" s="6">
        <v>165</v>
      </c>
      <c r="N1306" s="8" t="str">
        <f t="shared" si="140"/>
        <v>0</v>
      </c>
      <c r="O1306" s="8">
        <f t="shared" si="141"/>
        <v>1980</v>
      </c>
      <c r="P1306" s="8">
        <f t="shared" si="142"/>
        <v>1980</v>
      </c>
      <c r="Q1306" s="8">
        <f t="shared" si="143"/>
        <v>0</v>
      </c>
      <c r="R1306" s="9">
        <f t="shared" si="144"/>
        <v>1980</v>
      </c>
      <c r="S1306" s="10">
        <f t="shared" si="145"/>
        <v>165</v>
      </c>
      <c r="T1306">
        <v>165</v>
      </c>
      <c r="U1306">
        <f t="shared" si="146"/>
        <v>0</v>
      </c>
    </row>
    <row r="1307" spans="1:21" ht="14.25" customHeight="1" x14ac:dyDescent="0.35">
      <c r="A1307" s="6" t="s">
        <v>3681</v>
      </c>
      <c r="B1307" s="6" t="s">
        <v>3682</v>
      </c>
      <c r="C1307" s="6" t="s">
        <v>3683</v>
      </c>
      <c r="D1307" s="6" t="s">
        <v>44</v>
      </c>
      <c r="E1307" s="7" t="s">
        <v>23</v>
      </c>
      <c r="F1307" s="6">
        <v>85048</v>
      </c>
      <c r="G1307" s="6" t="s">
        <v>24</v>
      </c>
      <c r="H1307" s="6" t="s">
        <v>161</v>
      </c>
      <c r="J1307" s="6" t="b">
        <v>0</v>
      </c>
      <c r="K1307" s="6" t="s">
        <v>27</v>
      </c>
      <c r="L1307" s="6">
        <v>0</v>
      </c>
      <c r="M1307" s="6">
        <v>165</v>
      </c>
      <c r="N1307" s="8" t="str">
        <f t="shared" si="140"/>
        <v>0</v>
      </c>
      <c r="O1307" s="8">
        <f t="shared" si="141"/>
        <v>1980</v>
      </c>
      <c r="P1307" s="8">
        <f t="shared" si="142"/>
        <v>1980</v>
      </c>
      <c r="Q1307" s="8">
        <f t="shared" si="143"/>
        <v>0</v>
      </c>
      <c r="R1307" s="9">
        <f t="shared" si="144"/>
        <v>1980</v>
      </c>
      <c r="S1307" s="10">
        <f t="shared" si="145"/>
        <v>165</v>
      </c>
      <c r="T1307">
        <v>165</v>
      </c>
      <c r="U1307">
        <f t="shared" si="146"/>
        <v>0</v>
      </c>
    </row>
    <row r="1308" spans="1:21" ht="14.25" customHeight="1" x14ac:dyDescent="0.35">
      <c r="A1308" s="6" t="s">
        <v>3684</v>
      </c>
      <c r="B1308" s="6" t="s">
        <v>3685</v>
      </c>
      <c r="C1308" s="6" t="s">
        <v>3686</v>
      </c>
      <c r="D1308" s="6" t="s">
        <v>454</v>
      </c>
      <c r="E1308" s="7" t="s">
        <v>23</v>
      </c>
      <c r="F1308" s="6">
        <v>85338</v>
      </c>
      <c r="G1308" s="6" t="s">
        <v>38</v>
      </c>
      <c r="H1308" s="6" t="s">
        <v>378</v>
      </c>
      <c r="I1308" s="6" t="s">
        <v>57</v>
      </c>
      <c r="J1308" s="6" t="b">
        <v>0</v>
      </c>
      <c r="K1308" s="6" t="s">
        <v>27</v>
      </c>
      <c r="L1308" s="6">
        <v>0</v>
      </c>
      <c r="M1308" s="6">
        <v>165</v>
      </c>
      <c r="N1308" s="8" t="str">
        <f t="shared" si="140"/>
        <v>0</v>
      </c>
      <c r="O1308" s="8">
        <f t="shared" si="141"/>
        <v>1980</v>
      </c>
      <c r="P1308" s="8">
        <f t="shared" si="142"/>
        <v>1980</v>
      </c>
      <c r="Q1308" s="8">
        <f t="shared" si="143"/>
        <v>0</v>
      </c>
      <c r="R1308" s="9">
        <f t="shared" si="144"/>
        <v>1980</v>
      </c>
      <c r="S1308" s="10">
        <f t="shared" si="145"/>
        <v>165</v>
      </c>
      <c r="T1308">
        <v>165</v>
      </c>
      <c r="U1308">
        <f t="shared" si="146"/>
        <v>0</v>
      </c>
    </row>
    <row r="1309" spans="1:21" ht="14.25" customHeight="1" x14ac:dyDescent="0.35">
      <c r="A1309" s="6" t="s">
        <v>3687</v>
      </c>
      <c r="B1309" s="6" t="s">
        <v>3688</v>
      </c>
      <c r="C1309" s="6" t="s">
        <v>3689</v>
      </c>
      <c r="D1309" s="6" t="s">
        <v>22</v>
      </c>
      <c r="E1309" s="7" t="s">
        <v>23</v>
      </c>
      <c r="F1309" s="6">
        <v>85224</v>
      </c>
      <c r="G1309" s="6" t="s">
        <v>24</v>
      </c>
      <c r="H1309" s="6" t="s">
        <v>25</v>
      </c>
      <c r="I1309" s="6" t="s">
        <v>26</v>
      </c>
      <c r="J1309" s="6" t="b">
        <v>0</v>
      </c>
      <c r="K1309" s="6" t="s">
        <v>27</v>
      </c>
      <c r="L1309" s="6">
        <v>0</v>
      </c>
      <c r="M1309" s="6">
        <v>165</v>
      </c>
      <c r="N1309" s="8" t="str">
        <f t="shared" si="140"/>
        <v>0</v>
      </c>
      <c r="O1309" s="8">
        <f t="shared" si="141"/>
        <v>1980</v>
      </c>
      <c r="P1309" s="8">
        <f t="shared" si="142"/>
        <v>1980</v>
      </c>
      <c r="Q1309" s="8">
        <f t="shared" si="143"/>
        <v>0</v>
      </c>
      <c r="R1309" s="9">
        <f t="shared" si="144"/>
        <v>1980</v>
      </c>
      <c r="S1309" s="10">
        <f t="shared" si="145"/>
        <v>165</v>
      </c>
      <c r="T1309">
        <v>165</v>
      </c>
      <c r="U1309">
        <f t="shared" si="146"/>
        <v>0</v>
      </c>
    </row>
    <row r="1310" spans="1:21" ht="14.25" customHeight="1" x14ac:dyDescent="0.35">
      <c r="A1310" s="6" t="s">
        <v>3690</v>
      </c>
      <c r="B1310" s="6" t="s">
        <v>3691</v>
      </c>
      <c r="C1310" s="6" t="s">
        <v>3692</v>
      </c>
      <c r="D1310" s="6" t="s">
        <v>71</v>
      </c>
      <c r="E1310" s="7" t="s">
        <v>23</v>
      </c>
      <c r="F1310" s="6">
        <v>85383</v>
      </c>
      <c r="G1310" s="6" t="s">
        <v>78</v>
      </c>
      <c r="H1310" s="6" t="s">
        <v>73</v>
      </c>
      <c r="I1310" s="6" t="s">
        <v>26</v>
      </c>
      <c r="J1310" s="6" t="b">
        <v>0</v>
      </c>
      <c r="K1310" s="6" t="s">
        <v>27</v>
      </c>
      <c r="L1310" s="6">
        <v>0</v>
      </c>
      <c r="M1310" s="6">
        <v>165</v>
      </c>
      <c r="N1310" s="8" t="str">
        <f t="shared" si="140"/>
        <v>0</v>
      </c>
      <c r="O1310" s="8">
        <f t="shared" si="141"/>
        <v>1980</v>
      </c>
      <c r="P1310" s="8">
        <f t="shared" si="142"/>
        <v>1980</v>
      </c>
      <c r="Q1310" s="8">
        <f t="shared" si="143"/>
        <v>0</v>
      </c>
      <c r="R1310" s="9">
        <f t="shared" si="144"/>
        <v>1980</v>
      </c>
      <c r="S1310" s="10">
        <f t="shared" si="145"/>
        <v>165</v>
      </c>
      <c r="T1310">
        <v>165</v>
      </c>
      <c r="U1310">
        <f t="shared" si="146"/>
        <v>0</v>
      </c>
    </row>
    <row r="1311" spans="1:21" ht="14.25" customHeight="1" x14ac:dyDescent="0.35">
      <c r="A1311" s="6" t="s">
        <v>3693</v>
      </c>
      <c r="B1311" s="6" t="s">
        <v>3694</v>
      </c>
      <c r="C1311" s="6" t="s">
        <v>3695</v>
      </c>
      <c r="D1311" s="6" t="s">
        <v>31</v>
      </c>
      <c r="E1311" s="7" t="s">
        <v>23</v>
      </c>
      <c r="F1311" s="6">
        <v>85258</v>
      </c>
      <c r="G1311" s="6" t="s">
        <v>45</v>
      </c>
      <c r="H1311" s="6" t="s">
        <v>291</v>
      </c>
      <c r="I1311" s="6" t="s">
        <v>26</v>
      </c>
      <c r="J1311" s="6" t="b">
        <v>0</v>
      </c>
      <c r="K1311" s="6" t="s">
        <v>27</v>
      </c>
      <c r="L1311" s="6">
        <v>0</v>
      </c>
      <c r="M1311" s="6">
        <v>165</v>
      </c>
      <c r="N1311" s="8" t="str">
        <f t="shared" si="140"/>
        <v>0</v>
      </c>
      <c r="O1311" s="8">
        <f t="shared" si="141"/>
        <v>1980</v>
      </c>
      <c r="P1311" s="8">
        <f t="shared" si="142"/>
        <v>1980</v>
      </c>
      <c r="Q1311" s="8">
        <f t="shared" si="143"/>
        <v>0</v>
      </c>
      <c r="R1311" s="9">
        <f t="shared" si="144"/>
        <v>1980</v>
      </c>
      <c r="S1311" s="10">
        <f t="shared" si="145"/>
        <v>165</v>
      </c>
      <c r="T1311">
        <v>165</v>
      </c>
      <c r="U1311">
        <f t="shared" si="146"/>
        <v>0</v>
      </c>
    </row>
    <row r="1312" spans="1:21" ht="14.25" customHeight="1" x14ac:dyDescent="0.35">
      <c r="A1312" s="6" t="s">
        <v>3696</v>
      </c>
      <c r="B1312" s="6" t="s">
        <v>3697</v>
      </c>
      <c r="C1312" s="6" t="s">
        <v>3698</v>
      </c>
      <c r="D1312" s="6" t="s">
        <v>98</v>
      </c>
      <c r="E1312" s="7" t="s">
        <v>23</v>
      </c>
      <c r="F1312" s="6">
        <v>85122</v>
      </c>
      <c r="G1312" s="6" t="s">
        <v>87</v>
      </c>
      <c r="H1312" s="6" t="s">
        <v>88</v>
      </c>
      <c r="I1312" s="6" t="s">
        <v>61</v>
      </c>
      <c r="J1312" s="6" t="b">
        <v>0</v>
      </c>
      <c r="K1312" s="6" t="s">
        <v>27</v>
      </c>
      <c r="L1312" s="6">
        <v>0</v>
      </c>
      <c r="M1312" s="6">
        <v>165</v>
      </c>
      <c r="N1312" s="8" t="str">
        <f t="shared" si="140"/>
        <v>0</v>
      </c>
      <c r="O1312" s="8">
        <f t="shared" si="141"/>
        <v>1980</v>
      </c>
      <c r="P1312" s="8">
        <f t="shared" si="142"/>
        <v>1980</v>
      </c>
      <c r="Q1312" s="8">
        <f t="shared" si="143"/>
        <v>0</v>
      </c>
      <c r="R1312" s="9">
        <f t="shared" si="144"/>
        <v>1980</v>
      </c>
      <c r="S1312" s="10">
        <f t="shared" si="145"/>
        <v>165</v>
      </c>
      <c r="T1312">
        <v>165</v>
      </c>
      <c r="U1312">
        <f t="shared" si="146"/>
        <v>0</v>
      </c>
    </row>
    <row r="1313" spans="1:21" ht="14.25" customHeight="1" x14ac:dyDescent="0.35">
      <c r="A1313" s="6" t="s">
        <v>3699</v>
      </c>
      <c r="B1313" s="6" t="s">
        <v>3700</v>
      </c>
      <c r="C1313" s="6" t="s">
        <v>3701</v>
      </c>
      <c r="D1313" s="6" t="s">
        <v>37</v>
      </c>
      <c r="E1313" s="7" t="s">
        <v>23</v>
      </c>
      <c r="F1313" s="6">
        <v>85323</v>
      </c>
      <c r="G1313" s="6" t="s">
        <v>38</v>
      </c>
      <c r="H1313" s="6" t="s">
        <v>378</v>
      </c>
      <c r="I1313" s="6" t="s">
        <v>61</v>
      </c>
      <c r="J1313" s="6" t="b">
        <v>1</v>
      </c>
      <c r="K1313" s="6" t="s">
        <v>27</v>
      </c>
      <c r="L1313" s="6">
        <v>0</v>
      </c>
      <c r="M1313" s="6">
        <v>165</v>
      </c>
      <c r="N1313" s="8">
        <f t="shared" si="140"/>
        <v>76.679999999999993</v>
      </c>
      <c r="O1313" s="8">
        <f t="shared" si="141"/>
        <v>2056.6799999999998</v>
      </c>
      <c r="P1313" s="8">
        <f t="shared" si="142"/>
        <v>2056.6799999999998</v>
      </c>
      <c r="Q1313" s="8">
        <f t="shared" si="143"/>
        <v>0</v>
      </c>
      <c r="R1313" s="9">
        <f t="shared" si="144"/>
        <v>2056.6799999999998</v>
      </c>
      <c r="S1313" s="10">
        <f t="shared" si="145"/>
        <v>171.39</v>
      </c>
      <c r="T1313">
        <v>165</v>
      </c>
      <c r="U1313">
        <f t="shared" si="146"/>
        <v>0</v>
      </c>
    </row>
    <row r="1314" spans="1:21" ht="14.25" customHeight="1" x14ac:dyDescent="0.35">
      <c r="A1314" s="6" t="s">
        <v>3702</v>
      </c>
      <c r="B1314" s="6" t="s">
        <v>3703</v>
      </c>
      <c r="C1314" s="6" t="s">
        <v>3704</v>
      </c>
      <c r="D1314" s="6" t="s">
        <v>86</v>
      </c>
      <c r="E1314" s="7" t="s">
        <v>23</v>
      </c>
      <c r="F1314" s="6">
        <v>85123</v>
      </c>
      <c r="G1314" s="6" t="s">
        <v>87</v>
      </c>
      <c r="H1314" s="6" t="s">
        <v>88</v>
      </c>
      <c r="I1314" s="6" t="s">
        <v>40</v>
      </c>
      <c r="J1314" s="6" t="b">
        <v>0</v>
      </c>
      <c r="K1314" s="6" t="s">
        <v>27</v>
      </c>
      <c r="L1314" s="6">
        <v>0</v>
      </c>
      <c r="M1314" s="6">
        <v>165</v>
      </c>
      <c r="N1314" s="8" t="str">
        <f t="shared" si="140"/>
        <v>0</v>
      </c>
      <c r="O1314" s="8">
        <f t="shared" si="141"/>
        <v>1980</v>
      </c>
      <c r="P1314" s="8">
        <f t="shared" si="142"/>
        <v>1980</v>
      </c>
      <c r="Q1314" s="8">
        <f t="shared" si="143"/>
        <v>0</v>
      </c>
      <c r="R1314" s="9">
        <f t="shared" si="144"/>
        <v>1980</v>
      </c>
      <c r="S1314" s="10">
        <f t="shared" si="145"/>
        <v>165</v>
      </c>
      <c r="T1314">
        <v>165</v>
      </c>
      <c r="U1314">
        <f t="shared" si="146"/>
        <v>0</v>
      </c>
    </row>
    <row r="1315" spans="1:21" ht="14.25" customHeight="1" x14ac:dyDescent="0.35">
      <c r="A1315" s="6" t="s">
        <v>3705</v>
      </c>
      <c r="B1315" s="6" t="s">
        <v>3706</v>
      </c>
      <c r="C1315" s="6" t="s">
        <v>3707</v>
      </c>
      <c r="D1315" s="6" t="s">
        <v>22</v>
      </c>
      <c r="E1315" s="7" t="s">
        <v>23</v>
      </c>
      <c r="F1315" s="6">
        <v>85248</v>
      </c>
      <c r="G1315" s="6" t="s">
        <v>125</v>
      </c>
      <c r="H1315" s="6" t="s">
        <v>126</v>
      </c>
      <c r="J1315" s="6" t="b">
        <v>0</v>
      </c>
      <c r="K1315" s="6" t="s">
        <v>27</v>
      </c>
      <c r="L1315" s="6">
        <v>0</v>
      </c>
      <c r="M1315" s="6">
        <v>165</v>
      </c>
      <c r="N1315" s="8" t="str">
        <f t="shared" si="140"/>
        <v>0</v>
      </c>
      <c r="O1315" s="8">
        <f t="shared" si="141"/>
        <v>1980</v>
      </c>
      <c r="P1315" s="8">
        <f t="shared" si="142"/>
        <v>1980</v>
      </c>
      <c r="Q1315" s="8">
        <f t="shared" si="143"/>
        <v>0</v>
      </c>
      <c r="R1315" s="9">
        <f t="shared" si="144"/>
        <v>1980</v>
      </c>
      <c r="S1315" s="10">
        <f t="shared" si="145"/>
        <v>165</v>
      </c>
      <c r="T1315">
        <v>165</v>
      </c>
      <c r="U1315">
        <f t="shared" si="146"/>
        <v>0</v>
      </c>
    </row>
    <row r="1316" spans="1:21" ht="14.25" customHeight="1" x14ac:dyDescent="0.35">
      <c r="A1316" s="6" t="s">
        <v>3708</v>
      </c>
      <c r="B1316" s="6" t="s">
        <v>3709</v>
      </c>
      <c r="C1316" s="6" t="s">
        <v>3710</v>
      </c>
      <c r="D1316" s="6" t="s">
        <v>98</v>
      </c>
      <c r="E1316" s="7" t="s">
        <v>23</v>
      </c>
      <c r="F1316" s="6">
        <v>85122</v>
      </c>
      <c r="G1316" s="6" t="s">
        <v>87</v>
      </c>
      <c r="H1316" s="6" t="s">
        <v>109</v>
      </c>
      <c r="I1316" s="6" t="s">
        <v>57</v>
      </c>
      <c r="J1316" s="6" t="b">
        <v>0</v>
      </c>
      <c r="K1316" s="6" t="s">
        <v>27</v>
      </c>
      <c r="L1316" s="6">
        <v>0</v>
      </c>
      <c r="M1316" s="6">
        <v>165</v>
      </c>
      <c r="N1316" s="8" t="str">
        <f t="shared" si="140"/>
        <v>0</v>
      </c>
      <c r="O1316" s="8">
        <f t="shared" si="141"/>
        <v>1980</v>
      </c>
      <c r="P1316" s="8">
        <f t="shared" si="142"/>
        <v>1980</v>
      </c>
      <c r="Q1316" s="8">
        <f t="shared" si="143"/>
        <v>0</v>
      </c>
      <c r="R1316" s="9">
        <f t="shared" si="144"/>
        <v>1980</v>
      </c>
      <c r="S1316" s="10">
        <f t="shared" si="145"/>
        <v>165</v>
      </c>
      <c r="T1316">
        <v>165</v>
      </c>
      <c r="U1316">
        <f t="shared" si="146"/>
        <v>0</v>
      </c>
    </row>
    <row r="1317" spans="1:21" ht="14.25" customHeight="1" x14ac:dyDescent="0.35">
      <c r="A1317" s="6" t="s">
        <v>3711</v>
      </c>
      <c r="B1317" s="6" t="s">
        <v>3712</v>
      </c>
      <c r="C1317" s="6" t="s">
        <v>3713</v>
      </c>
      <c r="D1317" s="6" t="s">
        <v>77</v>
      </c>
      <c r="E1317" s="7" t="s">
        <v>23</v>
      </c>
      <c r="F1317" s="6">
        <v>85308</v>
      </c>
      <c r="G1317" s="6" t="s">
        <v>78</v>
      </c>
      <c r="H1317" s="6" t="s">
        <v>93</v>
      </c>
      <c r="J1317" s="6" t="b">
        <v>0</v>
      </c>
      <c r="K1317" s="6" t="s">
        <v>27</v>
      </c>
      <c r="L1317" s="6">
        <v>0</v>
      </c>
      <c r="M1317" s="6">
        <v>165</v>
      </c>
      <c r="N1317" s="8" t="str">
        <f t="shared" si="140"/>
        <v>0</v>
      </c>
      <c r="O1317" s="8">
        <f t="shared" si="141"/>
        <v>1980</v>
      </c>
      <c r="P1317" s="8">
        <f t="shared" si="142"/>
        <v>1980</v>
      </c>
      <c r="Q1317" s="8">
        <f t="shared" si="143"/>
        <v>0</v>
      </c>
      <c r="R1317" s="9">
        <f t="shared" si="144"/>
        <v>1980</v>
      </c>
      <c r="S1317" s="10">
        <f t="shared" si="145"/>
        <v>165</v>
      </c>
      <c r="T1317">
        <v>165</v>
      </c>
      <c r="U1317">
        <f t="shared" si="146"/>
        <v>0</v>
      </c>
    </row>
    <row r="1318" spans="1:21" ht="14.25" customHeight="1" x14ac:dyDescent="0.35">
      <c r="A1318" s="6" t="s">
        <v>3714</v>
      </c>
      <c r="B1318" s="6" t="s">
        <v>3715</v>
      </c>
      <c r="C1318" s="6" t="s">
        <v>3716</v>
      </c>
      <c r="D1318" s="6" t="s">
        <v>44</v>
      </c>
      <c r="E1318" s="7" t="s">
        <v>23</v>
      </c>
      <c r="F1318" s="6">
        <v>85022</v>
      </c>
      <c r="G1318" s="6" t="s">
        <v>173</v>
      </c>
      <c r="H1318" s="6" t="s">
        <v>79</v>
      </c>
      <c r="I1318" s="6" t="s">
        <v>61</v>
      </c>
      <c r="J1318" s="6" t="b">
        <v>1</v>
      </c>
      <c r="K1318" s="6" t="s">
        <v>27</v>
      </c>
      <c r="L1318" s="6">
        <v>0</v>
      </c>
      <c r="M1318" s="6">
        <v>165</v>
      </c>
      <c r="N1318" s="8">
        <f t="shared" si="140"/>
        <v>76.679999999999993</v>
      </c>
      <c r="O1318" s="8">
        <f t="shared" si="141"/>
        <v>2056.6799999999998</v>
      </c>
      <c r="P1318" s="8">
        <f t="shared" si="142"/>
        <v>2056.6799999999998</v>
      </c>
      <c r="Q1318" s="8">
        <f t="shared" si="143"/>
        <v>0</v>
      </c>
      <c r="R1318" s="9">
        <f t="shared" si="144"/>
        <v>2056.6799999999998</v>
      </c>
      <c r="S1318" s="10">
        <f t="shared" si="145"/>
        <v>171.39</v>
      </c>
      <c r="T1318">
        <v>165</v>
      </c>
      <c r="U1318">
        <f t="shared" si="146"/>
        <v>0</v>
      </c>
    </row>
    <row r="1319" spans="1:21" ht="14.25" customHeight="1" x14ac:dyDescent="0.35">
      <c r="A1319" s="6" t="s">
        <v>3717</v>
      </c>
      <c r="B1319" s="6" t="s">
        <v>3718</v>
      </c>
      <c r="C1319" s="6" t="s">
        <v>3719</v>
      </c>
      <c r="D1319" s="6" t="s">
        <v>65</v>
      </c>
      <c r="E1319" s="7" t="s">
        <v>23</v>
      </c>
      <c r="F1319" s="6">
        <v>85207</v>
      </c>
      <c r="G1319" s="6" t="s">
        <v>66</v>
      </c>
      <c r="H1319" s="6" t="s">
        <v>67</v>
      </c>
      <c r="J1319" s="6" t="b">
        <v>0</v>
      </c>
      <c r="K1319" s="6" t="s">
        <v>27</v>
      </c>
      <c r="L1319" s="6">
        <v>0</v>
      </c>
      <c r="M1319" s="6">
        <v>165</v>
      </c>
      <c r="N1319" s="8" t="str">
        <f t="shared" si="140"/>
        <v>0</v>
      </c>
      <c r="O1319" s="8">
        <f t="shared" si="141"/>
        <v>1980</v>
      </c>
      <c r="P1319" s="8">
        <f t="shared" si="142"/>
        <v>1980</v>
      </c>
      <c r="Q1319" s="8">
        <f t="shared" si="143"/>
        <v>0</v>
      </c>
      <c r="R1319" s="9">
        <f t="shared" si="144"/>
        <v>1980</v>
      </c>
      <c r="S1319" s="10">
        <f t="shared" si="145"/>
        <v>165</v>
      </c>
      <c r="T1319">
        <v>165</v>
      </c>
      <c r="U1319">
        <f t="shared" si="146"/>
        <v>0</v>
      </c>
    </row>
    <row r="1320" spans="1:21" ht="14.25" customHeight="1" x14ac:dyDescent="0.35">
      <c r="A1320" s="6" t="s">
        <v>3720</v>
      </c>
      <c r="B1320" s="6" t="s">
        <v>3721</v>
      </c>
      <c r="C1320" s="6" t="s">
        <v>3722</v>
      </c>
      <c r="D1320" s="6" t="s">
        <v>454</v>
      </c>
      <c r="E1320" s="7" t="s">
        <v>23</v>
      </c>
      <c r="F1320" s="6">
        <v>85395</v>
      </c>
      <c r="G1320" s="6" t="s">
        <v>38</v>
      </c>
      <c r="H1320" s="6" t="s">
        <v>378</v>
      </c>
      <c r="I1320" s="6" t="s">
        <v>110</v>
      </c>
      <c r="J1320" s="6" t="b">
        <v>0</v>
      </c>
      <c r="K1320" s="6" t="s">
        <v>27</v>
      </c>
      <c r="L1320" s="6">
        <v>0</v>
      </c>
      <c r="M1320" s="6">
        <v>165</v>
      </c>
      <c r="N1320" s="8" t="str">
        <f t="shared" si="140"/>
        <v>0</v>
      </c>
      <c r="O1320" s="8">
        <f t="shared" si="141"/>
        <v>1980</v>
      </c>
      <c r="P1320" s="8">
        <f t="shared" si="142"/>
        <v>1980</v>
      </c>
      <c r="Q1320" s="8">
        <f t="shared" si="143"/>
        <v>0</v>
      </c>
      <c r="R1320" s="9">
        <f t="shared" si="144"/>
        <v>1980</v>
      </c>
      <c r="S1320" s="10">
        <f t="shared" si="145"/>
        <v>165</v>
      </c>
      <c r="T1320">
        <v>165</v>
      </c>
      <c r="U1320">
        <f t="shared" si="146"/>
        <v>0</v>
      </c>
    </row>
    <row r="1321" spans="1:21" ht="14.25" customHeight="1" x14ac:dyDescent="0.35">
      <c r="A1321" s="6" t="s">
        <v>3723</v>
      </c>
      <c r="B1321" s="6" t="s">
        <v>3724</v>
      </c>
      <c r="C1321" s="6" t="s">
        <v>3725</v>
      </c>
      <c r="D1321" s="6" t="s">
        <v>44</v>
      </c>
      <c r="E1321" s="7" t="s">
        <v>23</v>
      </c>
      <c r="F1321" s="6">
        <v>85048</v>
      </c>
      <c r="G1321" s="6" t="s">
        <v>24</v>
      </c>
      <c r="H1321" s="6" t="s">
        <v>161</v>
      </c>
      <c r="J1321" s="6" t="b">
        <v>0</v>
      </c>
      <c r="K1321" s="6" t="s">
        <v>27</v>
      </c>
      <c r="L1321" s="6">
        <v>0</v>
      </c>
      <c r="M1321" s="6">
        <v>165</v>
      </c>
      <c r="N1321" s="8" t="str">
        <f t="shared" si="140"/>
        <v>0</v>
      </c>
      <c r="O1321" s="8">
        <f t="shared" si="141"/>
        <v>1980</v>
      </c>
      <c r="P1321" s="8">
        <f t="shared" si="142"/>
        <v>1980</v>
      </c>
      <c r="Q1321" s="8">
        <f t="shared" si="143"/>
        <v>0</v>
      </c>
      <c r="R1321" s="9">
        <f t="shared" si="144"/>
        <v>1980</v>
      </c>
      <c r="S1321" s="10">
        <f t="shared" si="145"/>
        <v>165</v>
      </c>
      <c r="T1321">
        <v>165</v>
      </c>
      <c r="U1321">
        <f t="shared" si="146"/>
        <v>0</v>
      </c>
    </row>
    <row r="1322" spans="1:21" ht="14.25" customHeight="1" x14ac:dyDescent="0.35">
      <c r="A1322" s="6" t="s">
        <v>3726</v>
      </c>
      <c r="B1322" s="6" t="s">
        <v>3727</v>
      </c>
      <c r="C1322" s="6" t="s">
        <v>3728</v>
      </c>
      <c r="D1322" s="6" t="s">
        <v>165</v>
      </c>
      <c r="E1322" s="7" t="s">
        <v>23</v>
      </c>
      <c r="F1322" s="6">
        <v>85296</v>
      </c>
      <c r="G1322" s="6" t="s">
        <v>125</v>
      </c>
      <c r="H1322" s="6" t="s">
        <v>225</v>
      </c>
      <c r="J1322" s="6" t="b">
        <v>0</v>
      </c>
      <c r="K1322" s="6" t="s">
        <v>27</v>
      </c>
      <c r="L1322" s="6">
        <v>0</v>
      </c>
      <c r="M1322" s="6">
        <v>165</v>
      </c>
      <c r="N1322" s="8" t="str">
        <f t="shared" si="140"/>
        <v>0</v>
      </c>
      <c r="O1322" s="8">
        <f t="shared" si="141"/>
        <v>1980</v>
      </c>
      <c r="P1322" s="8">
        <f t="shared" si="142"/>
        <v>1980</v>
      </c>
      <c r="Q1322" s="8">
        <f t="shared" si="143"/>
        <v>0</v>
      </c>
      <c r="R1322" s="9">
        <f t="shared" si="144"/>
        <v>1980</v>
      </c>
      <c r="S1322" s="10">
        <f t="shared" si="145"/>
        <v>165</v>
      </c>
      <c r="T1322">
        <v>165</v>
      </c>
      <c r="U1322">
        <f t="shared" si="146"/>
        <v>0</v>
      </c>
    </row>
    <row r="1323" spans="1:21" ht="14.25" customHeight="1" x14ac:dyDescent="0.35">
      <c r="A1323" s="6" t="s">
        <v>3729</v>
      </c>
      <c r="B1323" s="6" t="s">
        <v>3730</v>
      </c>
      <c r="C1323" s="6" t="s">
        <v>3731</v>
      </c>
      <c r="D1323" s="6" t="s">
        <v>363</v>
      </c>
      <c r="E1323" s="7" t="s">
        <v>23</v>
      </c>
      <c r="F1323" s="6">
        <v>85281</v>
      </c>
      <c r="G1323" s="6" t="s">
        <v>364</v>
      </c>
      <c r="H1323" s="6" t="s">
        <v>365</v>
      </c>
      <c r="I1323" s="6" t="s">
        <v>26</v>
      </c>
      <c r="J1323" s="6" t="b">
        <v>0</v>
      </c>
      <c r="K1323" s="6" t="s">
        <v>27</v>
      </c>
      <c r="L1323" s="6">
        <v>0</v>
      </c>
      <c r="M1323" s="6">
        <v>165</v>
      </c>
      <c r="N1323" s="8" t="str">
        <f t="shared" si="140"/>
        <v>0</v>
      </c>
      <c r="O1323" s="8">
        <f t="shared" si="141"/>
        <v>1980</v>
      </c>
      <c r="P1323" s="8">
        <f t="shared" si="142"/>
        <v>1980</v>
      </c>
      <c r="Q1323" s="8">
        <f t="shared" si="143"/>
        <v>0</v>
      </c>
      <c r="R1323" s="9">
        <f t="shared" si="144"/>
        <v>1980</v>
      </c>
      <c r="S1323" s="10">
        <f t="shared" si="145"/>
        <v>165</v>
      </c>
      <c r="T1323">
        <v>165</v>
      </c>
      <c r="U1323">
        <f t="shared" si="146"/>
        <v>0</v>
      </c>
    </row>
    <row r="1324" spans="1:21" ht="14.25" customHeight="1" x14ac:dyDescent="0.35">
      <c r="A1324" s="6" t="s">
        <v>3732</v>
      </c>
      <c r="B1324" s="6" t="s">
        <v>3733</v>
      </c>
      <c r="C1324" s="6" t="s">
        <v>3734</v>
      </c>
      <c r="D1324" s="6" t="s">
        <v>165</v>
      </c>
      <c r="E1324" s="7" t="s">
        <v>23</v>
      </c>
      <c r="F1324" s="6">
        <v>85296</v>
      </c>
      <c r="G1324" s="6" t="s">
        <v>125</v>
      </c>
      <c r="H1324" s="6" t="s">
        <v>126</v>
      </c>
      <c r="I1324" s="6" t="s">
        <v>26</v>
      </c>
      <c r="J1324" s="6" t="b">
        <v>0</v>
      </c>
      <c r="K1324" s="6" t="s">
        <v>27</v>
      </c>
      <c r="L1324" s="6">
        <v>0</v>
      </c>
      <c r="M1324" s="6">
        <v>165</v>
      </c>
      <c r="N1324" s="8" t="str">
        <f t="shared" si="140"/>
        <v>0</v>
      </c>
      <c r="O1324" s="8">
        <f t="shared" si="141"/>
        <v>1980</v>
      </c>
      <c r="P1324" s="8">
        <f t="shared" si="142"/>
        <v>1980</v>
      </c>
      <c r="Q1324" s="8">
        <f t="shared" si="143"/>
        <v>0</v>
      </c>
      <c r="R1324" s="9">
        <f t="shared" si="144"/>
        <v>1980</v>
      </c>
      <c r="S1324" s="10">
        <f t="shared" si="145"/>
        <v>165</v>
      </c>
      <c r="T1324">
        <v>165</v>
      </c>
      <c r="U1324">
        <f t="shared" si="146"/>
        <v>0</v>
      </c>
    </row>
    <row r="1325" spans="1:21" ht="14.25" customHeight="1" x14ac:dyDescent="0.35">
      <c r="A1325" s="6" t="s">
        <v>3735</v>
      </c>
      <c r="B1325" s="6" t="s">
        <v>3736</v>
      </c>
      <c r="C1325" s="6" t="s">
        <v>3737</v>
      </c>
      <c r="D1325" s="6" t="s">
        <v>65</v>
      </c>
      <c r="E1325" s="7" t="s">
        <v>23</v>
      </c>
      <c r="F1325" s="6">
        <v>85206</v>
      </c>
      <c r="G1325" s="6" t="s">
        <v>66</v>
      </c>
      <c r="H1325" s="6" t="s">
        <v>1047</v>
      </c>
      <c r="I1325" s="6" t="s">
        <v>57</v>
      </c>
      <c r="J1325" s="6" t="b">
        <v>0</v>
      </c>
      <c r="K1325" s="6" t="s">
        <v>27</v>
      </c>
      <c r="L1325" s="6">
        <v>0</v>
      </c>
      <c r="M1325" s="6">
        <v>165</v>
      </c>
      <c r="N1325" s="8" t="str">
        <f t="shared" si="140"/>
        <v>0</v>
      </c>
      <c r="O1325" s="8">
        <f t="shared" si="141"/>
        <v>1980</v>
      </c>
      <c r="P1325" s="8">
        <f t="shared" si="142"/>
        <v>1980</v>
      </c>
      <c r="Q1325" s="8">
        <f t="shared" si="143"/>
        <v>0</v>
      </c>
      <c r="R1325" s="9">
        <f t="shared" si="144"/>
        <v>1980</v>
      </c>
      <c r="S1325" s="10">
        <f t="shared" si="145"/>
        <v>165</v>
      </c>
      <c r="T1325">
        <v>165</v>
      </c>
      <c r="U1325">
        <f t="shared" si="146"/>
        <v>0</v>
      </c>
    </row>
    <row r="1326" spans="1:21" ht="14.25" customHeight="1" x14ac:dyDescent="0.35">
      <c r="A1326" s="6" t="s">
        <v>3738</v>
      </c>
      <c r="B1326" s="6" t="s">
        <v>3739</v>
      </c>
      <c r="C1326" s="6" t="s">
        <v>3740</v>
      </c>
      <c r="D1326" s="6" t="s">
        <v>65</v>
      </c>
      <c r="E1326" s="7" t="s">
        <v>23</v>
      </c>
      <c r="F1326" s="6">
        <v>85207</v>
      </c>
      <c r="G1326" s="6" t="s">
        <v>66</v>
      </c>
      <c r="H1326" s="6" t="s">
        <v>67</v>
      </c>
      <c r="I1326" s="6" t="s">
        <v>26</v>
      </c>
      <c r="J1326" s="6" t="b">
        <v>0</v>
      </c>
      <c r="K1326" s="6" t="s">
        <v>27</v>
      </c>
      <c r="L1326" s="6">
        <v>0</v>
      </c>
      <c r="M1326" s="6">
        <v>165</v>
      </c>
      <c r="N1326" s="8" t="str">
        <f t="shared" si="140"/>
        <v>0</v>
      </c>
      <c r="O1326" s="8">
        <f t="shared" si="141"/>
        <v>1980</v>
      </c>
      <c r="P1326" s="8">
        <f t="shared" si="142"/>
        <v>1980</v>
      </c>
      <c r="Q1326" s="8">
        <f t="shared" si="143"/>
        <v>0</v>
      </c>
      <c r="R1326" s="9">
        <f t="shared" si="144"/>
        <v>1980</v>
      </c>
      <c r="S1326" s="10">
        <f t="shared" si="145"/>
        <v>165</v>
      </c>
      <c r="T1326">
        <v>165</v>
      </c>
      <c r="U1326">
        <f t="shared" si="146"/>
        <v>0</v>
      </c>
    </row>
    <row r="1327" spans="1:21" ht="14.25" customHeight="1" x14ac:dyDescent="0.35">
      <c r="A1327" s="6" t="s">
        <v>3741</v>
      </c>
      <c r="B1327" s="6" t="s">
        <v>3742</v>
      </c>
      <c r="C1327" s="6" t="s">
        <v>3743</v>
      </c>
      <c r="D1327" s="6" t="s">
        <v>165</v>
      </c>
      <c r="E1327" s="7" t="s">
        <v>23</v>
      </c>
      <c r="F1327" s="6">
        <v>85296</v>
      </c>
      <c r="G1327" s="6" t="s">
        <v>125</v>
      </c>
      <c r="H1327" s="6" t="s">
        <v>126</v>
      </c>
      <c r="J1327" s="6" t="b">
        <v>0</v>
      </c>
      <c r="K1327" s="6" t="s">
        <v>27</v>
      </c>
      <c r="L1327" s="6">
        <v>0</v>
      </c>
      <c r="M1327" s="6">
        <v>165</v>
      </c>
      <c r="N1327" s="8" t="str">
        <f t="shared" si="140"/>
        <v>0</v>
      </c>
      <c r="O1327" s="8">
        <f t="shared" si="141"/>
        <v>1980</v>
      </c>
      <c r="P1327" s="8">
        <f t="shared" si="142"/>
        <v>1980</v>
      </c>
      <c r="Q1327" s="8">
        <f t="shared" si="143"/>
        <v>0</v>
      </c>
      <c r="R1327" s="9">
        <f t="shared" si="144"/>
        <v>1980</v>
      </c>
      <c r="S1327" s="10">
        <f t="shared" si="145"/>
        <v>165</v>
      </c>
      <c r="T1327">
        <v>165</v>
      </c>
      <c r="U1327">
        <f t="shared" si="146"/>
        <v>0</v>
      </c>
    </row>
    <row r="1328" spans="1:21" ht="14.25" customHeight="1" x14ac:dyDescent="0.35">
      <c r="A1328" s="6" t="s">
        <v>3744</v>
      </c>
      <c r="B1328" s="6" t="s">
        <v>3745</v>
      </c>
      <c r="C1328" s="6" t="s">
        <v>3746</v>
      </c>
      <c r="D1328" s="6" t="s">
        <v>22</v>
      </c>
      <c r="E1328" s="7" t="s">
        <v>23</v>
      </c>
      <c r="F1328" s="6">
        <v>85248</v>
      </c>
      <c r="G1328" s="6" t="s">
        <v>125</v>
      </c>
      <c r="H1328" s="6" t="s">
        <v>126</v>
      </c>
      <c r="I1328" s="6" t="s">
        <v>26</v>
      </c>
      <c r="J1328" s="6" t="b">
        <v>0</v>
      </c>
      <c r="K1328" s="6" t="s">
        <v>27</v>
      </c>
      <c r="L1328" s="6">
        <v>0</v>
      </c>
      <c r="M1328" s="6">
        <v>165</v>
      </c>
      <c r="N1328" s="8" t="str">
        <f t="shared" si="140"/>
        <v>0</v>
      </c>
      <c r="O1328" s="8">
        <f t="shared" si="141"/>
        <v>1980</v>
      </c>
      <c r="P1328" s="8">
        <f t="shared" si="142"/>
        <v>1980</v>
      </c>
      <c r="Q1328" s="8">
        <f t="shared" si="143"/>
        <v>0</v>
      </c>
      <c r="R1328" s="9">
        <f t="shared" si="144"/>
        <v>1980</v>
      </c>
      <c r="S1328" s="10">
        <f t="shared" si="145"/>
        <v>165</v>
      </c>
      <c r="T1328">
        <v>165</v>
      </c>
      <c r="U1328">
        <f t="shared" si="146"/>
        <v>0</v>
      </c>
    </row>
    <row r="1329" spans="1:21" ht="14.25" customHeight="1" x14ac:dyDescent="0.35">
      <c r="A1329" s="6" t="s">
        <v>3747</v>
      </c>
      <c r="B1329" s="6" t="s">
        <v>3748</v>
      </c>
      <c r="C1329" s="6" t="s">
        <v>3749</v>
      </c>
      <c r="D1329" s="6" t="s">
        <v>44</v>
      </c>
      <c r="E1329" s="7" t="s">
        <v>23</v>
      </c>
      <c r="F1329" s="6">
        <v>85041</v>
      </c>
      <c r="G1329" s="6" t="s">
        <v>213</v>
      </c>
      <c r="H1329" s="6" t="s">
        <v>39</v>
      </c>
      <c r="I1329" s="6" t="s">
        <v>26</v>
      </c>
      <c r="J1329" s="6" t="b">
        <v>0</v>
      </c>
      <c r="K1329" s="6" t="s">
        <v>27</v>
      </c>
      <c r="L1329" s="6">
        <v>0</v>
      </c>
      <c r="M1329" s="6">
        <v>165</v>
      </c>
      <c r="N1329" s="8" t="str">
        <f t="shared" si="140"/>
        <v>0</v>
      </c>
      <c r="O1329" s="8">
        <f t="shared" si="141"/>
        <v>1980</v>
      </c>
      <c r="P1329" s="8">
        <f t="shared" si="142"/>
        <v>1980</v>
      </c>
      <c r="Q1329" s="8">
        <f t="shared" si="143"/>
        <v>0</v>
      </c>
      <c r="R1329" s="9">
        <f t="shared" si="144"/>
        <v>1980</v>
      </c>
      <c r="S1329" s="10">
        <f t="shared" si="145"/>
        <v>165</v>
      </c>
      <c r="T1329">
        <v>165</v>
      </c>
      <c r="U1329">
        <f t="shared" si="146"/>
        <v>0</v>
      </c>
    </row>
    <row r="1330" spans="1:21" ht="14.25" customHeight="1" x14ac:dyDescent="0.35">
      <c r="A1330" s="6" t="s">
        <v>3750</v>
      </c>
      <c r="B1330" s="6" t="s">
        <v>3751</v>
      </c>
      <c r="C1330" s="6" t="s">
        <v>3752</v>
      </c>
      <c r="D1330" s="6" t="s">
        <v>54</v>
      </c>
      <c r="E1330" s="7" t="s">
        <v>23</v>
      </c>
      <c r="F1330" s="6">
        <v>85737</v>
      </c>
      <c r="G1330" s="6" t="s">
        <v>55</v>
      </c>
      <c r="H1330" s="6" t="s">
        <v>56</v>
      </c>
      <c r="I1330" s="6" t="s">
        <v>26</v>
      </c>
      <c r="J1330" s="6" t="b">
        <v>0</v>
      </c>
      <c r="K1330" s="6" t="s">
        <v>27</v>
      </c>
      <c r="L1330" s="6">
        <v>0</v>
      </c>
      <c r="M1330" s="6">
        <v>165</v>
      </c>
      <c r="N1330" s="8" t="str">
        <f t="shared" si="140"/>
        <v>0</v>
      </c>
      <c r="O1330" s="8">
        <f t="shared" si="141"/>
        <v>1980</v>
      </c>
      <c r="P1330" s="8">
        <f t="shared" si="142"/>
        <v>1980</v>
      </c>
      <c r="Q1330" s="8">
        <f t="shared" si="143"/>
        <v>0</v>
      </c>
      <c r="R1330" s="9">
        <f t="shared" si="144"/>
        <v>1980</v>
      </c>
      <c r="S1330" s="10">
        <f t="shared" si="145"/>
        <v>165</v>
      </c>
      <c r="T1330">
        <v>165</v>
      </c>
      <c r="U1330">
        <f t="shared" si="146"/>
        <v>0</v>
      </c>
    </row>
    <row r="1331" spans="1:21" ht="14.25" customHeight="1" x14ac:dyDescent="0.35">
      <c r="A1331" s="6" t="s">
        <v>3753</v>
      </c>
      <c r="B1331" s="6" t="s">
        <v>3754</v>
      </c>
      <c r="C1331" s="6" t="s">
        <v>3755</v>
      </c>
      <c r="D1331" s="6" t="s">
        <v>44</v>
      </c>
      <c r="E1331" s="7" t="s">
        <v>23</v>
      </c>
      <c r="F1331" s="6">
        <v>85339</v>
      </c>
      <c r="G1331" s="6" t="s">
        <v>213</v>
      </c>
      <c r="H1331" s="6" t="s">
        <v>39</v>
      </c>
      <c r="I1331" s="6" t="s">
        <v>110</v>
      </c>
      <c r="J1331" s="6" t="b">
        <v>0</v>
      </c>
      <c r="K1331" s="6" t="s">
        <v>27</v>
      </c>
      <c r="L1331" s="6">
        <v>0</v>
      </c>
      <c r="M1331" s="6">
        <v>165</v>
      </c>
      <c r="N1331" s="8" t="str">
        <f t="shared" si="140"/>
        <v>0</v>
      </c>
      <c r="O1331" s="8">
        <f t="shared" si="141"/>
        <v>1980</v>
      </c>
      <c r="P1331" s="8">
        <f t="shared" si="142"/>
        <v>1980</v>
      </c>
      <c r="Q1331" s="8">
        <f t="shared" si="143"/>
        <v>0</v>
      </c>
      <c r="R1331" s="9">
        <f t="shared" si="144"/>
        <v>1980</v>
      </c>
      <c r="S1331" s="10">
        <f t="shared" si="145"/>
        <v>165</v>
      </c>
      <c r="T1331">
        <v>165</v>
      </c>
      <c r="U1331">
        <f t="shared" si="146"/>
        <v>0</v>
      </c>
    </row>
    <row r="1332" spans="1:21" ht="14.25" customHeight="1" x14ac:dyDescent="0.35">
      <c r="A1332" s="6" t="s">
        <v>3756</v>
      </c>
      <c r="B1332" s="6" t="s">
        <v>3757</v>
      </c>
      <c r="C1332" s="6" t="s">
        <v>3758</v>
      </c>
      <c r="D1332" s="6" t="s">
        <v>165</v>
      </c>
      <c r="E1332" s="7" t="s">
        <v>23</v>
      </c>
      <c r="F1332" s="6">
        <v>85295</v>
      </c>
      <c r="G1332" s="6" t="s">
        <v>125</v>
      </c>
      <c r="H1332" s="6" t="s">
        <v>225</v>
      </c>
      <c r="I1332" s="6" t="s">
        <v>26</v>
      </c>
      <c r="J1332" s="6" t="b">
        <v>0</v>
      </c>
      <c r="K1332" s="6" t="s">
        <v>27</v>
      </c>
      <c r="L1332" s="6">
        <v>0</v>
      </c>
      <c r="M1332" s="6">
        <v>165</v>
      </c>
      <c r="N1332" s="8" t="str">
        <f t="shared" si="140"/>
        <v>0</v>
      </c>
      <c r="O1332" s="8">
        <f t="shared" si="141"/>
        <v>1980</v>
      </c>
      <c r="P1332" s="8">
        <f t="shared" si="142"/>
        <v>1980</v>
      </c>
      <c r="Q1332" s="8">
        <f t="shared" si="143"/>
        <v>0</v>
      </c>
      <c r="R1332" s="9">
        <f t="shared" si="144"/>
        <v>1980</v>
      </c>
      <c r="S1332" s="10">
        <f t="shared" si="145"/>
        <v>165</v>
      </c>
      <c r="T1332">
        <v>165</v>
      </c>
      <c r="U1332">
        <f t="shared" si="146"/>
        <v>0</v>
      </c>
    </row>
    <row r="1333" spans="1:21" ht="14.25" customHeight="1" x14ac:dyDescent="0.35">
      <c r="A1333" s="6" t="s">
        <v>3759</v>
      </c>
      <c r="B1333" s="6" t="s">
        <v>3760</v>
      </c>
      <c r="C1333" s="6" t="s">
        <v>3761</v>
      </c>
      <c r="D1333" s="6" t="s">
        <v>31</v>
      </c>
      <c r="E1333" s="7" t="s">
        <v>23</v>
      </c>
      <c r="F1333" s="6">
        <v>85254</v>
      </c>
      <c r="G1333" s="6" t="s">
        <v>45</v>
      </c>
      <c r="H1333" s="6" t="s">
        <v>291</v>
      </c>
      <c r="I1333" s="6" t="s">
        <v>26</v>
      </c>
      <c r="J1333" s="6" t="b">
        <v>1</v>
      </c>
      <c r="K1333" s="6" t="s">
        <v>27</v>
      </c>
      <c r="L1333" s="6">
        <v>0</v>
      </c>
      <c r="M1333" s="6">
        <v>165</v>
      </c>
      <c r="N1333" s="8">
        <f t="shared" si="140"/>
        <v>76.679999999999993</v>
      </c>
      <c r="O1333" s="8">
        <f t="shared" si="141"/>
        <v>2056.6799999999998</v>
      </c>
      <c r="P1333" s="8">
        <f t="shared" si="142"/>
        <v>2056.6799999999998</v>
      </c>
      <c r="Q1333" s="8">
        <f t="shared" si="143"/>
        <v>0</v>
      </c>
      <c r="R1333" s="9">
        <f t="shared" si="144"/>
        <v>2056.6799999999998</v>
      </c>
      <c r="S1333" s="10">
        <f t="shared" si="145"/>
        <v>171.39</v>
      </c>
      <c r="T1333">
        <v>165</v>
      </c>
      <c r="U1333">
        <f t="shared" si="146"/>
        <v>0</v>
      </c>
    </row>
    <row r="1334" spans="1:21" ht="14.25" customHeight="1" x14ac:dyDescent="0.35">
      <c r="A1334" s="6" t="s">
        <v>3795</v>
      </c>
      <c r="B1334" s="6" t="s">
        <v>3796</v>
      </c>
      <c r="C1334" s="6" t="s">
        <v>3797</v>
      </c>
      <c r="D1334" s="6" t="s">
        <v>54</v>
      </c>
      <c r="E1334" s="7" t="s">
        <v>23</v>
      </c>
      <c r="F1334" s="6">
        <v>85712</v>
      </c>
      <c r="G1334" s="6" t="s">
        <v>55</v>
      </c>
      <c r="H1334" s="6" t="s">
        <v>56</v>
      </c>
      <c r="I1334" s="6" t="s">
        <v>110</v>
      </c>
      <c r="J1334" s="6" t="b">
        <v>0</v>
      </c>
      <c r="K1334" s="6" t="s">
        <v>27</v>
      </c>
      <c r="L1334" s="6">
        <v>40</v>
      </c>
      <c r="M1334" s="6">
        <v>165</v>
      </c>
      <c r="N1334" s="8" t="str">
        <f t="shared" si="140"/>
        <v>0</v>
      </c>
      <c r="O1334" s="8">
        <f t="shared" si="141"/>
        <v>2020</v>
      </c>
      <c r="P1334" s="8">
        <f t="shared" si="142"/>
        <v>2020</v>
      </c>
      <c r="Q1334" s="8">
        <f t="shared" si="143"/>
        <v>0</v>
      </c>
      <c r="R1334" s="9">
        <f t="shared" si="144"/>
        <v>2020</v>
      </c>
      <c r="S1334" s="10">
        <f t="shared" si="145"/>
        <v>168.33333333333334</v>
      </c>
      <c r="T1334">
        <v>165</v>
      </c>
      <c r="U1334">
        <f t="shared" si="146"/>
        <v>0</v>
      </c>
    </row>
    <row r="1335" spans="1:21" ht="14.25" customHeight="1" x14ac:dyDescent="0.35">
      <c r="A1335" s="6" t="s">
        <v>3798</v>
      </c>
      <c r="B1335" s="6" t="s">
        <v>3799</v>
      </c>
      <c r="C1335" s="6" t="s">
        <v>3800</v>
      </c>
      <c r="D1335" s="6" t="s">
        <v>44</v>
      </c>
      <c r="E1335" s="7" t="s">
        <v>23</v>
      </c>
      <c r="F1335" s="6">
        <v>85048</v>
      </c>
      <c r="G1335" s="6" t="s">
        <v>24</v>
      </c>
      <c r="H1335" s="6" t="s">
        <v>161</v>
      </c>
      <c r="I1335" s="6" t="s">
        <v>26</v>
      </c>
      <c r="J1335" s="6" t="b">
        <v>0</v>
      </c>
      <c r="K1335" s="6" t="s">
        <v>27</v>
      </c>
      <c r="L1335" s="6">
        <v>40</v>
      </c>
      <c r="M1335" s="6">
        <v>165</v>
      </c>
      <c r="N1335" s="8" t="str">
        <f t="shared" si="140"/>
        <v>0</v>
      </c>
      <c r="O1335" s="8">
        <f t="shared" si="141"/>
        <v>2020</v>
      </c>
      <c r="P1335" s="8">
        <f t="shared" si="142"/>
        <v>2020</v>
      </c>
      <c r="Q1335" s="8">
        <f t="shared" si="143"/>
        <v>0</v>
      </c>
      <c r="R1335" s="9">
        <f t="shared" si="144"/>
        <v>2020</v>
      </c>
      <c r="S1335" s="10">
        <f t="shared" si="145"/>
        <v>168.33333333333334</v>
      </c>
      <c r="T1335">
        <v>165</v>
      </c>
      <c r="U1335">
        <f t="shared" si="146"/>
        <v>0</v>
      </c>
    </row>
    <row r="1336" spans="1:21" ht="14.25" customHeight="1" x14ac:dyDescent="0.35">
      <c r="A1336" s="6" t="s">
        <v>3801</v>
      </c>
      <c r="B1336" s="6" t="s">
        <v>3802</v>
      </c>
      <c r="C1336" s="6" t="s">
        <v>3803</v>
      </c>
      <c r="D1336" s="6" t="s">
        <v>44</v>
      </c>
      <c r="E1336" s="7" t="s">
        <v>23</v>
      </c>
      <c r="F1336" s="6">
        <v>85048</v>
      </c>
      <c r="G1336" s="6" t="s">
        <v>24</v>
      </c>
      <c r="H1336" s="6" t="s">
        <v>161</v>
      </c>
      <c r="I1336" s="6" t="s">
        <v>26</v>
      </c>
      <c r="J1336" s="6" t="b">
        <v>0</v>
      </c>
      <c r="K1336" s="6" t="s">
        <v>27</v>
      </c>
      <c r="L1336" s="6">
        <v>40</v>
      </c>
      <c r="M1336" s="6">
        <v>165</v>
      </c>
      <c r="N1336" s="8" t="str">
        <f t="shared" si="140"/>
        <v>0</v>
      </c>
      <c r="O1336" s="8">
        <f t="shared" si="141"/>
        <v>2020</v>
      </c>
      <c r="P1336" s="8">
        <f t="shared" si="142"/>
        <v>2020</v>
      </c>
      <c r="Q1336" s="8">
        <f t="shared" si="143"/>
        <v>0</v>
      </c>
      <c r="R1336" s="9">
        <f t="shared" si="144"/>
        <v>2020</v>
      </c>
      <c r="S1336" s="10">
        <f t="shared" si="145"/>
        <v>168.33333333333334</v>
      </c>
      <c r="T1336">
        <v>165</v>
      </c>
      <c r="U1336">
        <f t="shared" si="146"/>
        <v>0</v>
      </c>
    </row>
    <row r="1337" spans="1:21" ht="14.25" customHeight="1" x14ac:dyDescent="0.35">
      <c r="A1337" s="6" t="s">
        <v>3804</v>
      </c>
      <c r="B1337" s="6" t="s">
        <v>3805</v>
      </c>
      <c r="C1337" s="6" t="s">
        <v>3806</v>
      </c>
      <c r="D1337" s="6" t="s">
        <v>44</v>
      </c>
      <c r="E1337" s="7" t="s">
        <v>23</v>
      </c>
      <c r="F1337" s="6">
        <v>85048</v>
      </c>
      <c r="G1337" s="6" t="s">
        <v>24</v>
      </c>
      <c r="H1337" s="6" t="s">
        <v>161</v>
      </c>
      <c r="I1337" s="6" t="s">
        <v>26</v>
      </c>
      <c r="J1337" s="6" t="b">
        <v>1</v>
      </c>
      <c r="K1337" s="6" t="s">
        <v>27</v>
      </c>
      <c r="L1337" s="6">
        <v>40</v>
      </c>
      <c r="M1337" s="6">
        <v>165</v>
      </c>
      <c r="N1337" s="8">
        <f t="shared" si="140"/>
        <v>76.679999999999993</v>
      </c>
      <c r="O1337" s="8">
        <f t="shared" si="141"/>
        <v>2096.6799999999998</v>
      </c>
      <c r="P1337" s="8">
        <f t="shared" si="142"/>
        <v>2096.6799999999998</v>
      </c>
      <c r="Q1337" s="8">
        <f t="shared" si="143"/>
        <v>0</v>
      </c>
      <c r="R1337" s="9">
        <f t="shared" si="144"/>
        <v>2096.6799999999998</v>
      </c>
      <c r="S1337" s="10">
        <f t="shared" si="145"/>
        <v>174.72333333333333</v>
      </c>
      <c r="T1337">
        <v>165</v>
      </c>
      <c r="U1337">
        <f t="shared" si="146"/>
        <v>0</v>
      </c>
    </row>
    <row r="1338" spans="1:21" ht="14.25" customHeight="1" x14ac:dyDescent="0.35">
      <c r="A1338" s="6" t="s">
        <v>3810</v>
      </c>
      <c r="B1338" s="6" t="s">
        <v>3811</v>
      </c>
      <c r="C1338" s="6" t="s">
        <v>3812</v>
      </c>
      <c r="D1338" s="6" t="s">
        <v>44</v>
      </c>
      <c r="E1338" s="7" t="s">
        <v>23</v>
      </c>
      <c r="F1338" s="6">
        <v>85085</v>
      </c>
      <c r="G1338" s="6" t="s">
        <v>32</v>
      </c>
      <c r="H1338" s="6" t="s">
        <v>50</v>
      </c>
      <c r="I1338" s="6" t="s">
        <v>40</v>
      </c>
      <c r="J1338" s="6" t="b">
        <v>0</v>
      </c>
      <c r="K1338" s="6" t="s">
        <v>27</v>
      </c>
      <c r="L1338" s="6">
        <v>41.2</v>
      </c>
      <c r="M1338" s="6">
        <v>165</v>
      </c>
      <c r="N1338" s="8" t="str">
        <f t="shared" si="140"/>
        <v>0</v>
      </c>
      <c r="O1338" s="8">
        <f t="shared" si="141"/>
        <v>2021.2</v>
      </c>
      <c r="P1338" s="8">
        <f t="shared" si="142"/>
        <v>2021.2</v>
      </c>
      <c r="Q1338" s="8">
        <f t="shared" si="143"/>
        <v>0</v>
      </c>
      <c r="R1338" s="9">
        <f t="shared" si="144"/>
        <v>2021.2</v>
      </c>
      <c r="S1338" s="10">
        <f t="shared" si="145"/>
        <v>168.43333333333334</v>
      </c>
      <c r="T1338">
        <v>165</v>
      </c>
      <c r="U1338">
        <f t="shared" si="146"/>
        <v>0</v>
      </c>
    </row>
    <row r="1339" spans="1:21" ht="14.25" customHeight="1" x14ac:dyDescent="0.35">
      <c r="A1339" s="6" t="s">
        <v>3813</v>
      </c>
      <c r="B1339" s="6" t="s">
        <v>2614</v>
      </c>
      <c r="C1339" s="6" t="s">
        <v>3814</v>
      </c>
      <c r="D1339" s="6" t="s">
        <v>44</v>
      </c>
      <c r="E1339" s="7" t="s">
        <v>23</v>
      </c>
      <c r="F1339" s="6">
        <v>85018</v>
      </c>
      <c r="G1339" s="6" t="s">
        <v>49</v>
      </c>
      <c r="H1339" s="6" t="s">
        <v>202</v>
      </c>
      <c r="J1339" s="6" t="b">
        <v>0</v>
      </c>
      <c r="K1339" s="6" t="s">
        <v>27</v>
      </c>
      <c r="L1339" s="6">
        <v>41.2</v>
      </c>
      <c r="M1339" s="6">
        <v>165</v>
      </c>
      <c r="N1339" s="8" t="str">
        <f t="shared" si="140"/>
        <v>0</v>
      </c>
      <c r="O1339" s="8">
        <f t="shared" si="141"/>
        <v>2021.2</v>
      </c>
      <c r="P1339" s="8">
        <f t="shared" si="142"/>
        <v>2021.2</v>
      </c>
      <c r="Q1339" s="8">
        <f t="shared" si="143"/>
        <v>0</v>
      </c>
      <c r="R1339" s="9">
        <f t="shared" si="144"/>
        <v>2021.2</v>
      </c>
      <c r="S1339" s="10">
        <f t="shared" si="145"/>
        <v>168.43333333333334</v>
      </c>
      <c r="T1339">
        <v>165</v>
      </c>
      <c r="U1339">
        <f t="shared" si="146"/>
        <v>0</v>
      </c>
    </row>
    <row r="1340" spans="1:21" ht="14.25" customHeight="1" x14ac:dyDescent="0.35">
      <c r="A1340" s="6" t="s">
        <v>3815</v>
      </c>
      <c r="B1340" s="6" t="s">
        <v>3816</v>
      </c>
      <c r="C1340" s="6" t="s">
        <v>3817</v>
      </c>
      <c r="D1340" s="6" t="s">
        <v>77</v>
      </c>
      <c r="E1340" s="7" t="s">
        <v>23</v>
      </c>
      <c r="F1340" s="6">
        <v>85310</v>
      </c>
      <c r="G1340" s="6" t="s">
        <v>78</v>
      </c>
      <c r="H1340" s="6" t="s">
        <v>268</v>
      </c>
      <c r="I1340" s="6" t="s">
        <v>110</v>
      </c>
      <c r="J1340" s="6" t="b">
        <v>0</v>
      </c>
      <c r="K1340" s="6" t="s">
        <v>27</v>
      </c>
      <c r="L1340" s="6">
        <v>41.2</v>
      </c>
      <c r="M1340" s="6">
        <v>165</v>
      </c>
      <c r="N1340" s="8" t="str">
        <f t="shared" si="140"/>
        <v>0</v>
      </c>
      <c r="O1340" s="8">
        <f t="shared" si="141"/>
        <v>2021.2</v>
      </c>
      <c r="P1340" s="8">
        <f t="shared" si="142"/>
        <v>2021.2</v>
      </c>
      <c r="Q1340" s="8">
        <f t="shared" si="143"/>
        <v>0</v>
      </c>
      <c r="R1340" s="9">
        <f t="shared" si="144"/>
        <v>2021.2</v>
      </c>
      <c r="S1340" s="10">
        <f t="shared" si="145"/>
        <v>168.43333333333334</v>
      </c>
      <c r="T1340">
        <v>165</v>
      </c>
      <c r="U1340">
        <f t="shared" si="146"/>
        <v>0</v>
      </c>
    </row>
    <row r="1341" spans="1:21" ht="14.25" customHeight="1" x14ac:dyDescent="0.35">
      <c r="A1341" s="6" t="s">
        <v>3818</v>
      </c>
      <c r="B1341" s="6" t="s">
        <v>3819</v>
      </c>
      <c r="C1341" s="6" t="s">
        <v>3820</v>
      </c>
      <c r="D1341" s="6" t="s">
        <v>77</v>
      </c>
      <c r="E1341" s="7" t="s">
        <v>23</v>
      </c>
      <c r="F1341" s="6">
        <v>85304</v>
      </c>
      <c r="G1341" s="6" t="s">
        <v>72</v>
      </c>
      <c r="H1341" s="6" t="s">
        <v>93</v>
      </c>
      <c r="J1341" s="6" t="b">
        <v>0</v>
      </c>
      <c r="K1341" s="6" t="s">
        <v>27</v>
      </c>
      <c r="L1341" s="6">
        <v>41.2</v>
      </c>
      <c r="M1341" s="6">
        <v>165</v>
      </c>
      <c r="N1341" s="8" t="str">
        <f t="shared" si="140"/>
        <v>0</v>
      </c>
      <c r="O1341" s="8">
        <f t="shared" si="141"/>
        <v>2021.2</v>
      </c>
      <c r="P1341" s="8">
        <f t="shared" si="142"/>
        <v>2021.2</v>
      </c>
      <c r="Q1341" s="8">
        <f t="shared" si="143"/>
        <v>0</v>
      </c>
      <c r="R1341" s="9">
        <f t="shared" si="144"/>
        <v>2021.2</v>
      </c>
      <c r="S1341" s="10">
        <f t="shared" si="145"/>
        <v>168.43333333333334</v>
      </c>
      <c r="T1341">
        <v>165</v>
      </c>
      <c r="U1341">
        <f t="shared" si="146"/>
        <v>0</v>
      </c>
    </row>
    <row r="1342" spans="1:21" ht="14.25" customHeight="1" x14ac:dyDescent="0.35">
      <c r="A1342" s="6" t="s">
        <v>3821</v>
      </c>
      <c r="B1342" s="6" t="s">
        <v>3822</v>
      </c>
      <c r="C1342" s="6" t="s">
        <v>3823</v>
      </c>
      <c r="D1342" s="6" t="s">
        <v>77</v>
      </c>
      <c r="E1342" s="7" t="s">
        <v>23</v>
      </c>
      <c r="F1342" s="6">
        <v>85304</v>
      </c>
      <c r="G1342" s="6" t="s">
        <v>72</v>
      </c>
      <c r="H1342" s="6" t="s">
        <v>93</v>
      </c>
      <c r="I1342" s="6" t="s">
        <v>26</v>
      </c>
      <c r="J1342" s="6" t="b">
        <v>0</v>
      </c>
      <c r="K1342" s="6" t="s">
        <v>27</v>
      </c>
      <c r="L1342" s="6">
        <v>41.2</v>
      </c>
      <c r="M1342" s="6">
        <v>165</v>
      </c>
      <c r="N1342" s="8" t="str">
        <f t="shared" si="140"/>
        <v>0</v>
      </c>
      <c r="O1342" s="8">
        <f t="shared" si="141"/>
        <v>2021.2</v>
      </c>
      <c r="P1342" s="8">
        <f t="shared" si="142"/>
        <v>2021.2</v>
      </c>
      <c r="Q1342" s="8">
        <f t="shared" si="143"/>
        <v>0</v>
      </c>
      <c r="R1342" s="9">
        <f t="shared" si="144"/>
        <v>2021.2</v>
      </c>
      <c r="S1342" s="10">
        <f t="shared" si="145"/>
        <v>168.43333333333334</v>
      </c>
      <c r="T1342">
        <v>165</v>
      </c>
      <c r="U1342">
        <f t="shared" si="146"/>
        <v>0</v>
      </c>
    </row>
    <row r="1343" spans="1:21" ht="14.25" customHeight="1" x14ac:dyDescent="0.35">
      <c r="A1343" s="6" t="s">
        <v>3824</v>
      </c>
      <c r="B1343" s="6" t="s">
        <v>3825</v>
      </c>
      <c r="C1343" s="6" t="s">
        <v>3826</v>
      </c>
      <c r="D1343" s="6" t="s">
        <v>248</v>
      </c>
      <c r="E1343" s="7" t="s">
        <v>23</v>
      </c>
      <c r="F1343" s="6">
        <v>85339</v>
      </c>
      <c r="G1343" s="6" t="s">
        <v>213</v>
      </c>
      <c r="H1343" s="6" t="s">
        <v>39</v>
      </c>
      <c r="I1343" s="6" t="s">
        <v>26</v>
      </c>
      <c r="J1343" s="6" t="b">
        <v>0</v>
      </c>
      <c r="K1343" s="6" t="s">
        <v>27</v>
      </c>
      <c r="L1343" s="6">
        <v>41.2</v>
      </c>
      <c r="M1343" s="6">
        <v>165</v>
      </c>
      <c r="N1343" s="8" t="str">
        <f t="shared" si="140"/>
        <v>0</v>
      </c>
      <c r="O1343" s="8">
        <f t="shared" si="141"/>
        <v>2021.2</v>
      </c>
      <c r="P1343" s="8">
        <f t="shared" si="142"/>
        <v>2021.2</v>
      </c>
      <c r="Q1343" s="8">
        <f t="shared" si="143"/>
        <v>0</v>
      </c>
      <c r="R1343" s="9">
        <f t="shared" si="144"/>
        <v>2021.2</v>
      </c>
      <c r="S1343" s="10">
        <f t="shared" si="145"/>
        <v>168.43333333333334</v>
      </c>
      <c r="T1343">
        <v>165</v>
      </c>
      <c r="U1343">
        <f t="shared" si="146"/>
        <v>0</v>
      </c>
    </row>
    <row r="1344" spans="1:21" ht="14.25" customHeight="1" x14ac:dyDescent="0.35">
      <c r="A1344" s="6" t="s">
        <v>4053</v>
      </c>
      <c r="B1344" s="6" t="s">
        <v>4054</v>
      </c>
      <c r="C1344" s="6" t="s">
        <v>4055</v>
      </c>
      <c r="D1344" s="6" t="s">
        <v>31</v>
      </c>
      <c r="E1344" s="7" t="s">
        <v>23</v>
      </c>
      <c r="F1344" s="6">
        <v>85254</v>
      </c>
      <c r="G1344" s="6" t="s">
        <v>45</v>
      </c>
      <c r="H1344" s="6" t="s">
        <v>169</v>
      </c>
      <c r="I1344" s="6" t="s">
        <v>26</v>
      </c>
      <c r="J1344" s="6" t="b">
        <v>0</v>
      </c>
      <c r="K1344" s="6" t="s">
        <v>89</v>
      </c>
      <c r="L1344" s="6">
        <v>0</v>
      </c>
      <c r="M1344" s="6">
        <v>165</v>
      </c>
      <c r="N1344" s="8" t="str">
        <f t="shared" si="140"/>
        <v>0</v>
      </c>
      <c r="O1344" s="8">
        <f t="shared" si="141"/>
        <v>1980</v>
      </c>
      <c r="P1344" s="8">
        <f t="shared" si="142"/>
        <v>1920.6</v>
      </c>
      <c r="Q1344" s="8">
        <f t="shared" si="143"/>
        <v>-59.400000000000091</v>
      </c>
      <c r="R1344" s="9">
        <f t="shared" si="144"/>
        <v>2039.4</v>
      </c>
      <c r="S1344" s="10">
        <f t="shared" si="145"/>
        <v>169.95000000000002</v>
      </c>
      <c r="T1344">
        <v>165</v>
      </c>
      <c r="U1344">
        <f t="shared" si="146"/>
        <v>0</v>
      </c>
    </row>
    <row r="1345" spans="1:21" ht="14.25" customHeight="1" x14ac:dyDescent="0.35">
      <c r="A1345" s="6" t="s">
        <v>4056</v>
      </c>
      <c r="B1345" s="6" t="s">
        <v>4057</v>
      </c>
      <c r="C1345" s="6" t="s">
        <v>4058</v>
      </c>
      <c r="D1345" s="6" t="s">
        <v>44</v>
      </c>
      <c r="E1345" s="7" t="s">
        <v>23</v>
      </c>
      <c r="F1345" s="6">
        <v>85048</v>
      </c>
      <c r="G1345" s="6" t="s">
        <v>24</v>
      </c>
      <c r="H1345" s="6" t="s">
        <v>161</v>
      </c>
      <c r="I1345" s="6" t="s">
        <v>26</v>
      </c>
      <c r="J1345" s="6" t="b">
        <v>0</v>
      </c>
      <c r="K1345" s="6" t="s">
        <v>94</v>
      </c>
      <c r="L1345" s="6">
        <v>0</v>
      </c>
      <c r="M1345" s="6">
        <v>165</v>
      </c>
      <c r="N1345" s="8" t="str">
        <f t="shared" si="140"/>
        <v>0</v>
      </c>
      <c r="O1345" s="8">
        <f t="shared" si="141"/>
        <v>1980</v>
      </c>
      <c r="P1345" s="8">
        <f t="shared" si="142"/>
        <v>1920.6</v>
      </c>
      <c r="Q1345" s="8">
        <f t="shared" si="143"/>
        <v>-59.400000000000091</v>
      </c>
      <c r="R1345" s="9">
        <f t="shared" si="144"/>
        <v>2039.4</v>
      </c>
      <c r="S1345" s="10">
        <f t="shared" si="145"/>
        <v>169.95000000000002</v>
      </c>
      <c r="T1345">
        <v>165</v>
      </c>
      <c r="U1345">
        <f t="shared" si="146"/>
        <v>0</v>
      </c>
    </row>
    <row r="1346" spans="1:21" ht="14.25" customHeight="1" x14ac:dyDescent="0.35">
      <c r="A1346" s="6" t="s">
        <v>4059</v>
      </c>
      <c r="B1346" s="6" t="s">
        <v>4060</v>
      </c>
      <c r="C1346" s="6" t="s">
        <v>4061</v>
      </c>
      <c r="D1346" s="6" t="s">
        <v>44</v>
      </c>
      <c r="E1346" s="7" t="s">
        <v>23</v>
      </c>
      <c r="F1346" s="6">
        <v>85032</v>
      </c>
      <c r="G1346" s="6" t="s">
        <v>45</v>
      </c>
      <c r="H1346" s="6" t="s">
        <v>169</v>
      </c>
      <c r="I1346" s="6" t="s">
        <v>26</v>
      </c>
      <c r="J1346" s="6" t="b">
        <v>0</v>
      </c>
      <c r="K1346" s="6" t="s">
        <v>94</v>
      </c>
      <c r="L1346" s="6">
        <v>0</v>
      </c>
      <c r="M1346" s="6">
        <v>165</v>
      </c>
      <c r="N1346" s="8" t="str">
        <f t="shared" ref="N1346:N1409" si="147">IF(J1346=TRUE, 6.39*12, "0")</f>
        <v>0</v>
      </c>
      <c r="O1346" s="8">
        <f t="shared" ref="O1346:O1409" si="148">L1346+(M1346*12)+N1346</f>
        <v>1980</v>
      </c>
      <c r="P1346" s="8">
        <f t="shared" ref="P1346:P1409" si="149">IF(OR(K1346="Check",K1346="ACH"), O1346*0.97, O1346)</f>
        <v>1920.6</v>
      </c>
      <c r="Q1346" s="8">
        <f t="shared" ref="Q1346:Q1409" si="150">P1346-O1346</f>
        <v>-59.400000000000091</v>
      </c>
      <c r="R1346" s="9">
        <f t="shared" ref="R1346:R1409" si="151">O1346-Q1346</f>
        <v>2039.4</v>
      </c>
      <c r="S1346" s="10">
        <f t="shared" ref="S1346:S1409" si="152">R1346/12</f>
        <v>169.95000000000002</v>
      </c>
      <c r="T1346">
        <v>165</v>
      </c>
      <c r="U1346">
        <f t="shared" si="146"/>
        <v>0</v>
      </c>
    </row>
    <row r="1347" spans="1:21" ht="14.25" customHeight="1" x14ac:dyDescent="0.35">
      <c r="A1347" s="6" t="s">
        <v>4062</v>
      </c>
      <c r="B1347" s="6" t="s">
        <v>4063</v>
      </c>
      <c r="C1347" s="6" t="s">
        <v>4064</v>
      </c>
      <c r="D1347" s="6" t="s">
        <v>165</v>
      </c>
      <c r="E1347" s="7" t="s">
        <v>23</v>
      </c>
      <c r="F1347" s="6">
        <v>85295</v>
      </c>
      <c r="G1347" s="6" t="s">
        <v>125</v>
      </c>
      <c r="H1347" s="6" t="s">
        <v>225</v>
      </c>
      <c r="J1347" s="6" t="b">
        <v>0</v>
      </c>
      <c r="K1347" s="6" t="s">
        <v>94</v>
      </c>
      <c r="L1347" s="6">
        <v>0</v>
      </c>
      <c r="M1347" s="6">
        <v>165</v>
      </c>
      <c r="N1347" s="8" t="str">
        <f t="shared" si="147"/>
        <v>0</v>
      </c>
      <c r="O1347" s="8">
        <f t="shared" si="148"/>
        <v>1980</v>
      </c>
      <c r="P1347" s="8">
        <f t="shared" si="149"/>
        <v>1920.6</v>
      </c>
      <c r="Q1347" s="8">
        <f t="shared" si="150"/>
        <v>-59.400000000000091</v>
      </c>
      <c r="R1347" s="9">
        <f t="shared" si="151"/>
        <v>2039.4</v>
      </c>
      <c r="S1347" s="10">
        <f t="shared" si="152"/>
        <v>169.95000000000002</v>
      </c>
      <c r="T1347">
        <v>165</v>
      </c>
      <c r="U1347">
        <f t="shared" si="146"/>
        <v>0</v>
      </c>
    </row>
    <row r="1348" spans="1:21" ht="14.25" customHeight="1" x14ac:dyDescent="0.35">
      <c r="A1348" s="6" t="s">
        <v>4065</v>
      </c>
      <c r="B1348" s="6" t="s">
        <v>4066</v>
      </c>
      <c r="C1348" s="6" t="s">
        <v>4067</v>
      </c>
      <c r="D1348" s="6" t="s">
        <v>37</v>
      </c>
      <c r="E1348" s="7" t="s">
        <v>23</v>
      </c>
      <c r="F1348" s="6">
        <v>85392</v>
      </c>
      <c r="G1348" s="6" t="s">
        <v>38</v>
      </c>
      <c r="H1348" s="6" t="s">
        <v>378</v>
      </c>
      <c r="I1348" s="6" t="s">
        <v>61</v>
      </c>
      <c r="J1348" s="6" t="b">
        <v>0</v>
      </c>
      <c r="K1348" s="6" t="s">
        <v>94</v>
      </c>
      <c r="L1348" s="6">
        <v>0</v>
      </c>
      <c r="M1348" s="6">
        <v>165</v>
      </c>
      <c r="N1348" s="8" t="str">
        <f t="shared" si="147"/>
        <v>0</v>
      </c>
      <c r="O1348" s="8">
        <f t="shared" si="148"/>
        <v>1980</v>
      </c>
      <c r="P1348" s="8">
        <f t="shared" si="149"/>
        <v>1920.6</v>
      </c>
      <c r="Q1348" s="8">
        <f t="shared" si="150"/>
        <v>-59.400000000000091</v>
      </c>
      <c r="R1348" s="9">
        <f t="shared" si="151"/>
        <v>2039.4</v>
      </c>
      <c r="S1348" s="10">
        <f t="shared" si="152"/>
        <v>169.95000000000002</v>
      </c>
      <c r="T1348">
        <v>165</v>
      </c>
      <c r="U1348">
        <f t="shared" ref="U1348:U1411" si="153">SUM(T1348-M1348)</f>
        <v>0</v>
      </c>
    </row>
    <row r="1349" spans="1:21" ht="14.25" customHeight="1" x14ac:dyDescent="0.35">
      <c r="A1349" s="6" t="s">
        <v>4068</v>
      </c>
      <c r="B1349" s="6" t="s">
        <v>4069</v>
      </c>
      <c r="C1349" s="6" t="s">
        <v>4070</v>
      </c>
      <c r="D1349" s="6" t="s">
        <v>44</v>
      </c>
      <c r="E1349" s="7" t="s">
        <v>23</v>
      </c>
      <c r="F1349" s="6">
        <v>85051</v>
      </c>
      <c r="G1349" s="6" t="s">
        <v>72</v>
      </c>
      <c r="H1349" s="6" t="s">
        <v>93</v>
      </c>
      <c r="I1349" s="6" t="s">
        <v>26</v>
      </c>
      <c r="J1349" s="6" t="b">
        <v>0</v>
      </c>
      <c r="K1349" s="6" t="s">
        <v>89</v>
      </c>
      <c r="L1349" s="6">
        <v>0</v>
      </c>
      <c r="M1349" s="6">
        <v>165</v>
      </c>
      <c r="N1349" s="8" t="str">
        <f t="shared" si="147"/>
        <v>0</v>
      </c>
      <c r="O1349" s="8">
        <f t="shared" si="148"/>
        <v>1980</v>
      </c>
      <c r="P1349" s="8">
        <f t="shared" si="149"/>
        <v>1920.6</v>
      </c>
      <c r="Q1349" s="8">
        <f t="shared" si="150"/>
        <v>-59.400000000000091</v>
      </c>
      <c r="R1349" s="9">
        <f t="shared" si="151"/>
        <v>2039.4</v>
      </c>
      <c r="S1349" s="10">
        <f t="shared" si="152"/>
        <v>169.95000000000002</v>
      </c>
      <c r="T1349">
        <v>165</v>
      </c>
      <c r="U1349">
        <f t="shared" si="153"/>
        <v>0</v>
      </c>
    </row>
    <row r="1350" spans="1:21" ht="14.25" customHeight="1" x14ac:dyDescent="0.35">
      <c r="A1350" s="6" t="s">
        <v>4071</v>
      </c>
      <c r="B1350" s="6" t="s">
        <v>4072</v>
      </c>
      <c r="C1350" s="6" t="s">
        <v>4073</v>
      </c>
      <c r="D1350" s="6" t="s">
        <v>98</v>
      </c>
      <c r="E1350" s="7" t="s">
        <v>23</v>
      </c>
      <c r="F1350" s="6">
        <v>85122</v>
      </c>
      <c r="G1350" s="6" t="s">
        <v>87</v>
      </c>
      <c r="H1350" s="6" t="s">
        <v>99</v>
      </c>
      <c r="I1350" s="6" t="s">
        <v>110</v>
      </c>
      <c r="J1350" s="6" t="b">
        <v>0</v>
      </c>
      <c r="K1350" s="6" t="s">
        <v>89</v>
      </c>
      <c r="L1350" s="6">
        <v>0</v>
      </c>
      <c r="M1350" s="6">
        <v>165</v>
      </c>
      <c r="N1350" s="8" t="str">
        <f t="shared" si="147"/>
        <v>0</v>
      </c>
      <c r="O1350" s="8">
        <f t="shared" si="148"/>
        <v>1980</v>
      </c>
      <c r="P1350" s="8">
        <f t="shared" si="149"/>
        <v>1920.6</v>
      </c>
      <c r="Q1350" s="8">
        <f t="shared" si="150"/>
        <v>-59.400000000000091</v>
      </c>
      <c r="R1350" s="9">
        <f t="shared" si="151"/>
        <v>2039.4</v>
      </c>
      <c r="S1350" s="10">
        <f t="shared" si="152"/>
        <v>169.95000000000002</v>
      </c>
      <c r="T1350">
        <v>165</v>
      </c>
      <c r="U1350">
        <f t="shared" si="153"/>
        <v>0</v>
      </c>
    </row>
    <row r="1351" spans="1:21" ht="14.25" customHeight="1" x14ac:dyDescent="0.35">
      <c r="A1351" s="6" t="s">
        <v>4074</v>
      </c>
      <c r="B1351" s="6" t="s">
        <v>4075</v>
      </c>
      <c r="C1351" s="6" t="s">
        <v>4076</v>
      </c>
      <c r="D1351" s="6" t="s">
        <v>44</v>
      </c>
      <c r="E1351" s="7" t="s">
        <v>23</v>
      </c>
      <c r="F1351" s="6">
        <v>85050</v>
      </c>
      <c r="G1351" s="6" t="s">
        <v>32</v>
      </c>
      <c r="H1351" s="6" t="s">
        <v>50</v>
      </c>
      <c r="I1351" s="6" t="s">
        <v>40</v>
      </c>
      <c r="J1351" s="6" t="b">
        <v>0</v>
      </c>
      <c r="K1351" s="6" t="s">
        <v>89</v>
      </c>
      <c r="L1351" s="6">
        <v>0</v>
      </c>
      <c r="M1351" s="6">
        <v>165</v>
      </c>
      <c r="N1351" s="8" t="str">
        <f t="shared" si="147"/>
        <v>0</v>
      </c>
      <c r="O1351" s="8">
        <f t="shared" si="148"/>
        <v>1980</v>
      </c>
      <c r="P1351" s="8">
        <f t="shared" si="149"/>
        <v>1920.6</v>
      </c>
      <c r="Q1351" s="8">
        <f t="shared" si="150"/>
        <v>-59.400000000000091</v>
      </c>
      <c r="R1351" s="9">
        <f t="shared" si="151"/>
        <v>2039.4</v>
      </c>
      <c r="S1351" s="10">
        <f t="shared" si="152"/>
        <v>169.95000000000002</v>
      </c>
      <c r="T1351">
        <v>165</v>
      </c>
      <c r="U1351">
        <f t="shared" si="153"/>
        <v>0</v>
      </c>
    </row>
    <row r="1352" spans="1:21" ht="14.25" customHeight="1" x14ac:dyDescent="0.35">
      <c r="A1352" s="6" t="s">
        <v>4077</v>
      </c>
      <c r="B1352" s="6" t="s">
        <v>4078</v>
      </c>
      <c r="C1352" s="6" t="s">
        <v>4079</v>
      </c>
      <c r="D1352" s="6" t="s">
        <v>65</v>
      </c>
      <c r="E1352" s="7" t="s">
        <v>23</v>
      </c>
      <c r="F1352" s="6">
        <v>85210</v>
      </c>
      <c r="G1352" s="6" t="s">
        <v>24</v>
      </c>
      <c r="H1352" s="6" t="s">
        <v>365</v>
      </c>
      <c r="I1352" s="6" t="s">
        <v>26</v>
      </c>
      <c r="J1352" s="6" t="b">
        <v>0</v>
      </c>
      <c r="K1352" s="6" t="s">
        <v>94</v>
      </c>
      <c r="L1352" s="6">
        <v>0</v>
      </c>
      <c r="M1352" s="6">
        <v>165</v>
      </c>
      <c r="N1352" s="8" t="str">
        <f t="shared" si="147"/>
        <v>0</v>
      </c>
      <c r="O1352" s="8">
        <f t="shared" si="148"/>
        <v>1980</v>
      </c>
      <c r="P1352" s="8">
        <f t="shared" si="149"/>
        <v>1920.6</v>
      </c>
      <c r="Q1352" s="8">
        <f t="shared" si="150"/>
        <v>-59.400000000000091</v>
      </c>
      <c r="R1352" s="9">
        <f t="shared" si="151"/>
        <v>2039.4</v>
      </c>
      <c r="S1352" s="10">
        <f t="shared" si="152"/>
        <v>169.95000000000002</v>
      </c>
      <c r="T1352">
        <v>165</v>
      </c>
      <c r="U1352">
        <f t="shared" si="153"/>
        <v>0</v>
      </c>
    </row>
    <row r="1353" spans="1:21" ht="14.25" customHeight="1" x14ac:dyDescent="0.35">
      <c r="A1353" s="6" t="s">
        <v>4080</v>
      </c>
      <c r="B1353" s="6" t="s">
        <v>4081</v>
      </c>
      <c r="C1353" s="6" t="s">
        <v>4082</v>
      </c>
      <c r="D1353" s="6" t="s">
        <v>44</v>
      </c>
      <c r="E1353" s="7" t="s">
        <v>23</v>
      </c>
      <c r="F1353" s="6">
        <v>85028</v>
      </c>
      <c r="G1353" s="6" t="s">
        <v>173</v>
      </c>
      <c r="H1353" s="6" t="s">
        <v>79</v>
      </c>
      <c r="I1353" s="6" t="s">
        <v>26</v>
      </c>
      <c r="J1353" s="6" t="b">
        <v>0</v>
      </c>
      <c r="K1353" s="6" t="s">
        <v>94</v>
      </c>
      <c r="L1353" s="6">
        <v>0</v>
      </c>
      <c r="M1353" s="6">
        <v>165</v>
      </c>
      <c r="N1353" s="8" t="str">
        <f t="shared" si="147"/>
        <v>0</v>
      </c>
      <c r="O1353" s="8">
        <f t="shared" si="148"/>
        <v>1980</v>
      </c>
      <c r="P1353" s="8">
        <f t="shared" si="149"/>
        <v>1920.6</v>
      </c>
      <c r="Q1353" s="8">
        <f t="shared" si="150"/>
        <v>-59.400000000000091</v>
      </c>
      <c r="R1353" s="9">
        <f t="shared" si="151"/>
        <v>2039.4</v>
      </c>
      <c r="S1353" s="10">
        <f t="shared" si="152"/>
        <v>169.95000000000002</v>
      </c>
      <c r="T1353">
        <v>165</v>
      </c>
      <c r="U1353">
        <f t="shared" si="153"/>
        <v>0</v>
      </c>
    </row>
    <row r="1354" spans="1:21" ht="14.25" customHeight="1" x14ac:dyDescent="0.35">
      <c r="A1354" s="6" t="s">
        <v>4083</v>
      </c>
      <c r="B1354" s="6" t="s">
        <v>4084</v>
      </c>
      <c r="C1354" s="6" t="s">
        <v>4085</v>
      </c>
      <c r="D1354" s="6" t="s">
        <v>22</v>
      </c>
      <c r="E1354" s="7" t="s">
        <v>23</v>
      </c>
      <c r="F1354" s="6">
        <v>85225</v>
      </c>
      <c r="G1354" s="6" t="s">
        <v>24</v>
      </c>
      <c r="H1354" s="6" t="s">
        <v>25</v>
      </c>
      <c r="J1354" s="6" t="b">
        <v>0</v>
      </c>
      <c r="K1354" s="6" t="s">
        <v>94</v>
      </c>
      <c r="L1354" s="6">
        <v>0</v>
      </c>
      <c r="M1354" s="6">
        <v>165</v>
      </c>
      <c r="N1354" s="8" t="str">
        <f t="shared" si="147"/>
        <v>0</v>
      </c>
      <c r="O1354" s="8">
        <f t="shared" si="148"/>
        <v>1980</v>
      </c>
      <c r="P1354" s="8">
        <f t="shared" si="149"/>
        <v>1920.6</v>
      </c>
      <c r="Q1354" s="8">
        <f t="shared" si="150"/>
        <v>-59.400000000000091</v>
      </c>
      <c r="R1354" s="9">
        <f t="shared" si="151"/>
        <v>2039.4</v>
      </c>
      <c r="S1354" s="10">
        <f t="shared" si="152"/>
        <v>169.95000000000002</v>
      </c>
      <c r="T1354">
        <v>165</v>
      </c>
      <c r="U1354">
        <f t="shared" si="153"/>
        <v>0</v>
      </c>
    </row>
    <row r="1355" spans="1:21" ht="14.25" customHeight="1" x14ac:dyDescent="0.35">
      <c r="A1355" s="6" t="s">
        <v>4086</v>
      </c>
      <c r="B1355" s="6" t="s">
        <v>4087</v>
      </c>
      <c r="C1355" s="6" t="s">
        <v>4088</v>
      </c>
      <c r="D1355" s="6" t="s">
        <v>165</v>
      </c>
      <c r="E1355" s="7" t="s">
        <v>23</v>
      </c>
      <c r="F1355" s="6">
        <v>85295</v>
      </c>
      <c r="G1355" s="6" t="s">
        <v>125</v>
      </c>
      <c r="H1355" s="6" t="s">
        <v>225</v>
      </c>
      <c r="J1355" s="6" t="b">
        <v>0</v>
      </c>
      <c r="K1355" s="6" t="s">
        <v>94</v>
      </c>
      <c r="L1355" s="6">
        <v>0</v>
      </c>
      <c r="M1355" s="6">
        <v>165</v>
      </c>
      <c r="N1355" s="8" t="str">
        <f t="shared" si="147"/>
        <v>0</v>
      </c>
      <c r="O1355" s="8">
        <f t="shared" si="148"/>
        <v>1980</v>
      </c>
      <c r="P1355" s="8">
        <f t="shared" si="149"/>
        <v>1920.6</v>
      </c>
      <c r="Q1355" s="8">
        <f t="shared" si="150"/>
        <v>-59.400000000000091</v>
      </c>
      <c r="R1355" s="9">
        <f t="shared" si="151"/>
        <v>2039.4</v>
      </c>
      <c r="S1355" s="10">
        <f t="shared" si="152"/>
        <v>169.95000000000002</v>
      </c>
      <c r="T1355">
        <v>165</v>
      </c>
      <c r="U1355">
        <f t="shared" si="153"/>
        <v>0</v>
      </c>
    </row>
    <row r="1356" spans="1:21" ht="14.25" customHeight="1" x14ac:dyDescent="0.35">
      <c r="A1356" s="6" t="s">
        <v>4089</v>
      </c>
      <c r="B1356" s="6" t="s">
        <v>4090</v>
      </c>
      <c r="C1356" s="6" t="s">
        <v>4091</v>
      </c>
      <c r="D1356" s="6" t="s">
        <v>65</v>
      </c>
      <c r="E1356" s="7" t="s">
        <v>23</v>
      </c>
      <c r="F1356" s="6">
        <v>85207</v>
      </c>
      <c r="G1356" s="6" t="s">
        <v>66</v>
      </c>
      <c r="H1356" s="6" t="s">
        <v>67</v>
      </c>
      <c r="I1356" s="6" t="s">
        <v>26</v>
      </c>
      <c r="J1356" s="6" t="b">
        <v>0</v>
      </c>
      <c r="K1356" s="6" t="s">
        <v>94</v>
      </c>
      <c r="L1356" s="6">
        <v>0</v>
      </c>
      <c r="M1356" s="6">
        <v>165</v>
      </c>
      <c r="N1356" s="8" t="str">
        <f t="shared" si="147"/>
        <v>0</v>
      </c>
      <c r="O1356" s="8">
        <f t="shared" si="148"/>
        <v>1980</v>
      </c>
      <c r="P1356" s="8">
        <f t="shared" si="149"/>
        <v>1920.6</v>
      </c>
      <c r="Q1356" s="8">
        <f t="shared" si="150"/>
        <v>-59.400000000000091</v>
      </c>
      <c r="R1356" s="9">
        <f t="shared" si="151"/>
        <v>2039.4</v>
      </c>
      <c r="S1356" s="10">
        <f t="shared" si="152"/>
        <v>169.95000000000002</v>
      </c>
      <c r="T1356">
        <v>165</v>
      </c>
      <c r="U1356">
        <f t="shared" si="153"/>
        <v>0</v>
      </c>
    </row>
    <row r="1357" spans="1:21" ht="14.25" customHeight="1" x14ac:dyDescent="0.35">
      <c r="A1357" s="6" t="s">
        <v>4131</v>
      </c>
      <c r="B1357" s="6" t="s">
        <v>4132</v>
      </c>
      <c r="C1357" s="6" t="s">
        <v>4133</v>
      </c>
      <c r="D1357" s="6" t="s">
        <v>44</v>
      </c>
      <c r="E1357" s="7" t="s">
        <v>23</v>
      </c>
      <c r="F1357" s="6">
        <v>85028</v>
      </c>
      <c r="G1357" s="6" t="s">
        <v>173</v>
      </c>
      <c r="H1357" s="6" t="s">
        <v>79</v>
      </c>
      <c r="I1357" s="6" t="s">
        <v>26</v>
      </c>
      <c r="J1357" s="6" t="b">
        <v>1</v>
      </c>
      <c r="K1357" s="6" t="s">
        <v>27</v>
      </c>
      <c r="L1357" s="6">
        <v>0</v>
      </c>
      <c r="M1357" s="6">
        <v>165</v>
      </c>
      <c r="N1357" s="8">
        <f t="shared" si="147"/>
        <v>76.679999999999993</v>
      </c>
      <c r="O1357" s="8">
        <f t="shared" si="148"/>
        <v>2056.6799999999998</v>
      </c>
      <c r="P1357" s="8">
        <f t="shared" si="149"/>
        <v>2056.6799999999998</v>
      </c>
      <c r="Q1357" s="8">
        <f t="shared" si="150"/>
        <v>0</v>
      </c>
      <c r="R1357" s="9">
        <f t="shared" si="151"/>
        <v>2056.6799999999998</v>
      </c>
      <c r="S1357" s="10">
        <f t="shared" si="152"/>
        <v>171.39</v>
      </c>
      <c r="T1357">
        <v>165</v>
      </c>
      <c r="U1357">
        <f t="shared" si="153"/>
        <v>0</v>
      </c>
    </row>
    <row r="1358" spans="1:21" ht="14.25" customHeight="1" x14ac:dyDescent="0.35">
      <c r="A1358" s="6" t="s">
        <v>4134</v>
      </c>
      <c r="B1358" s="6" t="s">
        <v>4135</v>
      </c>
      <c r="C1358" s="6" t="s">
        <v>4136</v>
      </c>
      <c r="D1358" s="6" t="s">
        <v>65</v>
      </c>
      <c r="E1358" s="7" t="s">
        <v>23</v>
      </c>
      <c r="F1358" s="6">
        <v>85203</v>
      </c>
      <c r="G1358" s="6" t="s">
        <v>66</v>
      </c>
      <c r="H1358" s="6" t="s">
        <v>180</v>
      </c>
      <c r="I1358" s="6" t="s">
        <v>110</v>
      </c>
      <c r="J1358" s="6" t="b">
        <v>1</v>
      </c>
      <c r="K1358" s="6" t="s">
        <v>27</v>
      </c>
      <c r="L1358" s="6">
        <v>0</v>
      </c>
      <c r="M1358" s="6">
        <v>165</v>
      </c>
      <c r="N1358" s="8">
        <f t="shared" si="147"/>
        <v>76.679999999999993</v>
      </c>
      <c r="O1358" s="8">
        <f t="shared" si="148"/>
        <v>2056.6799999999998</v>
      </c>
      <c r="P1358" s="8">
        <f t="shared" si="149"/>
        <v>2056.6799999999998</v>
      </c>
      <c r="Q1358" s="8">
        <f t="shared" si="150"/>
        <v>0</v>
      </c>
      <c r="R1358" s="9">
        <f t="shared" si="151"/>
        <v>2056.6799999999998</v>
      </c>
      <c r="S1358" s="10">
        <f t="shared" si="152"/>
        <v>171.39</v>
      </c>
      <c r="T1358">
        <v>165</v>
      </c>
      <c r="U1358">
        <f t="shared" si="153"/>
        <v>0</v>
      </c>
    </row>
    <row r="1359" spans="1:21" ht="14.25" customHeight="1" x14ac:dyDescent="0.35">
      <c r="A1359" s="6" t="s">
        <v>4137</v>
      </c>
      <c r="B1359" s="6" t="s">
        <v>4138</v>
      </c>
      <c r="C1359" s="6" t="s">
        <v>4139</v>
      </c>
      <c r="D1359" s="6" t="s">
        <v>44</v>
      </c>
      <c r="E1359" s="7" t="s">
        <v>23</v>
      </c>
      <c r="F1359" s="6">
        <v>85032</v>
      </c>
      <c r="G1359" s="6" t="s">
        <v>45</v>
      </c>
      <c r="H1359" s="6" t="s">
        <v>169</v>
      </c>
      <c r="I1359" s="6" t="s">
        <v>26</v>
      </c>
      <c r="J1359" s="6" t="b">
        <v>1</v>
      </c>
      <c r="K1359" s="6" t="s">
        <v>27</v>
      </c>
      <c r="L1359" s="6">
        <v>0</v>
      </c>
      <c r="M1359" s="6">
        <v>165</v>
      </c>
      <c r="N1359" s="8">
        <f t="shared" si="147"/>
        <v>76.679999999999993</v>
      </c>
      <c r="O1359" s="8">
        <f t="shared" si="148"/>
        <v>2056.6799999999998</v>
      </c>
      <c r="P1359" s="8">
        <f t="shared" si="149"/>
        <v>2056.6799999999998</v>
      </c>
      <c r="Q1359" s="8">
        <f t="shared" si="150"/>
        <v>0</v>
      </c>
      <c r="R1359" s="9">
        <f t="shared" si="151"/>
        <v>2056.6799999999998</v>
      </c>
      <c r="S1359" s="10">
        <f t="shared" si="152"/>
        <v>171.39</v>
      </c>
      <c r="T1359">
        <v>165</v>
      </c>
      <c r="U1359">
        <f t="shared" si="153"/>
        <v>0</v>
      </c>
    </row>
    <row r="1360" spans="1:21" ht="14.25" customHeight="1" x14ac:dyDescent="0.35">
      <c r="A1360" s="6" t="s">
        <v>4140</v>
      </c>
      <c r="B1360" s="6" t="s">
        <v>4141</v>
      </c>
      <c r="C1360" s="6" t="s">
        <v>4142</v>
      </c>
      <c r="D1360" s="6" t="s">
        <v>332</v>
      </c>
      <c r="E1360" s="7" t="s">
        <v>23</v>
      </c>
      <c r="F1360" s="6">
        <v>85339</v>
      </c>
      <c r="G1360" s="6" t="s">
        <v>213</v>
      </c>
      <c r="H1360" s="6" t="s">
        <v>39</v>
      </c>
      <c r="I1360" s="6" t="s">
        <v>26</v>
      </c>
      <c r="J1360" s="6" t="b">
        <v>1</v>
      </c>
      <c r="K1360" s="6" t="s">
        <v>27</v>
      </c>
      <c r="L1360" s="6">
        <v>0</v>
      </c>
      <c r="M1360" s="6">
        <v>165</v>
      </c>
      <c r="N1360" s="8">
        <f t="shared" si="147"/>
        <v>76.679999999999993</v>
      </c>
      <c r="O1360" s="8">
        <f t="shared" si="148"/>
        <v>2056.6799999999998</v>
      </c>
      <c r="P1360" s="8">
        <f t="shared" si="149"/>
        <v>2056.6799999999998</v>
      </c>
      <c r="Q1360" s="8">
        <f t="shared" si="150"/>
        <v>0</v>
      </c>
      <c r="R1360" s="9">
        <f t="shared" si="151"/>
        <v>2056.6799999999998</v>
      </c>
      <c r="S1360" s="10">
        <f t="shared" si="152"/>
        <v>171.39</v>
      </c>
      <c r="T1360">
        <v>165</v>
      </c>
      <c r="U1360">
        <f t="shared" si="153"/>
        <v>0</v>
      </c>
    </row>
    <row r="1361" spans="1:21" ht="14.25" customHeight="1" x14ac:dyDescent="0.35">
      <c r="A1361" s="6" t="s">
        <v>4143</v>
      </c>
      <c r="B1361" s="6" t="s">
        <v>4144</v>
      </c>
      <c r="C1361" s="6" t="s">
        <v>4145</v>
      </c>
      <c r="D1361" s="6" t="s">
        <v>77</v>
      </c>
      <c r="E1361" s="7" t="s">
        <v>23</v>
      </c>
      <c r="F1361" s="6">
        <v>85303</v>
      </c>
      <c r="G1361" s="6" t="s">
        <v>72</v>
      </c>
      <c r="H1361" s="6" t="s">
        <v>73</v>
      </c>
      <c r="I1361" s="6" t="s">
        <v>26</v>
      </c>
      <c r="J1361" s="6" t="b">
        <v>1</v>
      </c>
      <c r="K1361" s="6" t="s">
        <v>27</v>
      </c>
      <c r="L1361" s="6">
        <v>0</v>
      </c>
      <c r="M1361" s="6">
        <v>165</v>
      </c>
      <c r="N1361" s="8">
        <f t="shared" si="147"/>
        <v>76.679999999999993</v>
      </c>
      <c r="O1361" s="8">
        <f t="shared" si="148"/>
        <v>2056.6799999999998</v>
      </c>
      <c r="P1361" s="8">
        <f t="shared" si="149"/>
        <v>2056.6799999999998</v>
      </c>
      <c r="Q1361" s="8">
        <f t="shared" si="150"/>
        <v>0</v>
      </c>
      <c r="R1361" s="9">
        <f t="shared" si="151"/>
        <v>2056.6799999999998</v>
      </c>
      <c r="S1361" s="10">
        <f t="shared" si="152"/>
        <v>171.39</v>
      </c>
      <c r="T1361">
        <v>165</v>
      </c>
      <c r="U1361">
        <f t="shared" si="153"/>
        <v>0</v>
      </c>
    </row>
    <row r="1362" spans="1:21" ht="14.25" customHeight="1" x14ac:dyDescent="0.35">
      <c r="A1362" s="6" t="s">
        <v>4146</v>
      </c>
      <c r="B1362" s="6" t="s">
        <v>4147</v>
      </c>
      <c r="C1362" s="6" t="s">
        <v>4148</v>
      </c>
      <c r="D1362" s="6" t="s">
        <v>165</v>
      </c>
      <c r="E1362" s="7" t="s">
        <v>23</v>
      </c>
      <c r="F1362" s="6">
        <v>85296</v>
      </c>
      <c r="G1362" s="6" t="s">
        <v>24</v>
      </c>
      <c r="H1362" s="6" t="s">
        <v>25</v>
      </c>
      <c r="I1362" s="6" t="s">
        <v>26</v>
      </c>
      <c r="J1362" s="6" t="b">
        <v>1</v>
      </c>
      <c r="K1362" s="6" t="s">
        <v>27</v>
      </c>
      <c r="L1362" s="6">
        <v>0</v>
      </c>
      <c r="M1362" s="6">
        <v>165</v>
      </c>
      <c r="N1362" s="8">
        <f t="shared" si="147"/>
        <v>76.679999999999993</v>
      </c>
      <c r="O1362" s="8">
        <f t="shared" si="148"/>
        <v>2056.6799999999998</v>
      </c>
      <c r="P1362" s="8">
        <f t="shared" si="149"/>
        <v>2056.6799999999998</v>
      </c>
      <c r="Q1362" s="8">
        <f t="shared" si="150"/>
        <v>0</v>
      </c>
      <c r="R1362" s="9">
        <f t="shared" si="151"/>
        <v>2056.6799999999998</v>
      </c>
      <c r="S1362" s="10">
        <f t="shared" si="152"/>
        <v>171.39</v>
      </c>
      <c r="T1362">
        <v>165</v>
      </c>
      <c r="U1362">
        <f t="shared" si="153"/>
        <v>0</v>
      </c>
    </row>
    <row r="1363" spans="1:21" ht="14.25" customHeight="1" x14ac:dyDescent="0.35">
      <c r="A1363" s="6" t="s">
        <v>4149</v>
      </c>
      <c r="B1363" s="6" t="s">
        <v>4150</v>
      </c>
      <c r="C1363" s="6" t="s">
        <v>4151</v>
      </c>
      <c r="D1363" s="6" t="s">
        <v>1649</v>
      </c>
      <c r="E1363" s="7" t="s">
        <v>23</v>
      </c>
      <c r="F1363" s="6">
        <v>85658</v>
      </c>
      <c r="G1363" s="6" t="s">
        <v>55</v>
      </c>
      <c r="H1363" s="6" t="s">
        <v>56</v>
      </c>
      <c r="I1363" s="6" t="s">
        <v>26</v>
      </c>
      <c r="J1363" s="6" t="b">
        <v>1</v>
      </c>
      <c r="K1363" s="6" t="s">
        <v>27</v>
      </c>
      <c r="L1363" s="6">
        <v>0</v>
      </c>
      <c r="M1363" s="6">
        <v>165</v>
      </c>
      <c r="N1363" s="8">
        <f t="shared" si="147"/>
        <v>76.679999999999993</v>
      </c>
      <c r="O1363" s="8">
        <f t="shared" si="148"/>
        <v>2056.6799999999998</v>
      </c>
      <c r="P1363" s="8">
        <f t="shared" si="149"/>
        <v>2056.6799999999998</v>
      </c>
      <c r="Q1363" s="8">
        <f t="shared" si="150"/>
        <v>0</v>
      </c>
      <c r="R1363" s="9">
        <f t="shared" si="151"/>
        <v>2056.6799999999998</v>
      </c>
      <c r="S1363" s="10">
        <f t="shared" si="152"/>
        <v>171.39</v>
      </c>
      <c r="T1363">
        <v>165</v>
      </c>
      <c r="U1363">
        <f t="shared" si="153"/>
        <v>0</v>
      </c>
    </row>
    <row r="1364" spans="1:21" ht="14.25" customHeight="1" x14ac:dyDescent="0.35">
      <c r="A1364" s="6" t="s">
        <v>4152</v>
      </c>
      <c r="B1364" s="6" t="s">
        <v>4153</v>
      </c>
      <c r="C1364" s="6" t="s">
        <v>4154</v>
      </c>
      <c r="D1364" s="6" t="s">
        <v>2002</v>
      </c>
      <c r="E1364" s="7" t="s">
        <v>23</v>
      </c>
      <c r="F1364" s="6">
        <v>85355</v>
      </c>
      <c r="G1364" s="6" t="s">
        <v>78</v>
      </c>
      <c r="H1364" s="6" t="s">
        <v>281</v>
      </c>
      <c r="I1364" s="6" t="s">
        <v>26</v>
      </c>
      <c r="J1364" s="6" t="b">
        <v>1</v>
      </c>
      <c r="K1364" s="6" t="s">
        <v>27</v>
      </c>
      <c r="L1364" s="6">
        <v>0</v>
      </c>
      <c r="M1364" s="6">
        <v>165</v>
      </c>
      <c r="N1364" s="8">
        <f t="shared" si="147"/>
        <v>76.679999999999993</v>
      </c>
      <c r="O1364" s="8">
        <f t="shared" si="148"/>
        <v>2056.6799999999998</v>
      </c>
      <c r="P1364" s="8">
        <f t="shared" si="149"/>
        <v>2056.6799999999998</v>
      </c>
      <c r="Q1364" s="8">
        <f t="shared" si="150"/>
        <v>0</v>
      </c>
      <c r="R1364" s="9">
        <f t="shared" si="151"/>
        <v>2056.6799999999998</v>
      </c>
      <c r="S1364" s="10">
        <f t="shared" si="152"/>
        <v>171.39</v>
      </c>
      <c r="T1364">
        <v>165</v>
      </c>
      <c r="U1364">
        <f t="shared" si="153"/>
        <v>0</v>
      </c>
    </row>
    <row r="1365" spans="1:21" ht="14.25" customHeight="1" x14ac:dyDescent="0.35">
      <c r="A1365" s="6" t="s">
        <v>4155</v>
      </c>
      <c r="B1365" s="6" t="s">
        <v>4156</v>
      </c>
      <c r="C1365" s="6" t="s">
        <v>4157</v>
      </c>
      <c r="D1365" s="6" t="s">
        <v>165</v>
      </c>
      <c r="E1365" s="7" t="s">
        <v>23</v>
      </c>
      <c r="F1365" s="6">
        <v>85234</v>
      </c>
      <c r="G1365" s="6" t="s">
        <v>125</v>
      </c>
      <c r="H1365" s="6" t="s">
        <v>180</v>
      </c>
      <c r="I1365" s="6" t="s">
        <v>61</v>
      </c>
      <c r="J1365" s="6" t="b">
        <v>1</v>
      </c>
      <c r="K1365" s="6" t="s">
        <v>27</v>
      </c>
      <c r="L1365" s="6">
        <v>0</v>
      </c>
      <c r="M1365" s="6">
        <v>165</v>
      </c>
      <c r="N1365" s="8">
        <f t="shared" si="147"/>
        <v>76.679999999999993</v>
      </c>
      <c r="O1365" s="8">
        <f t="shared" si="148"/>
        <v>2056.6799999999998</v>
      </c>
      <c r="P1365" s="8">
        <f t="shared" si="149"/>
        <v>2056.6799999999998</v>
      </c>
      <c r="Q1365" s="8">
        <f t="shared" si="150"/>
        <v>0</v>
      </c>
      <c r="R1365" s="9">
        <f t="shared" si="151"/>
        <v>2056.6799999999998</v>
      </c>
      <c r="S1365" s="10">
        <f t="shared" si="152"/>
        <v>171.39</v>
      </c>
      <c r="T1365">
        <v>165</v>
      </c>
      <c r="U1365">
        <f t="shared" si="153"/>
        <v>0</v>
      </c>
    </row>
    <row r="1366" spans="1:21" ht="14.25" customHeight="1" x14ac:dyDescent="0.35">
      <c r="A1366" s="6" t="s">
        <v>4158</v>
      </c>
      <c r="B1366" s="6" t="s">
        <v>4159</v>
      </c>
      <c r="C1366" s="6" t="s">
        <v>4160</v>
      </c>
      <c r="D1366" s="6" t="s">
        <v>31</v>
      </c>
      <c r="E1366" s="7" t="s">
        <v>23</v>
      </c>
      <c r="F1366" s="6">
        <v>85260</v>
      </c>
      <c r="G1366" s="6" t="s">
        <v>45</v>
      </c>
      <c r="H1366" s="6" t="s">
        <v>291</v>
      </c>
      <c r="I1366" s="6" t="s">
        <v>26</v>
      </c>
      <c r="J1366" s="6" t="b">
        <v>1</v>
      </c>
      <c r="K1366" s="6" t="s">
        <v>27</v>
      </c>
      <c r="L1366" s="6">
        <v>0</v>
      </c>
      <c r="M1366" s="6">
        <v>165</v>
      </c>
      <c r="N1366" s="8">
        <f t="shared" si="147"/>
        <v>76.679999999999993</v>
      </c>
      <c r="O1366" s="8">
        <f t="shared" si="148"/>
        <v>2056.6799999999998</v>
      </c>
      <c r="P1366" s="8">
        <f t="shared" si="149"/>
        <v>2056.6799999999998</v>
      </c>
      <c r="Q1366" s="8">
        <f t="shared" si="150"/>
        <v>0</v>
      </c>
      <c r="R1366" s="9">
        <f t="shared" si="151"/>
        <v>2056.6799999999998</v>
      </c>
      <c r="S1366" s="10">
        <f t="shared" si="152"/>
        <v>171.39</v>
      </c>
      <c r="T1366">
        <v>165</v>
      </c>
      <c r="U1366">
        <f t="shared" si="153"/>
        <v>0</v>
      </c>
    </row>
    <row r="1367" spans="1:21" ht="14.25" customHeight="1" x14ac:dyDescent="0.35">
      <c r="A1367" s="6" t="s">
        <v>4161</v>
      </c>
      <c r="B1367" s="6" t="s">
        <v>4162</v>
      </c>
      <c r="C1367" s="6" t="s">
        <v>4163</v>
      </c>
      <c r="D1367" s="6" t="s">
        <v>71</v>
      </c>
      <c r="E1367" s="7" t="s">
        <v>23</v>
      </c>
      <c r="F1367" s="6">
        <v>85345</v>
      </c>
      <c r="G1367" s="6" t="s">
        <v>78</v>
      </c>
      <c r="H1367" s="6" t="s">
        <v>268</v>
      </c>
      <c r="I1367" s="6" t="s">
        <v>26</v>
      </c>
      <c r="J1367" s="6" t="b">
        <v>1</v>
      </c>
      <c r="K1367" s="6" t="s">
        <v>27</v>
      </c>
      <c r="L1367" s="6">
        <v>0</v>
      </c>
      <c r="M1367" s="6">
        <v>165</v>
      </c>
      <c r="N1367" s="8">
        <f t="shared" si="147"/>
        <v>76.679999999999993</v>
      </c>
      <c r="O1367" s="8">
        <f t="shared" si="148"/>
        <v>2056.6799999999998</v>
      </c>
      <c r="P1367" s="8">
        <f t="shared" si="149"/>
        <v>2056.6799999999998</v>
      </c>
      <c r="Q1367" s="8">
        <f t="shared" si="150"/>
        <v>0</v>
      </c>
      <c r="R1367" s="9">
        <f t="shared" si="151"/>
        <v>2056.6799999999998</v>
      </c>
      <c r="S1367" s="10">
        <f t="shared" si="152"/>
        <v>171.39</v>
      </c>
      <c r="T1367">
        <v>165</v>
      </c>
      <c r="U1367">
        <f t="shared" si="153"/>
        <v>0</v>
      </c>
    </row>
    <row r="1368" spans="1:21" ht="14.25" customHeight="1" x14ac:dyDescent="0.35">
      <c r="A1368" s="6" t="s">
        <v>4164</v>
      </c>
      <c r="B1368" s="6" t="s">
        <v>4165</v>
      </c>
      <c r="C1368" s="6" t="s">
        <v>4166</v>
      </c>
      <c r="D1368" s="6" t="s">
        <v>65</v>
      </c>
      <c r="E1368" s="7" t="s">
        <v>23</v>
      </c>
      <c r="F1368" s="6">
        <v>85203</v>
      </c>
      <c r="G1368" s="6" t="s">
        <v>66</v>
      </c>
      <c r="H1368" s="6" t="s">
        <v>1047</v>
      </c>
      <c r="I1368" s="6" t="s">
        <v>26</v>
      </c>
      <c r="J1368" s="6" t="b">
        <v>1</v>
      </c>
      <c r="K1368" s="6" t="s">
        <v>27</v>
      </c>
      <c r="L1368" s="6">
        <v>0</v>
      </c>
      <c r="M1368" s="6">
        <v>165</v>
      </c>
      <c r="N1368" s="8">
        <f t="shared" si="147"/>
        <v>76.679999999999993</v>
      </c>
      <c r="O1368" s="8">
        <f t="shared" si="148"/>
        <v>2056.6799999999998</v>
      </c>
      <c r="P1368" s="8">
        <f t="shared" si="149"/>
        <v>2056.6799999999998</v>
      </c>
      <c r="Q1368" s="8">
        <f t="shared" si="150"/>
        <v>0</v>
      </c>
      <c r="R1368" s="9">
        <f t="shared" si="151"/>
        <v>2056.6799999999998</v>
      </c>
      <c r="S1368" s="10">
        <f t="shared" si="152"/>
        <v>171.39</v>
      </c>
      <c r="T1368">
        <v>165</v>
      </c>
      <c r="U1368">
        <f t="shared" si="153"/>
        <v>0</v>
      </c>
    </row>
    <row r="1369" spans="1:21" ht="14.25" customHeight="1" x14ac:dyDescent="0.35">
      <c r="A1369" s="6" t="s">
        <v>4167</v>
      </c>
      <c r="B1369" s="6" t="s">
        <v>4168</v>
      </c>
      <c r="C1369" s="6" t="s">
        <v>4169</v>
      </c>
      <c r="D1369" s="6" t="s">
        <v>267</v>
      </c>
      <c r="E1369" s="7" t="s">
        <v>23</v>
      </c>
      <c r="F1369" s="6">
        <v>85388</v>
      </c>
      <c r="G1369" s="6" t="s">
        <v>78</v>
      </c>
      <c r="H1369" s="6" t="s">
        <v>281</v>
      </c>
      <c r="I1369" s="6" t="s">
        <v>26</v>
      </c>
      <c r="J1369" s="6" t="b">
        <v>1</v>
      </c>
      <c r="K1369" s="6" t="s">
        <v>27</v>
      </c>
      <c r="L1369" s="6">
        <v>0</v>
      </c>
      <c r="M1369" s="6">
        <v>165</v>
      </c>
      <c r="N1369" s="8">
        <f t="shared" si="147"/>
        <v>76.679999999999993</v>
      </c>
      <c r="O1369" s="8">
        <f t="shared" si="148"/>
        <v>2056.6799999999998</v>
      </c>
      <c r="P1369" s="8">
        <f t="shared" si="149"/>
        <v>2056.6799999999998</v>
      </c>
      <c r="Q1369" s="8">
        <f t="shared" si="150"/>
        <v>0</v>
      </c>
      <c r="R1369" s="9">
        <f t="shared" si="151"/>
        <v>2056.6799999999998</v>
      </c>
      <c r="S1369" s="10">
        <f t="shared" si="152"/>
        <v>171.39</v>
      </c>
      <c r="T1369">
        <v>165</v>
      </c>
      <c r="U1369">
        <f t="shared" si="153"/>
        <v>0</v>
      </c>
    </row>
    <row r="1370" spans="1:21" ht="14.25" customHeight="1" x14ac:dyDescent="0.35">
      <c r="A1370" s="6" t="s">
        <v>4170</v>
      </c>
      <c r="B1370" s="6" t="s">
        <v>4171</v>
      </c>
      <c r="C1370" s="6" t="s">
        <v>4172</v>
      </c>
      <c r="D1370" s="6" t="s">
        <v>44</v>
      </c>
      <c r="E1370" s="7" t="s">
        <v>23</v>
      </c>
      <c r="F1370" s="6">
        <v>85008</v>
      </c>
      <c r="G1370" s="6" t="s">
        <v>364</v>
      </c>
      <c r="J1370" s="6" t="b">
        <v>1</v>
      </c>
      <c r="L1370" s="6">
        <v>0</v>
      </c>
      <c r="M1370" s="6">
        <v>165</v>
      </c>
      <c r="N1370" s="8">
        <f t="shared" si="147"/>
        <v>76.679999999999993</v>
      </c>
      <c r="O1370" s="8">
        <f t="shared" si="148"/>
        <v>2056.6799999999998</v>
      </c>
      <c r="P1370" s="8">
        <f t="shared" si="149"/>
        <v>2056.6799999999998</v>
      </c>
      <c r="Q1370" s="8">
        <f t="shared" si="150"/>
        <v>0</v>
      </c>
      <c r="R1370" s="9">
        <f t="shared" si="151"/>
        <v>2056.6799999999998</v>
      </c>
      <c r="S1370" s="10">
        <f t="shared" si="152"/>
        <v>171.39</v>
      </c>
      <c r="T1370">
        <v>165</v>
      </c>
      <c r="U1370">
        <f t="shared" si="153"/>
        <v>0</v>
      </c>
    </row>
    <row r="1371" spans="1:21" ht="14.25" customHeight="1" x14ac:dyDescent="0.35">
      <c r="A1371" s="6" t="s">
        <v>4173</v>
      </c>
      <c r="B1371" s="6" t="s">
        <v>4174</v>
      </c>
      <c r="C1371" s="6" t="s">
        <v>4175</v>
      </c>
      <c r="D1371" s="6" t="s">
        <v>130</v>
      </c>
      <c r="E1371" s="7" t="s">
        <v>23</v>
      </c>
      <c r="F1371" s="6">
        <v>85140</v>
      </c>
      <c r="G1371" s="6" t="s">
        <v>125</v>
      </c>
      <c r="H1371" s="6" t="s">
        <v>225</v>
      </c>
      <c r="I1371" s="6" t="s">
        <v>110</v>
      </c>
      <c r="J1371" s="6" t="b">
        <v>1</v>
      </c>
      <c r="K1371" s="6" t="s">
        <v>27</v>
      </c>
      <c r="L1371" s="6">
        <v>0</v>
      </c>
      <c r="M1371" s="6">
        <v>165</v>
      </c>
      <c r="N1371" s="8">
        <f t="shared" si="147"/>
        <v>76.679999999999993</v>
      </c>
      <c r="O1371" s="8">
        <f t="shared" si="148"/>
        <v>2056.6799999999998</v>
      </c>
      <c r="P1371" s="8">
        <f t="shared" si="149"/>
        <v>2056.6799999999998</v>
      </c>
      <c r="Q1371" s="8">
        <f t="shared" si="150"/>
        <v>0</v>
      </c>
      <c r="R1371" s="9">
        <f t="shared" si="151"/>
        <v>2056.6799999999998</v>
      </c>
      <c r="S1371" s="10">
        <f t="shared" si="152"/>
        <v>171.39</v>
      </c>
      <c r="T1371">
        <v>165</v>
      </c>
      <c r="U1371">
        <f t="shared" si="153"/>
        <v>0</v>
      </c>
    </row>
    <row r="1372" spans="1:21" ht="14.25" customHeight="1" x14ac:dyDescent="0.35">
      <c r="A1372" s="6" t="s">
        <v>4176</v>
      </c>
      <c r="B1372" s="6" t="s">
        <v>4177</v>
      </c>
      <c r="C1372" s="6" t="s">
        <v>4178</v>
      </c>
      <c r="D1372" s="6" t="s">
        <v>454</v>
      </c>
      <c r="E1372" s="7" t="s">
        <v>23</v>
      </c>
      <c r="F1372" s="6">
        <v>85338</v>
      </c>
      <c r="G1372" s="6" t="s">
        <v>38</v>
      </c>
      <c r="H1372" s="6" t="s">
        <v>378</v>
      </c>
      <c r="I1372" s="6" t="s">
        <v>57</v>
      </c>
      <c r="J1372" s="6" t="b">
        <v>1</v>
      </c>
      <c r="K1372" s="6" t="s">
        <v>27</v>
      </c>
      <c r="L1372" s="6">
        <v>0</v>
      </c>
      <c r="M1372" s="6">
        <v>165</v>
      </c>
      <c r="N1372" s="8">
        <f t="shared" si="147"/>
        <v>76.679999999999993</v>
      </c>
      <c r="O1372" s="8">
        <f t="shared" si="148"/>
        <v>2056.6799999999998</v>
      </c>
      <c r="P1372" s="8">
        <f t="shared" si="149"/>
        <v>2056.6799999999998</v>
      </c>
      <c r="Q1372" s="8">
        <f t="shared" si="150"/>
        <v>0</v>
      </c>
      <c r="R1372" s="9">
        <f t="shared" si="151"/>
        <v>2056.6799999999998</v>
      </c>
      <c r="S1372" s="10">
        <f t="shared" si="152"/>
        <v>171.39</v>
      </c>
      <c r="T1372">
        <v>165</v>
      </c>
      <c r="U1372">
        <f t="shared" si="153"/>
        <v>0</v>
      </c>
    </row>
    <row r="1373" spans="1:21" ht="14.25" customHeight="1" x14ac:dyDescent="0.35">
      <c r="A1373" s="6" t="s">
        <v>4179</v>
      </c>
      <c r="B1373" s="6" t="s">
        <v>4180</v>
      </c>
      <c r="C1373" s="6" t="s">
        <v>4181</v>
      </c>
      <c r="D1373" s="6" t="s">
        <v>165</v>
      </c>
      <c r="E1373" s="7" t="s">
        <v>23</v>
      </c>
      <c r="F1373" s="6">
        <v>85233</v>
      </c>
      <c r="G1373" s="6" t="s">
        <v>24</v>
      </c>
      <c r="H1373" s="6" t="s">
        <v>25</v>
      </c>
      <c r="I1373" s="6" t="s">
        <v>26</v>
      </c>
      <c r="J1373" s="6" t="b">
        <v>1</v>
      </c>
      <c r="K1373" s="6" t="s">
        <v>27</v>
      </c>
      <c r="L1373" s="6">
        <v>0</v>
      </c>
      <c r="M1373" s="6">
        <v>165</v>
      </c>
      <c r="N1373" s="8">
        <f t="shared" si="147"/>
        <v>76.679999999999993</v>
      </c>
      <c r="O1373" s="8">
        <f t="shared" si="148"/>
        <v>2056.6799999999998</v>
      </c>
      <c r="P1373" s="8">
        <f t="shared" si="149"/>
        <v>2056.6799999999998</v>
      </c>
      <c r="Q1373" s="8">
        <f t="shared" si="150"/>
        <v>0</v>
      </c>
      <c r="R1373" s="9">
        <f t="shared" si="151"/>
        <v>2056.6799999999998</v>
      </c>
      <c r="S1373" s="10">
        <f t="shared" si="152"/>
        <v>171.39</v>
      </c>
      <c r="T1373">
        <v>165</v>
      </c>
      <c r="U1373">
        <f t="shared" si="153"/>
        <v>0</v>
      </c>
    </row>
    <row r="1374" spans="1:21" ht="14.25" customHeight="1" x14ac:dyDescent="0.35">
      <c r="A1374" s="6" t="s">
        <v>4182</v>
      </c>
      <c r="B1374" s="6" t="s">
        <v>4183</v>
      </c>
      <c r="C1374" s="6" t="s">
        <v>4184</v>
      </c>
      <c r="D1374" s="6" t="s">
        <v>22</v>
      </c>
      <c r="E1374" s="7" t="s">
        <v>23</v>
      </c>
      <c r="F1374" s="6">
        <v>85249</v>
      </c>
      <c r="G1374" s="6" t="s">
        <v>125</v>
      </c>
      <c r="H1374" s="6" t="s">
        <v>126</v>
      </c>
      <c r="I1374" s="6" t="s">
        <v>26</v>
      </c>
      <c r="J1374" s="6" t="b">
        <v>1</v>
      </c>
      <c r="K1374" s="6" t="s">
        <v>27</v>
      </c>
      <c r="L1374" s="6">
        <v>0</v>
      </c>
      <c r="M1374" s="6">
        <v>165</v>
      </c>
      <c r="N1374" s="8">
        <f t="shared" si="147"/>
        <v>76.679999999999993</v>
      </c>
      <c r="O1374" s="8">
        <f t="shared" si="148"/>
        <v>2056.6799999999998</v>
      </c>
      <c r="P1374" s="8">
        <f t="shared" si="149"/>
        <v>2056.6799999999998</v>
      </c>
      <c r="Q1374" s="8">
        <f t="shared" si="150"/>
        <v>0</v>
      </c>
      <c r="R1374" s="9">
        <f t="shared" si="151"/>
        <v>2056.6799999999998</v>
      </c>
      <c r="S1374" s="10">
        <f t="shared" si="152"/>
        <v>171.39</v>
      </c>
      <c r="T1374">
        <v>165</v>
      </c>
      <c r="U1374">
        <f t="shared" si="153"/>
        <v>0</v>
      </c>
    </row>
    <row r="1375" spans="1:21" ht="14.25" customHeight="1" x14ac:dyDescent="0.35">
      <c r="A1375" s="6" t="s">
        <v>4185</v>
      </c>
      <c r="B1375" s="6" t="s">
        <v>4186</v>
      </c>
      <c r="C1375" s="6" t="s">
        <v>4187</v>
      </c>
      <c r="D1375" s="6" t="s">
        <v>98</v>
      </c>
      <c r="E1375" s="7" t="s">
        <v>23</v>
      </c>
      <c r="F1375" s="6">
        <v>85122</v>
      </c>
      <c r="G1375" s="6" t="s">
        <v>87</v>
      </c>
      <c r="H1375" s="6" t="s">
        <v>99</v>
      </c>
      <c r="I1375" s="6" t="s">
        <v>26</v>
      </c>
      <c r="J1375" s="6" t="b">
        <v>1</v>
      </c>
      <c r="K1375" s="6" t="s">
        <v>27</v>
      </c>
      <c r="L1375" s="6">
        <v>0</v>
      </c>
      <c r="M1375" s="6">
        <v>165</v>
      </c>
      <c r="N1375" s="8">
        <f t="shared" si="147"/>
        <v>76.679999999999993</v>
      </c>
      <c r="O1375" s="8">
        <f t="shared" si="148"/>
        <v>2056.6799999999998</v>
      </c>
      <c r="P1375" s="8">
        <f t="shared" si="149"/>
        <v>2056.6799999999998</v>
      </c>
      <c r="Q1375" s="8">
        <f t="shared" si="150"/>
        <v>0</v>
      </c>
      <c r="R1375" s="9">
        <f t="shared" si="151"/>
        <v>2056.6799999999998</v>
      </c>
      <c r="S1375" s="10">
        <f t="shared" si="152"/>
        <v>171.39</v>
      </c>
      <c r="T1375">
        <v>165</v>
      </c>
      <c r="U1375">
        <f t="shared" si="153"/>
        <v>0</v>
      </c>
    </row>
    <row r="1376" spans="1:21" ht="14.25" customHeight="1" x14ac:dyDescent="0.35">
      <c r="A1376" s="6" t="s">
        <v>210</v>
      </c>
      <c r="B1376" s="6" t="s">
        <v>211</v>
      </c>
      <c r="C1376" s="6" t="s">
        <v>212</v>
      </c>
      <c r="D1376" s="6" t="s">
        <v>44</v>
      </c>
      <c r="E1376" s="7" t="s">
        <v>23</v>
      </c>
      <c r="F1376" s="6">
        <v>85009</v>
      </c>
      <c r="G1376" s="6" t="s">
        <v>213</v>
      </c>
      <c r="H1376" s="6" t="s">
        <v>214</v>
      </c>
      <c r="J1376" s="6" t="b">
        <v>1</v>
      </c>
      <c r="K1376" s="6" t="s">
        <v>27</v>
      </c>
      <c r="L1376" s="6">
        <v>0</v>
      </c>
      <c r="M1376" s="6">
        <v>165</v>
      </c>
      <c r="N1376" s="8">
        <f t="shared" si="147"/>
        <v>76.679999999999993</v>
      </c>
      <c r="O1376" s="8">
        <f t="shared" si="148"/>
        <v>2056.6799999999998</v>
      </c>
      <c r="P1376" s="8">
        <f t="shared" si="149"/>
        <v>2056.6799999999998</v>
      </c>
      <c r="Q1376" s="8">
        <f t="shared" si="150"/>
        <v>0</v>
      </c>
      <c r="R1376" s="9">
        <f t="shared" si="151"/>
        <v>2056.6799999999998</v>
      </c>
      <c r="S1376" s="10">
        <f t="shared" si="152"/>
        <v>171.39</v>
      </c>
      <c r="T1376">
        <v>165</v>
      </c>
      <c r="U1376">
        <f t="shared" si="153"/>
        <v>0</v>
      </c>
    </row>
    <row r="1377" spans="1:21" ht="14.25" customHeight="1" x14ac:dyDescent="0.35">
      <c r="A1377" s="6" t="s">
        <v>4188</v>
      </c>
      <c r="B1377" s="6" t="s">
        <v>4189</v>
      </c>
      <c r="C1377" s="6" t="s">
        <v>4190</v>
      </c>
      <c r="D1377" s="6" t="s">
        <v>44</v>
      </c>
      <c r="E1377" s="7" t="s">
        <v>23</v>
      </c>
      <c r="F1377" s="6">
        <v>85044</v>
      </c>
      <c r="G1377" s="6" t="s">
        <v>24</v>
      </c>
      <c r="H1377" s="6" t="s">
        <v>161</v>
      </c>
      <c r="I1377" s="6" t="s">
        <v>26</v>
      </c>
      <c r="J1377" s="6" t="b">
        <v>1</v>
      </c>
      <c r="K1377" s="6" t="s">
        <v>27</v>
      </c>
      <c r="L1377" s="6">
        <v>0</v>
      </c>
      <c r="M1377" s="6">
        <v>165</v>
      </c>
      <c r="N1377" s="8">
        <f t="shared" si="147"/>
        <v>76.679999999999993</v>
      </c>
      <c r="O1377" s="8">
        <f t="shared" si="148"/>
        <v>2056.6799999999998</v>
      </c>
      <c r="P1377" s="8">
        <f t="shared" si="149"/>
        <v>2056.6799999999998</v>
      </c>
      <c r="Q1377" s="8">
        <f t="shared" si="150"/>
        <v>0</v>
      </c>
      <c r="R1377" s="9">
        <f t="shared" si="151"/>
        <v>2056.6799999999998</v>
      </c>
      <c r="S1377" s="10">
        <f t="shared" si="152"/>
        <v>171.39</v>
      </c>
      <c r="T1377">
        <v>165</v>
      </c>
      <c r="U1377">
        <f t="shared" si="153"/>
        <v>0</v>
      </c>
    </row>
    <row r="1378" spans="1:21" ht="14.25" customHeight="1" x14ac:dyDescent="0.35">
      <c r="A1378" s="6" t="s">
        <v>4191</v>
      </c>
      <c r="B1378" s="6" t="s">
        <v>4192</v>
      </c>
      <c r="C1378" s="6" t="s">
        <v>4193</v>
      </c>
      <c r="D1378" s="6" t="s">
        <v>165</v>
      </c>
      <c r="E1378" s="7" t="s">
        <v>23</v>
      </c>
      <c r="F1378" s="6">
        <v>85297</v>
      </c>
      <c r="G1378" s="6" t="s">
        <v>125</v>
      </c>
      <c r="H1378" s="6" t="s">
        <v>126</v>
      </c>
      <c r="I1378" s="6" t="s">
        <v>26</v>
      </c>
      <c r="J1378" s="6" t="b">
        <v>1</v>
      </c>
      <c r="K1378" s="6" t="s">
        <v>27</v>
      </c>
      <c r="L1378" s="6">
        <v>0</v>
      </c>
      <c r="M1378" s="6">
        <v>165</v>
      </c>
      <c r="N1378" s="8">
        <f t="shared" si="147"/>
        <v>76.679999999999993</v>
      </c>
      <c r="O1378" s="8">
        <f t="shared" si="148"/>
        <v>2056.6799999999998</v>
      </c>
      <c r="P1378" s="8">
        <f t="shared" si="149"/>
        <v>2056.6799999999998</v>
      </c>
      <c r="Q1378" s="8">
        <f t="shared" si="150"/>
        <v>0</v>
      </c>
      <c r="R1378" s="9">
        <f t="shared" si="151"/>
        <v>2056.6799999999998</v>
      </c>
      <c r="S1378" s="10">
        <f t="shared" si="152"/>
        <v>171.39</v>
      </c>
      <c r="T1378">
        <v>165</v>
      </c>
      <c r="U1378">
        <f t="shared" si="153"/>
        <v>0</v>
      </c>
    </row>
    <row r="1379" spans="1:21" ht="14.25" customHeight="1" x14ac:dyDescent="0.35">
      <c r="A1379" s="6" t="s">
        <v>4194</v>
      </c>
      <c r="B1379" s="6" t="s">
        <v>4195</v>
      </c>
      <c r="C1379" s="6" t="s">
        <v>4196</v>
      </c>
      <c r="D1379" s="6" t="s">
        <v>22</v>
      </c>
      <c r="E1379" s="7" t="s">
        <v>23</v>
      </c>
      <c r="F1379" s="6">
        <v>85249</v>
      </c>
      <c r="G1379" s="6" t="s">
        <v>125</v>
      </c>
      <c r="H1379" s="6" t="s">
        <v>126</v>
      </c>
      <c r="I1379" s="6" t="s">
        <v>26</v>
      </c>
      <c r="J1379" s="6" t="b">
        <v>1</v>
      </c>
      <c r="K1379" s="6" t="s">
        <v>27</v>
      </c>
      <c r="L1379" s="6">
        <v>0</v>
      </c>
      <c r="M1379" s="6">
        <v>165</v>
      </c>
      <c r="N1379" s="8">
        <f t="shared" si="147"/>
        <v>76.679999999999993</v>
      </c>
      <c r="O1379" s="8">
        <f t="shared" si="148"/>
        <v>2056.6799999999998</v>
      </c>
      <c r="P1379" s="8">
        <f t="shared" si="149"/>
        <v>2056.6799999999998</v>
      </c>
      <c r="Q1379" s="8">
        <f t="shared" si="150"/>
        <v>0</v>
      </c>
      <c r="R1379" s="9">
        <f t="shared" si="151"/>
        <v>2056.6799999999998</v>
      </c>
      <c r="S1379" s="10">
        <f t="shared" si="152"/>
        <v>171.39</v>
      </c>
      <c r="T1379">
        <v>165</v>
      </c>
      <c r="U1379">
        <f t="shared" si="153"/>
        <v>0</v>
      </c>
    </row>
    <row r="1380" spans="1:21" ht="14.25" customHeight="1" x14ac:dyDescent="0.35">
      <c r="A1380" s="6" t="s">
        <v>4197</v>
      </c>
      <c r="B1380" s="6" t="s">
        <v>4198</v>
      </c>
      <c r="C1380" s="6" t="s">
        <v>4199</v>
      </c>
      <c r="D1380" s="6" t="s">
        <v>44</v>
      </c>
      <c r="E1380" s="7" t="s">
        <v>23</v>
      </c>
      <c r="F1380" s="6">
        <v>85021</v>
      </c>
      <c r="G1380" s="6" t="s">
        <v>72</v>
      </c>
      <c r="H1380" s="6" t="s">
        <v>73</v>
      </c>
      <c r="I1380" s="6" t="s">
        <v>26</v>
      </c>
      <c r="J1380" s="6" t="b">
        <v>1</v>
      </c>
      <c r="K1380" s="6" t="s">
        <v>27</v>
      </c>
      <c r="L1380" s="6">
        <v>0</v>
      </c>
      <c r="M1380" s="6">
        <v>165</v>
      </c>
      <c r="N1380" s="8">
        <f t="shared" si="147"/>
        <v>76.679999999999993</v>
      </c>
      <c r="O1380" s="8">
        <f t="shared" si="148"/>
        <v>2056.6799999999998</v>
      </c>
      <c r="P1380" s="8">
        <f t="shared" si="149"/>
        <v>2056.6799999999998</v>
      </c>
      <c r="Q1380" s="8">
        <f t="shared" si="150"/>
        <v>0</v>
      </c>
      <c r="R1380" s="9">
        <f t="shared" si="151"/>
        <v>2056.6799999999998</v>
      </c>
      <c r="S1380" s="10">
        <f t="shared" si="152"/>
        <v>171.39</v>
      </c>
      <c r="T1380">
        <v>165</v>
      </c>
      <c r="U1380">
        <f t="shared" si="153"/>
        <v>0</v>
      </c>
    </row>
    <row r="1381" spans="1:21" ht="14.25" customHeight="1" x14ac:dyDescent="0.35">
      <c r="A1381" s="6" t="s">
        <v>4200</v>
      </c>
      <c r="B1381" s="6" t="s">
        <v>4201</v>
      </c>
      <c r="C1381" s="6" t="s">
        <v>4202</v>
      </c>
      <c r="D1381" s="6" t="s">
        <v>44</v>
      </c>
      <c r="E1381" s="7" t="s">
        <v>23</v>
      </c>
      <c r="F1381" s="6">
        <v>85032</v>
      </c>
      <c r="G1381" s="6" t="s">
        <v>173</v>
      </c>
      <c r="H1381" s="6" t="s">
        <v>33</v>
      </c>
      <c r="I1381" s="6" t="s">
        <v>61</v>
      </c>
      <c r="J1381" s="6" t="b">
        <v>1</v>
      </c>
      <c r="K1381" s="6" t="s">
        <v>27</v>
      </c>
      <c r="L1381" s="6">
        <v>0</v>
      </c>
      <c r="M1381" s="6">
        <v>165</v>
      </c>
      <c r="N1381" s="8">
        <f t="shared" si="147"/>
        <v>76.679999999999993</v>
      </c>
      <c r="O1381" s="8">
        <f t="shared" si="148"/>
        <v>2056.6799999999998</v>
      </c>
      <c r="P1381" s="8">
        <f t="shared" si="149"/>
        <v>2056.6799999999998</v>
      </c>
      <c r="Q1381" s="8">
        <f t="shared" si="150"/>
        <v>0</v>
      </c>
      <c r="R1381" s="9">
        <f t="shared" si="151"/>
        <v>2056.6799999999998</v>
      </c>
      <c r="S1381" s="10">
        <f t="shared" si="152"/>
        <v>171.39</v>
      </c>
      <c r="T1381">
        <v>165</v>
      </c>
      <c r="U1381">
        <f t="shared" si="153"/>
        <v>0</v>
      </c>
    </row>
    <row r="1382" spans="1:21" ht="14.25" customHeight="1" x14ac:dyDescent="0.35">
      <c r="A1382" s="6" t="s">
        <v>4203</v>
      </c>
      <c r="B1382" s="6" t="s">
        <v>4204</v>
      </c>
      <c r="C1382" s="6" t="s">
        <v>4205</v>
      </c>
      <c r="D1382" s="6" t="s">
        <v>44</v>
      </c>
      <c r="E1382" s="7" t="s">
        <v>23</v>
      </c>
      <c r="F1382" s="6">
        <v>85028</v>
      </c>
      <c r="G1382" s="6" t="s">
        <v>45</v>
      </c>
      <c r="H1382" s="6" t="s">
        <v>169</v>
      </c>
      <c r="I1382" s="6" t="s">
        <v>26</v>
      </c>
      <c r="J1382" s="6" t="b">
        <v>1</v>
      </c>
      <c r="K1382" s="6" t="s">
        <v>27</v>
      </c>
      <c r="L1382" s="6">
        <v>0</v>
      </c>
      <c r="M1382" s="6">
        <v>165</v>
      </c>
      <c r="N1382" s="8">
        <f t="shared" si="147"/>
        <v>76.679999999999993</v>
      </c>
      <c r="O1382" s="8">
        <f t="shared" si="148"/>
        <v>2056.6799999999998</v>
      </c>
      <c r="P1382" s="8">
        <f t="shared" si="149"/>
        <v>2056.6799999999998</v>
      </c>
      <c r="Q1382" s="8">
        <f t="shared" si="150"/>
        <v>0</v>
      </c>
      <c r="R1382" s="9">
        <f t="shared" si="151"/>
        <v>2056.6799999999998</v>
      </c>
      <c r="S1382" s="10">
        <f t="shared" si="152"/>
        <v>171.39</v>
      </c>
      <c r="T1382">
        <v>165</v>
      </c>
      <c r="U1382">
        <f t="shared" si="153"/>
        <v>0</v>
      </c>
    </row>
    <row r="1383" spans="1:21" ht="14.25" customHeight="1" x14ac:dyDescent="0.35">
      <c r="A1383" s="6" t="s">
        <v>4206</v>
      </c>
      <c r="B1383" s="6" t="s">
        <v>4207</v>
      </c>
      <c r="C1383" s="6" t="s">
        <v>4208</v>
      </c>
      <c r="D1383" s="6" t="s">
        <v>614</v>
      </c>
      <c r="E1383" s="7" t="s">
        <v>23</v>
      </c>
      <c r="F1383" s="6">
        <v>85268</v>
      </c>
      <c r="G1383" s="6" t="s">
        <v>45</v>
      </c>
      <c r="H1383" s="6" t="s">
        <v>50</v>
      </c>
      <c r="I1383" s="6" t="s">
        <v>26</v>
      </c>
      <c r="J1383" s="6" t="b">
        <v>1</v>
      </c>
      <c r="K1383" s="6" t="s">
        <v>27</v>
      </c>
      <c r="L1383" s="6">
        <v>0</v>
      </c>
      <c r="M1383" s="6">
        <v>165</v>
      </c>
      <c r="N1383" s="8">
        <f t="shared" si="147"/>
        <v>76.679999999999993</v>
      </c>
      <c r="O1383" s="8">
        <f t="shared" si="148"/>
        <v>2056.6799999999998</v>
      </c>
      <c r="P1383" s="8">
        <f t="shared" si="149"/>
        <v>2056.6799999999998</v>
      </c>
      <c r="Q1383" s="8">
        <f t="shared" si="150"/>
        <v>0</v>
      </c>
      <c r="R1383" s="9">
        <f t="shared" si="151"/>
        <v>2056.6799999999998</v>
      </c>
      <c r="S1383" s="10">
        <f t="shared" si="152"/>
        <v>171.39</v>
      </c>
      <c r="T1383">
        <v>165</v>
      </c>
      <c r="U1383">
        <f t="shared" si="153"/>
        <v>0</v>
      </c>
    </row>
    <row r="1384" spans="1:21" ht="14.25" customHeight="1" x14ac:dyDescent="0.35">
      <c r="A1384" s="6" t="s">
        <v>4209</v>
      </c>
      <c r="B1384" s="6" t="s">
        <v>4210</v>
      </c>
      <c r="C1384" s="6" t="s">
        <v>4211</v>
      </c>
      <c r="D1384" s="6" t="s">
        <v>267</v>
      </c>
      <c r="E1384" s="7" t="s">
        <v>23</v>
      </c>
      <c r="F1384" s="6">
        <v>85374</v>
      </c>
      <c r="G1384" s="6" t="s">
        <v>78</v>
      </c>
      <c r="H1384" s="6" t="s">
        <v>281</v>
      </c>
      <c r="I1384" s="6" t="s">
        <v>26</v>
      </c>
      <c r="J1384" s="6" t="b">
        <v>1</v>
      </c>
      <c r="K1384" s="6" t="s">
        <v>27</v>
      </c>
      <c r="L1384" s="6">
        <v>0</v>
      </c>
      <c r="M1384" s="6">
        <v>165</v>
      </c>
      <c r="N1384" s="8">
        <f t="shared" si="147"/>
        <v>76.679999999999993</v>
      </c>
      <c r="O1384" s="8">
        <f t="shared" si="148"/>
        <v>2056.6799999999998</v>
      </c>
      <c r="P1384" s="8">
        <f t="shared" si="149"/>
        <v>2056.6799999999998</v>
      </c>
      <c r="Q1384" s="8">
        <f t="shared" si="150"/>
        <v>0</v>
      </c>
      <c r="R1384" s="9">
        <f t="shared" si="151"/>
        <v>2056.6799999999998</v>
      </c>
      <c r="S1384" s="10">
        <f t="shared" si="152"/>
        <v>171.39</v>
      </c>
      <c r="T1384">
        <v>165</v>
      </c>
      <c r="U1384">
        <f t="shared" si="153"/>
        <v>0</v>
      </c>
    </row>
    <row r="1385" spans="1:21" ht="14.25" customHeight="1" x14ac:dyDescent="0.35">
      <c r="A1385" s="6" t="s">
        <v>4212</v>
      </c>
      <c r="B1385" s="6" t="s">
        <v>4213</v>
      </c>
      <c r="C1385" s="6" t="s">
        <v>4214</v>
      </c>
      <c r="D1385" s="6" t="s">
        <v>22</v>
      </c>
      <c r="E1385" s="7" t="s">
        <v>23</v>
      </c>
      <c r="F1385" s="6">
        <v>85249</v>
      </c>
      <c r="G1385" s="6" t="s">
        <v>125</v>
      </c>
      <c r="H1385" s="6" t="s">
        <v>225</v>
      </c>
      <c r="I1385" s="6" t="s">
        <v>26</v>
      </c>
      <c r="J1385" s="6" t="b">
        <v>1</v>
      </c>
      <c r="K1385" s="6" t="s">
        <v>27</v>
      </c>
      <c r="L1385" s="6">
        <v>0</v>
      </c>
      <c r="M1385" s="6">
        <v>165</v>
      </c>
      <c r="N1385" s="8">
        <f t="shared" si="147"/>
        <v>76.679999999999993</v>
      </c>
      <c r="O1385" s="8">
        <f t="shared" si="148"/>
        <v>2056.6799999999998</v>
      </c>
      <c r="P1385" s="8">
        <f t="shared" si="149"/>
        <v>2056.6799999999998</v>
      </c>
      <c r="Q1385" s="8">
        <f t="shared" si="150"/>
        <v>0</v>
      </c>
      <c r="R1385" s="9">
        <f t="shared" si="151"/>
        <v>2056.6799999999998</v>
      </c>
      <c r="S1385" s="10">
        <f t="shared" si="152"/>
        <v>171.39</v>
      </c>
      <c r="T1385">
        <v>165</v>
      </c>
      <c r="U1385">
        <f t="shared" si="153"/>
        <v>0</v>
      </c>
    </row>
    <row r="1386" spans="1:21" ht="14.25" customHeight="1" x14ac:dyDescent="0.35">
      <c r="A1386" s="6" t="s">
        <v>4215</v>
      </c>
      <c r="B1386" s="6" t="s">
        <v>4216</v>
      </c>
      <c r="C1386" s="6" t="s">
        <v>4217</v>
      </c>
      <c r="D1386" s="6" t="s">
        <v>482</v>
      </c>
      <c r="E1386" s="7" t="s">
        <v>23</v>
      </c>
      <c r="F1386" s="6">
        <v>85326</v>
      </c>
      <c r="G1386" s="6" t="s">
        <v>38</v>
      </c>
      <c r="H1386" s="6" t="s">
        <v>378</v>
      </c>
      <c r="I1386" s="6" t="s">
        <v>26</v>
      </c>
      <c r="J1386" s="6" t="b">
        <v>1</v>
      </c>
      <c r="K1386" s="6" t="s">
        <v>27</v>
      </c>
      <c r="L1386" s="6">
        <v>0</v>
      </c>
      <c r="M1386" s="6">
        <v>165</v>
      </c>
      <c r="N1386" s="8">
        <f t="shared" si="147"/>
        <v>76.679999999999993</v>
      </c>
      <c r="O1386" s="8">
        <f t="shared" si="148"/>
        <v>2056.6799999999998</v>
      </c>
      <c r="P1386" s="8">
        <f t="shared" si="149"/>
        <v>2056.6799999999998</v>
      </c>
      <c r="Q1386" s="8">
        <f t="shared" si="150"/>
        <v>0</v>
      </c>
      <c r="R1386" s="9">
        <f t="shared" si="151"/>
        <v>2056.6799999999998</v>
      </c>
      <c r="S1386" s="10">
        <f t="shared" si="152"/>
        <v>171.39</v>
      </c>
      <c r="T1386">
        <v>165</v>
      </c>
      <c r="U1386">
        <f t="shared" si="153"/>
        <v>0</v>
      </c>
    </row>
    <row r="1387" spans="1:21" ht="14.25" customHeight="1" x14ac:dyDescent="0.35">
      <c r="A1387" s="6" t="s">
        <v>4218</v>
      </c>
      <c r="B1387" s="6" t="s">
        <v>4219</v>
      </c>
      <c r="C1387" s="6" t="s">
        <v>4220</v>
      </c>
      <c r="D1387" s="6" t="s">
        <v>31</v>
      </c>
      <c r="E1387" s="7" t="s">
        <v>23</v>
      </c>
      <c r="F1387" s="6">
        <v>85251</v>
      </c>
      <c r="G1387" s="6" t="s">
        <v>49</v>
      </c>
      <c r="H1387" s="6" t="s">
        <v>202</v>
      </c>
      <c r="I1387" s="6" t="s">
        <v>26</v>
      </c>
      <c r="J1387" s="6" t="b">
        <v>1</v>
      </c>
      <c r="K1387" s="6" t="s">
        <v>27</v>
      </c>
      <c r="L1387" s="6">
        <v>0</v>
      </c>
      <c r="M1387" s="6">
        <v>165</v>
      </c>
      <c r="N1387" s="8">
        <f t="shared" si="147"/>
        <v>76.679999999999993</v>
      </c>
      <c r="O1387" s="8">
        <f t="shared" si="148"/>
        <v>2056.6799999999998</v>
      </c>
      <c r="P1387" s="8">
        <f t="shared" si="149"/>
        <v>2056.6799999999998</v>
      </c>
      <c r="Q1387" s="8">
        <f t="shared" si="150"/>
        <v>0</v>
      </c>
      <c r="R1387" s="9">
        <f t="shared" si="151"/>
        <v>2056.6799999999998</v>
      </c>
      <c r="S1387" s="10">
        <f t="shared" si="152"/>
        <v>171.39</v>
      </c>
      <c r="T1387">
        <v>165</v>
      </c>
      <c r="U1387">
        <f t="shared" si="153"/>
        <v>0</v>
      </c>
    </row>
    <row r="1388" spans="1:21" ht="14.25" customHeight="1" x14ac:dyDescent="0.35">
      <c r="A1388" s="6" t="s">
        <v>4221</v>
      </c>
      <c r="B1388" s="6" t="s">
        <v>4222</v>
      </c>
      <c r="C1388" s="6" t="s">
        <v>4223</v>
      </c>
      <c r="D1388" s="6" t="s">
        <v>37</v>
      </c>
      <c r="E1388" s="7" t="s">
        <v>23</v>
      </c>
      <c r="F1388" s="6">
        <v>85392</v>
      </c>
      <c r="G1388" s="6" t="s">
        <v>38</v>
      </c>
      <c r="H1388" s="6" t="s">
        <v>378</v>
      </c>
      <c r="I1388" s="6" t="s">
        <v>61</v>
      </c>
      <c r="J1388" s="6" t="b">
        <v>1</v>
      </c>
      <c r="K1388" s="6" t="s">
        <v>27</v>
      </c>
      <c r="L1388" s="6">
        <v>0</v>
      </c>
      <c r="M1388" s="6">
        <v>165</v>
      </c>
      <c r="N1388" s="8">
        <f t="shared" si="147"/>
        <v>76.679999999999993</v>
      </c>
      <c r="O1388" s="8">
        <f t="shared" si="148"/>
        <v>2056.6799999999998</v>
      </c>
      <c r="P1388" s="8">
        <f t="shared" si="149"/>
        <v>2056.6799999999998</v>
      </c>
      <c r="Q1388" s="8">
        <f t="shared" si="150"/>
        <v>0</v>
      </c>
      <c r="R1388" s="9">
        <f t="shared" si="151"/>
        <v>2056.6799999999998</v>
      </c>
      <c r="S1388" s="10">
        <f t="shared" si="152"/>
        <v>171.39</v>
      </c>
      <c r="T1388">
        <v>165</v>
      </c>
      <c r="U1388">
        <f t="shared" si="153"/>
        <v>0</v>
      </c>
    </row>
    <row r="1389" spans="1:21" ht="14.25" customHeight="1" x14ac:dyDescent="0.35">
      <c r="A1389" s="6" t="s">
        <v>4224</v>
      </c>
      <c r="B1389" s="6" t="s">
        <v>4225</v>
      </c>
      <c r="C1389" s="6" t="s">
        <v>4226</v>
      </c>
      <c r="D1389" s="6" t="s">
        <v>44</v>
      </c>
      <c r="E1389" s="7" t="s">
        <v>23</v>
      </c>
      <c r="F1389" s="6">
        <v>85020</v>
      </c>
      <c r="G1389" s="6" t="s">
        <v>49</v>
      </c>
      <c r="H1389" s="6" t="s">
        <v>202</v>
      </c>
      <c r="I1389" s="6" t="s">
        <v>26</v>
      </c>
      <c r="J1389" s="6" t="b">
        <v>1</v>
      </c>
      <c r="K1389" s="6" t="s">
        <v>27</v>
      </c>
      <c r="L1389" s="6">
        <v>0</v>
      </c>
      <c r="M1389" s="6">
        <v>165</v>
      </c>
      <c r="N1389" s="8">
        <f t="shared" si="147"/>
        <v>76.679999999999993</v>
      </c>
      <c r="O1389" s="8">
        <f t="shared" si="148"/>
        <v>2056.6799999999998</v>
      </c>
      <c r="P1389" s="8">
        <f t="shared" si="149"/>
        <v>2056.6799999999998</v>
      </c>
      <c r="Q1389" s="8">
        <f t="shared" si="150"/>
        <v>0</v>
      </c>
      <c r="R1389" s="9">
        <f t="shared" si="151"/>
        <v>2056.6799999999998</v>
      </c>
      <c r="S1389" s="10">
        <f t="shared" si="152"/>
        <v>171.39</v>
      </c>
      <c r="T1389">
        <v>165</v>
      </c>
      <c r="U1389">
        <f t="shared" si="153"/>
        <v>0</v>
      </c>
    </row>
    <row r="1390" spans="1:21" ht="14.25" customHeight="1" x14ac:dyDescent="0.35">
      <c r="A1390" s="6" t="s">
        <v>4227</v>
      </c>
      <c r="B1390" s="6" t="s">
        <v>4228</v>
      </c>
      <c r="C1390" s="6" t="s">
        <v>4229</v>
      </c>
      <c r="D1390" s="6" t="s">
        <v>54</v>
      </c>
      <c r="E1390" s="7" t="s">
        <v>23</v>
      </c>
      <c r="F1390" s="6">
        <v>85712</v>
      </c>
      <c r="G1390" s="6" t="s">
        <v>55</v>
      </c>
      <c r="H1390" s="6" t="s">
        <v>56</v>
      </c>
      <c r="I1390" s="6" t="s">
        <v>110</v>
      </c>
      <c r="J1390" s="6" t="b">
        <v>1</v>
      </c>
      <c r="K1390" s="6" t="s">
        <v>27</v>
      </c>
      <c r="L1390" s="6">
        <v>0</v>
      </c>
      <c r="M1390" s="6">
        <v>165</v>
      </c>
      <c r="N1390" s="8">
        <f t="shared" si="147"/>
        <v>76.679999999999993</v>
      </c>
      <c r="O1390" s="8">
        <f t="shared" si="148"/>
        <v>2056.6799999999998</v>
      </c>
      <c r="P1390" s="8">
        <f t="shared" si="149"/>
        <v>2056.6799999999998</v>
      </c>
      <c r="Q1390" s="8">
        <f t="shared" si="150"/>
        <v>0</v>
      </c>
      <c r="R1390" s="9">
        <f t="shared" si="151"/>
        <v>2056.6799999999998</v>
      </c>
      <c r="S1390" s="10">
        <f t="shared" si="152"/>
        <v>171.39</v>
      </c>
      <c r="T1390">
        <v>165</v>
      </c>
      <c r="U1390">
        <f t="shared" si="153"/>
        <v>0</v>
      </c>
    </row>
    <row r="1391" spans="1:21" ht="14.25" customHeight="1" x14ac:dyDescent="0.35">
      <c r="A1391" s="6" t="s">
        <v>4289</v>
      </c>
      <c r="B1391" s="6" t="s">
        <v>4290</v>
      </c>
      <c r="C1391" s="6" t="s">
        <v>4291</v>
      </c>
      <c r="D1391" s="6" t="s">
        <v>98</v>
      </c>
      <c r="E1391" s="7" t="s">
        <v>23</v>
      </c>
      <c r="F1391" s="6">
        <v>85122</v>
      </c>
      <c r="G1391" s="6" t="s">
        <v>87</v>
      </c>
      <c r="H1391" s="6" t="s">
        <v>99</v>
      </c>
      <c r="I1391" s="6" t="s">
        <v>61</v>
      </c>
      <c r="J1391" s="6" t="b">
        <v>1</v>
      </c>
      <c r="K1391" s="6" t="s">
        <v>27</v>
      </c>
      <c r="L1391" s="6">
        <v>40</v>
      </c>
      <c r="M1391" s="6">
        <v>165</v>
      </c>
      <c r="N1391" s="8">
        <f t="shared" si="147"/>
        <v>76.679999999999993</v>
      </c>
      <c r="O1391" s="8">
        <f t="shared" si="148"/>
        <v>2096.6799999999998</v>
      </c>
      <c r="P1391" s="8">
        <f t="shared" si="149"/>
        <v>2096.6799999999998</v>
      </c>
      <c r="Q1391" s="8">
        <f t="shared" si="150"/>
        <v>0</v>
      </c>
      <c r="R1391" s="9">
        <f t="shared" si="151"/>
        <v>2096.6799999999998</v>
      </c>
      <c r="S1391" s="10">
        <f t="shared" si="152"/>
        <v>174.72333333333333</v>
      </c>
      <c r="T1391">
        <v>165</v>
      </c>
      <c r="U1391">
        <f t="shared" si="153"/>
        <v>0</v>
      </c>
    </row>
    <row r="1392" spans="1:21" ht="14.25" customHeight="1" x14ac:dyDescent="0.35">
      <c r="A1392" s="6" t="s">
        <v>4292</v>
      </c>
      <c r="B1392" s="6" t="s">
        <v>4293</v>
      </c>
      <c r="C1392" s="6" t="s">
        <v>4294</v>
      </c>
      <c r="D1392" s="6" t="s">
        <v>98</v>
      </c>
      <c r="E1392" s="7" t="s">
        <v>23</v>
      </c>
      <c r="F1392" s="6">
        <v>85122</v>
      </c>
      <c r="G1392" s="6" t="s">
        <v>87</v>
      </c>
      <c r="H1392" s="6" t="s">
        <v>99</v>
      </c>
      <c r="I1392" s="6" t="s">
        <v>110</v>
      </c>
      <c r="J1392" s="6" t="b">
        <v>1</v>
      </c>
      <c r="K1392" s="6" t="s">
        <v>27</v>
      </c>
      <c r="L1392" s="6">
        <v>40</v>
      </c>
      <c r="M1392" s="6">
        <v>165</v>
      </c>
      <c r="N1392" s="8">
        <f t="shared" si="147"/>
        <v>76.679999999999993</v>
      </c>
      <c r="O1392" s="8">
        <f t="shared" si="148"/>
        <v>2096.6799999999998</v>
      </c>
      <c r="P1392" s="8">
        <f t="shared" si="149"/>
        <v>2096.6799999999998</v>
      </c>
      <c r="Q1392" s="8">
        <f t="shared" si="150"/>
        <v>0</v>
      </c>
      <c r="R1392" s="9">
        <f t="shared" si="151"/>
        <v>2096.6799999999998</v>
      </c>
      <c r="S1392" s="10">
        <f t="shared" si="152"/>
        <v>174.72333333333333</v>
      </c>
      <c r="T1392">
        <v>165</v>
      </c>
      <c r="U1392">
        <f t="shared" si="153"/>
        <v>0</v>
      </c>
    </row>
    <row r="1393" spans="1:21" ht="14.25" customHeight="1" x14ac:dyDescent="0.35">
      <c r="A1393" s="6" t="s">
        <v>4295</v>
      </c>
      <c r="B1393" s="6" t="s">
        <v>4296</v>
      </c>
      <c r="C1393" s="6" t="s">
        <v>4297</v>
      </c>
      <c r="D1393" s="6" t="s">
        <v>77</v>
      </c>
      <c r="E1393" s="7" t="s">
        <v>23</v>
      </c>
      <c r="F1393" s="6">
        <v>85305</v>
      </c>
      <c r="G1393" s="6" t="s">
        <v>72</v>
      </c>
      <c r="H1393" s="6" t="s">
        <v>73</v>
      </c>
      <c r="I1393" s="6" t="s">
        <v>40</v>
      </c>
      <c r="J1393" s="6" t="b">
        <v>1</v>
      </c>
      <c r="K1393" s="6" t="s">
        <v>27</v>
      </c>
      <c r="L1393" s="6">
        <v>40</v>
      </c>
      <c r="M1393" s="6">
        <v>165</v>
      </c>
      <c r="N1393" s="8">
        <f t="shared" si="147"/>
        <v>76.679999999999993</v>
      </c>
      <c r="O1393" s="8">
        <f t="shared" si="148"/>
        <v>2096.6799999999998</v>
      </c>
      <c r="P1393" s="8">
        <f t="shared" si="149"/>
        <v>2096.6799999999998</v>
      </c>
      <c r="Q1393" s="8">
        <f t="shared" si="150"/>
        <v>0</v>
      </c>
      <c r="R1393" s="9">
        <f t="shared" si="151"/>
        <v>2096.6799999999998</v>
      </c>
      <c r="S1393" s="10">
        <f t="shared" si="152"/>
        <v>174.72333333333333</v>
      </c>
      <c r="T1393">
        <v>165</v>
      </c>
      <c r="U1393">
        <f t="shared" si="153"/>
        <v>0</v>
      </c>
    </row>
    <row r="1394" spans="1:21" ht="14.25" customHeight="1" x14ac:dyDescent="0.35">
      <c r="A1394" s="6" t="s">
        <v>4298</v>
      </c>
      <c r="B1394" s="6" t="s">
        <v>4299</v>
      </c>
      <c r="C1394" s="6" t="s">
        <v>4300</v>
      </c>
      <c r="D1394" s="6" t="s">
        <v>1226</v>
      </c>
      <c r="E1394" s="7" t="s">
        <v>23</v>
      </c>
      <c r="F1394" s="6">
        <v>85128</v>
      </c>
      <c r="G1394" s="6" t="s">
        <v>87</v>
      </c>
      <c r="H1394" s="6" t="s">
        <v>109</v>
      </c>
      <c r="I1394" s="6" t="s">
        <v>40</v>
      </c>
      <c r="J1394" s="6" t="b">
        <v>1</v>
      </c>
      <c r="K1394" s="6" t="s">
        <v>27</v>
      </c>
      <c r="L1394" s="6">
        <v>40</v>
      </c>
      <c r="M1394" s="6">
        <v>165</v>
      </c>
      <c r="N1394" s="8">
        <f t="shared" si="147"/>
        <v>76.679999999999993</v>
      </c>
      <c r="O1394" s="8">
        <f t="shared" si="148"/>
        <v>2096.6799999999998</v>
      </c>
      <c r="P1394" s="8">
        <f t="shared" si="149"/>
        <v>2096.6799999999998</v>
      </c>
      <c r="Q1394" s="8">
        <f t="shared" si="150"/>
        <v>0</v>
      </c>
      <c r="R1394" s="9">
        <f t="shared" si="151"/>
        <v>2096.6799999999998</v>
      </c>
      <c r="S1394" s="10">
        <f t="shared" si="152"/>
        <v>174.72333333333333</v>
      </c>
      <c r="T1394">
        <v>165</v>
      </c>
      <c r="U1394">
        <f t="shared" si="153"/>
        <v>0</v>
      </c>
    </row>
    <row r="1395" spans="1:21" ht="14.25" customHeight="1" x14ac:dyDescent="0.35">
      <c r="A1395" s="6" t="s">
        <v>4301</v>
      </c>
      <c r="B1395" s="6" t="s">
        <v>4302</v>
      </c>
      <c r="C1395" s="6" t="s">
        <v>4303</v>
      </c>
      <c r="D1395" s="6" t="s">
        <v>54</v>
      </c>
      <c r="E1395" s="7" t="s">
        <v>23</v>
      </c>
      <c r="F1395" s="6">
        <v>85757</v>
      </c>
      <c r="G1395" s="6" t="s">
        <v>55</v>
      </c>
      <c r="H1395" s="6" t="s">
        <v>56</v>
      </c>
      <c r="I1395" s="6" t="s">
        <v>40</v>
      </c>
      <c r="J1395" s="6" t="b">
        <v>1</v>
      </c>
      <c r="K1395" s="6" t="s">
        <v>27</v>
      </c>
      <c r="L1395" s="6">
        <v>40</v>
      </c>
      <c r="M1395" s="6">
        <v>165</v>
      </c>
      <c r="N1395" s="8">
        <f t="shared" si="147"/>
        <v>76.679999999999993</v>
      </c>
      <c r="O1395" s="8">
        <f t="shared" si="148"/>
        <v>2096.6799999999998</v>
      </c>
      <c r="P1395" s="8">
        <f t="shared" si="149"/>
        <v>2096.6799999999998</v>
      </c>
      <c r="Q1395" s="8">
        <f t="shared" si="150"/>
        <v>0</v>
      </c>
      <c r="R1395" s="9">
        <f t="shared" si="151"/>
        <v>2096.6799999999998</v>
      </c>
      <c r="S1395" s="10">
        <f t="shared" si="152"/>
        <v>174.72333333333333</v>
      </c>
      <c r="T1395">
        <v>165</v>
      </c>
      <c r="U1395">
        <f t="shared" si="153"/>
        <v>0</v>
      </c>
    </row>
    <row r="1396" spans="1:21" ht="14.25" customHeight="1" x14ac:dyDescent="0.35">
      <c r="A1396" s="6" t="s">
        <v>4304</v>
      </c>
      <c r="B1396" s="6" t="s">
        <v>4305</v>
      </c>
      <c r="C1396" s="6" t="s">
        <v>4306</v>
      </c>
      <c r="D1396" s="6" t="s">
        <v>310</v>
      </c>
      <c r="E1396" s="7" t="s">
        <v>23</v>
      </c>
      <c r="F1396" s="6">
        <v>85353</v>
      </c>
      <c r="G1396" s="6" t="s">
        <v>38</v>
      </c>
      <c r="H1396" s="6" t="s">
        <v>39</v>
      </c>
      <c r="I1396" s="6" t="s">
        <v>61</v>
      </c>
      <c r="J1396" s="6" t="b">
        <v>1</v>
      </c>
      <c r="K1396" s="6" t="s">
        <v>27</v>
      </c>
      <c r="L1396" s="6">
        <v>40</v>
      </c>
      <c r="M1396" s="6">
        <v>165</v>
      </c>
      <c r="N1396" s="8">
        <f t="shared" si="147"/>
        <v>76.679999999999993</v>
      </c>
      <c r="O1396" s="8">
        <f t="shared" si="148"/>
        <v>2096.6799999999998</v>
      </c>
      <c r="P1396" s="8">
        <f t="shared" si="149"/>
        <v>2096.6799999999998</v>
      </c>
      <c r="Q1396" s="8">
        <f t="shared" si="150"/>
        <v>0</v>
      </c>
      <c r="R1396" s="9">
        <f t="shared" si="151"/>
        <v>2096.6799999999998</v>
      </c>
      <c r="S1396" s="10">
        <f t="shared" si="152"/>
        <v>174.72333333333333</v>
      </c>
      <c r="T1396">
        <v>165</v>
      </c>
      <c r="U1396">
        <f t="shared" si="153"/>
        <v>0</v>
      </c>
    </row>
    <row r="1397" spans="1:21" ht="14.25" customHeight="1" x14ac:dyDescent="0.35">
      <c r="A1397" s="6" t="s">
        <v>4307</v>
      </c>
      <c r="B1397" s="6" t="s">
        <v>4308</v>
      </c>
      <c r="C1397" s="6" t="s">
        <v>4309</v>
      </c>
      <c r="D1397" s="6" t="s">
        <v>44</v>
      </c>
      <c r="E1397" s="7" t="s">
        <v>23</v>
      </c>
      <c r="F1397" s="6">
        <v>85024</v>
      </c>
      <c r="G1397" s="6" t="s">
        <v>32</v>
      </c>
      <c r="H1397" s="6" t="s">
        <v>50</v>
      </c>
      <c r="I1397" s="6" t="s">
        <v>61</v>
      </c>
      <c r="J1397" s="6" t="b">
        <v>1</v>
      </c>
      <c r="K1397" s="6" t="s">
        <v>27</v>
      </c>
      <c r="L1397" s="6">
        <v>40</v>
      </c>
      <c r="M1397" s="6">
        <v>165</v>
      </c>
      <c r="N1397" s="8">
        <f t="shared" si="147"/>
        <v>76.679999999999993</v>
      </c>
      <c r="O1397" s="8">
        <f t="shared" si="148"/>
        <v>2096.6799999999998</v>
      </c>
      <c r="P1397" s="8">
        <f t="shared" si="149"/>
        <v>2096.6799999999998</v>
      </c>
      <c r="Q1397" s="8">
        <f t="shared" si="150"/>
        <v>0</v>
      </c>
      <c r="R1397" s="9">
        <f t="shared" si="151"/>
        <v>2096.6799999999998</v>
      </c>
      <c r="S1397" s="10">
        <f t="shared" si="152"/>
        <v>174.72333333333333</v>
      </c>
      <c r="T1397">
        <v>165</v>
      </c>
      <c r="U1397">
        <f t="shared" si="153"/>
        <v>0</v>
      </c>
    </row>
    <row r="1398" spans="1:21" ht="14.25" customHeight="1" x14ac:dyDescent="0.35">
      <c r="A1398" s="6" t="s">
        <v>4310</v>
      </c>
      <c r="B1398" s="6" t="s">
        <v>4311</v>
      </c>
      <c r="C1398" s="6" t="s">
        <v>4312</v>
      </c>
      <c r="D1398" s="6" t="s">
        <v>165</v>
      </c>
      <c r="E1398" s="7" t="s">
        <v>23</v>
      </c>
      <c r="F1398" s="6">
        <v>85234</v>
      </c>
      <c r="G1398" s="6" t="s">
        <v>125</v>
      </c>
      <c r="H1398" s="6" t="s">
        <v>1047</v>
      </c>
      <c r="I1398" s="6" t="s">
        <v>26</v>
      </c>
      <c r="J1398" s="6" t="b">
        <v>1</v>
      </c>
      <c r="K1398" s="6" t="s">
        <v>27</v>
      </c>
      <c r="L1398" s="6">
        <v>40</v>
      </c>
      <c r="M1398" s="6">
        <v>165</v>
      </c>
      <c r="N1398" s="8">
        <f t="shared" si="147"/>
        <v>76.679999999999993</v>
      </c>
      <c r="O1398" s="8">
        <f t="shared" si="148"/>
        <v>2096.6799999999998</v>
      </c>
      <c r="P1398" s="8">
        <f t="shared" si="149"/>
        <v>2096.6799999999998</v>
      </c>
      <c r="Q1398" s="8">
        <f t="shared" si="150"/>
        <v>0</v>
      </c>
      <c r="R1398" s="9">
        <f t="shared" si="151"/>
        <v>2096.6799999999998</v>
      </c>
      <c r="S1398" s="10">
        <f t="shared" si="152"/>
        <v>174.72333333333333</v>
      </c>
      <c r="T1398">
        <v>165</v>
      </c>
      <c r="U1398">
        <f t="shared" si="153"/>
        <v>0</v>
      </c>
    </row>
    <row r="1399" spans="1:21" ht="14.25" customHeight="1" x14ac:dyDescent="0.35">
      <c r="A1399" s="6" t="s">
        <v>4313</v>
      </c>
      <c r="B1399" s="6" t="s">
        <v>4314</v>
      </c>
      <c r="C1399" s="6" t="s">
        <v>4315</v>
      </c>
      <c r="D1399" s="6" t="s">
        <v>892</v>
      </c>
      <c r="E1399" s="7" t="s">
        <v>23</v>
      </c>
      <c r="F1399" s="6">
        <v>85142</v>
      </c>
      <c r="G1399" s="6" t="s">
        <v>125</v>
      </c>
      <c r="H1399" s="6" t="s">
        <v>1047</v>
      </c>
      <c r="I1399" s="6" t="s">
        <v>26</v>
      </c>
      <c r="J1399" s="6" t="b">
        <v>1</v>
      </c>
      <c r="K1399" s="6" t="s">
        <v>27</v>
      </c>
      <c r="L1399" s="6">
        <v>40</v>
      </c>
      <c r="M1399" s="6">
        <v>165</v>
      </c>
      <c r="N1399" s="8">
        <f t="shared" si="147"/>
        <v>76.679999999999993</v>
      </c>
      <c r="O1399" s="8">
        <f t="shared" si="148"/>
        <v>2096.6799999999998</v>
      </c>
      <c r="P1399" s="8">
        <f t="shared" si="149"/>
        <v>2096.6799999999998</v>
      </c>
      <c r="Q1399" s="8">
        <f t="shared" si="150"/>
        <v>0</v>
      </c>
      <c r="R1399" s="9">
        <f t="shared" si="151"/>
        <v>2096.6799999999998</v>
      </c>
      <c r="S1399" s="10">
        <f t="shared" si="152"/>
        <v>174.72333333333333</v>
      </c>
      <c r="T1399">
        <v>165</v>
      </c>
      <c r="U1399">
        <f t="shared" si="153"/>
        <v>0</v>
      </c>
    </row>
    <row r="1400" spans="1:21" ht="14.25" customHeight="1" x14ac:dyDescent="0.35">
      <c r="A1400" s="6" t="s">
        <v>4316</v>
      </c>
      <c r="B1400" s="6" t="s">
        <v>4317</v>
      </c>
      <c r="C1400" s="6" t="s">
        <v>4318</v>
      </c>
      <c r="D1400" s="6" t="s">
        <v>31</v>
      </c>
      <c r="E1400" s="7" t="s">
        <v>23</v>
      </c>
      <c r="F1400" s="6">
        <v>85255</v>
      </c>
      <c r="G1400" s="6" t="s">
        <v>32</v>
      </c>
      <c r="H1400" s="6" t="s">
        <v>33</v>
      </c>
      <c r="I1400" s="6" t="s">
        <v>26</v>
      </c>
      <c r="J1400" s="6" t="b">
        <v>1</v>
      </c>
      <c r="K1400" s="6" t="s">
        <v>27</v>
      </c>
      <c r="L1400" s="6">
        <v>40</v>
      </c>
      <c r="M1400" s="6">
        <v>165</v>
      </c>
      <c r="N1400" s="8">
        <f t="shared" si="147"/>
        <v>76.679999999999993</v>
      </c>
      <c r="O1400" s="8">
        <f t="shared" si="148"/>
        <v>2096.6799999999998</v>
      </c>
      <c r="P1400" s="8">
        <f t="shared" si="149"/>
        <v>2096.6799999999998</v>
      </c>
      <c r="Q1400" s="8">
        <f t="shared" si="150"/>
        <v>0</v>
      </c>
      <c r="R1400" s="9">
        <f t="shared" si="151"/>
        <v>2096.6799999999998</v>
      </c>
      <c r="S1400" s="10">
        <f t="shared" si="152"/>
        <v>174.72333333333333</v>
      </c>
      <c r="T1400">
        <v>165</v>
      </c>
      <c r="U1400">
        <f t="shared" si="153"/>
        <v>0</v>
      </c>
    </row>
    <row r="1401" spans="1:21" ht="14.25" customHeight="1" x14ac:dyDescent="0.35">
      <c r="A1401" s="6" t="s">
        <v>4319</v>
      </c>
      <c r="B1401" s="6" t="s">
        <v>4320</v>
      </c>
      <c r="C1401" s="6" t="s">
        <v>4321</v>
      </c>
      <c r="D1401" s="6" t="s">
        <v>71</v>
      </c>
      <c r="E1401" s="7" t="s">
        <v>23</v>
      </c>
      <c r="F1401" s="6">
        <v>85345</v>
      </c>
      <c r="G1401" s="6" t="s">
        <v>78</v>
      </c>
      <c r="H1401" s="6" t="s">
        <v>79</v>
      </c>
      <c r="I1401" s="6" t="s">
        <v>110</v>
      </c>
      <c r="J1401" s="6" t="b">
        <v>1</v>
      </c>
      <c r="K1401" s="6" t="s">
        <v>27</v>
      </c>
      <c r="L1401" s="6">
        <v>40</v>
      </c>
      <c r="M1401" s="6">
        <v>165</v>
      </c>
      <c r="N1401" s="8">
        <f t="shared" si="147"/>
        <v>76.679999999999993</v>
      </c>
      <c r="O1401" s="8">
        <f t="shared" si="148"/>
        <v>2096.6799999999998</v>
      </c>
      <c r="P1401" s="8">
        <f t="shared" si="149"/>
        <v>2096.6799999999998</v>
      </c>
      <c r="Q1401" s="8">
        <f t="shared" si="150"/>
        <v>0</v>
      </c>
      <c r="R1401" s="9">
        <f t="shared" si="151"/>
        <v>2096.6799999999998</v>
      </c>
      <c r="S1401" s="10">
        <f t="shared" si="152"/>
        <v>174.72333333333333</v>
      </c>
      <c r="T1401">
        <v>165</v>
      </c>
      <c r="U1401">
        <f t="shared" si="153"/>
        <v>0</v>
      </c>
    </row>
    <row r="1402" spans="1:21" ht="14.25" customHeight="1" x14ac:dyDescent="0.35">
      <c r="A1402" s="6" t="s">
        <v>4322</v>
      </c>
      <c r="B1402" s="6" t="s">
        <v>4323</v>
      </c>
      <c r="C1402" s="6" t="s">
        <v>4324</v>
      </c>
      <c r="D1402" s="6" t="s">
        <v>4325</v>
      </c>
      <c r="E1402" s="7" t="s">
        <v>23</v>
      </c>
      <c r="F1402" s="6">
        <v>85641</v>
      </c>
      <c r="G1402" s="6" t="s">
        <v>55</v>
      </c>
      <c r="H1402" s="6" t="s">
        <v>56</v>
      </c>
      <c r="I1402" s="6" t="s">
        <v>61</v>
      </c>
      <c r="J1402" s="6" t="b">
        <v>1</v>
      </c>
      <c r="K1402" s="6" t="s">
        <v>27</v>
      </c>
      <c r="L1402" s="6">
        <v>40</v>
      </c>
      <c r="M1402" s="6">
        <v>165</v>
      </c>
      <c r="N1402" s="8">
        <f t="shared" si="147"/>
        <v>76.679999999999993</v>
      </c>
      <c r="O1402" s="8">
        <f t="shared" si="148"/>
        <v>2096.6799999999998</v>
      </c>
      <c r="P1402" s="8">
        <f t="shared" si="149"/>
        <v>2096.6799999999998</v>
      </c>
      <c r="Q1402" s="8">
        <f t="shared" si="150"/>
        <v>0</v>
      </c>
      <c r="R1402" s="9">
        <f t="shared" si="151"/>
        <v>2096.6799999999998</v>
      </c>
      <c r="S1402" s="10">
        <f t="shared" si="152"/>
        <v>174.72333333333333</v>
      </c>
      <c r="T1402">
        <v>165</v>
      </c>
      <c r="U1402">
        <f t="shared" si="153"/>
        <v>0</v>
      </c>
    </row>
    <row r="1403" spans="1:21" ht="14.25" customHeight="1" x14ac:dyDescent="0.35">
      <c r="A1403" s="6" t="s">
        <v>4326</v>
      </c>
      <c r="B1403" s="6" t="s">
        <v>4327</v>
      </c>
      <c r="C1403" s="6" t="s">
        <v>4328</v>
      </c>
      <c r="D1403" s="6" t="s">
        <v>98</v>
      </c>
      <c r="E1403" s="7" t="s">
        <v>23</v>
      </c>
      <c r="F1403" s="6">
        <v>85122</v>
      </c>
      <c r="G1403" s="6" t="s">
        <v>87</v>
      </c>
      <c r="H1403" s="6" t="s">
        <v>99</v>
      </c>
      <c r="I1403" s="6" t="s">
        <v>110</v>
      </c>
      <c r="J1403" s="6" t="b">
        <v>1</v>
      </c>
      <c r="K1403" s="6" t="s">
        <v>27</v>
      </c>
      <c r="L1403" s="6">
        <v>40</v>
      </c>
      <c r="M1403" s="6">
        <v>165</v>
      </c>
      <c r="N1403" s="8">
        <f t="shared" si="147"/>
        <v>76.679999999999993</v>
      </c>
      <c r="O1403" s="8">
        <f t="shared" si="148"/>
        <v>2096.6799999999998</v>
      </c>
      <c r="P1403" s="8">
        <f t="shared" si="149"/>
        <v>2096.6799999999998</v>
      </c>
      <c r="Q1403" s="8">
        <f t="shared" si="150"/>
        <v>0</v>
      </c>
      <c r="R1403" s="9">
        <f t="shared" si="151"/>
        <v>2096.6799999999998</v>
      </c>
      <c r="S1403" s="10">
        <f t="shared" si="152"/>
        <v>174.72333333333333</v>
      </c>
      <c r="T1403">
        <v>165</v>
      </c>
      <c r="U1403">
        <f t="shared" si="153"/>
        <v>0</v>
      </c>
    </row>
    <row r="1404" spans="1:21" ht="14.25" customHeight="1" x14ac:dyDescent="0.35">
      <c r="A1404" s="6" t="s">
        <v>4329</v>
      </c>
      <c r="B1404" s="6" t="s">
        <v>4330</v>
      </c>
      <c r="C1404" s="6" t="s">
        <v>4331</v>
      </c>
      <c r="D1404" s="6" t="s">
        <v>44</v>
      </c>
      <c r="E1404" s="7" t="s">
        <v>23</v>
      </c>
      <c r="F1404" s="6">
        <v>85021</v>
      </c>
      <c r="G1404" s="6" t="s">
        <v>72</v>
      </c>
      <c r="H1404" s="6" t="s">
        <v>73</v>
      </c>
      <c r="I1404" s="6" t="s">
        <v>26</v>
      </c>
      <c r="J1404" s="6" t="b">
        <v>1</v>
      </c>
      <c r="K1404" s="6" t="s">
        <v>27</v>
      </c>
      <c r="L1404" s="6">
        <v>40</v>
      </c>
      <c r="M1404" s="6">
        <v>165</v>
      </c>
      <c r="N1404" s="8">
        <f t="shared" si="147"/>
        <v>76.679999999999993</v>
      </c>
      <c r="O1404" s="8">
        <f t="shared" si="148"/>
        <v>2096.6799999999998</v>
      </c>
      <c r="P1404" s="8">
        <f t="shared" si="149"/>
        <v>2096.6799999999998</v>
      </c>
      <c r="Q1404" s="8">
        <f t="shared" si="150"/>
        <v>0</v>
      </c>
      <c r="R1404" s="9">
        <f t="shared" si="151"/>
        <v>2096.6799999999998</v>
      </c>
      <c r="S1404" s="10">
        <f t="shared" si="152"/>
        <v>174.72333333333333</v>
      </c>
      <c r="T1404">
        <v>165</v>
      </c>
      <c r="U1404">
        <f t="shared" si="153"/>
        <v>0</v>
      </c>
    </row>
    <row r="1405" spans="1:21" ht="14.25" customHeight="1" x14ac:dyDescent="0.35">
      <c r="A1405" s="6" t="s">
        <v>4332</v>
      </c>
      <c r="B1405" s="6" t="s">
        <v>4333</v>
      </c>
      <c r="C1405" s="6" t="s">
        <v>4334</v>
      </c>
      <c r="D1405" s="6" t="s">
        <v>430</v>
      </c>
      <c r="E1405" s="7" t="s">
        <v>23</v>
      </c>
      <c r="F1405" s="6">
        <v>85253</v>
      </c>
      <c r="G1405" s="6" t="s">
        <v>45</v>
      </c>
      <c r="H1405" s="6" t="s">
        <v>291</v>
      </c>
      <c r="I1405" s="6" t="s">
        <v>26</v>
      </c>
      <c r="J1405" s="6" t="b">
        <v>1</v>
      </c>
      <c r="K1405" s="6" t="s">
        <v>27</v>
      </c>
      <c r="L1405" s="6">
        <v>40</v>
      </c>
      <c r="M1405" s="6">
        <v>165</v>
      </c>
      <c r="N1405" s="8">
        <f t="shared" si="147"/>
        <v>76.679999999999993</v>
      </c>
      <c r="O1405" s="8">
        <f t="shared" si="148"/>
        <v>2096.6799999999998</v>
      </c>
      <c r="P1405" s="8">
        <f t="shared" si="149"/>
        <v>2096.6799999999998</v>
      </c>
      <c r="Q1405" s="8">
        <f t="shared" si="150"/>
        <v>0</v>
      </c>
      <c r="R1405" s="9">
        <f t="shared" si="151"/>
        <v>2096.6799999999998</v>
      </c>
      <c r="S1405" s="10">
        <f t="shared" si="152"/>
        <v>174.72333333333333</v>
      </c>
      <c r="T1405">
        <v>165</v>
      </c>
      <c r="U1405">
        <f t="shared" si="153"/>
        <v>0</v>
      </c>
    </row>
    <row r="1406" spans="1:21" ht="14.25" customHeight="1" x14ac:dyDescent="0.35">
      <c r="A1406" s="6" t="s">
        <v>4335</v>
      </c>
      <c r="B1406" s="6" t="s">
        <v>4336</v>
      </c>
      <c r="C1406" s="6" t="s">
        <v>4337</v>
      </c>
      <c r="D1406" s="6" t="s">
        <v>98</v>
      </c>
      <c r="E1406" s="7" t="s">
        <v>23</v>
      </c>
      <c r="F1406" s="6">
        <v>85122</v>
      </c>
      <c r="G1406" s="6" t="s">
        <v>87</v>
      </c>
      <c r="H1406" s="6" t="s">
        <v>99</v>
      </c>
      <c r="I1406" s="6" t="s">
        <v>26</v>
      </c>
      <c r="J1406" s="6" t="b">
        <v>1</v>
      </c>
      <c r="K1406" s="6" t="s">
        <v>27</v>
      </c>
      <c r="L1406" s="6">
        <v>40</v>
      </c>
      <c r="M1406" s="6">
        <v>165</v>
      </c>
      <c r="N1406" s="8">
        <f t="shared" si="147"/>
        <v>76.679999999999993</v>
      </c>
      <c r="O1406" s="8">
        <f t="shared" si="148"/>
        <v>2096.6799999999998</v>
      </c>
      <c r="P1406" s="8">
        <f t="shared" si="149"/>
        <v>2096.6799999999998</v>
      </c>
      <c r="Q1406" s="8">
        <f t="shared" si="150"/>
        <v>0</v>
      </c>
      <c r="R1406" s="9">
        <f t="shared" si="151"/>
        <v>2096.6799999999998</v>
      </c>
      <c r="S1406" s="10">
        <f t="shared" si="152"/>
        <v>174.72333333333333</v>
      </c>
      <c r="T1406">
        <v>165</v>
      </c>
      <c r="U1406">
        <f t="shared" si="153"/>
        <v>0</v>
      </c>
    </row>
    <row r="1407" spans="1:21" ht="14.25" customHeight="1" x14ac:dyDescent="0.35">
      <c r="A1407" s="6" t="s">
        <v>4338</v>
      </c>
      <c r="B1407" s="6" t="s">
        <v>4339</v>
      </c>
      <c r="C1407" s="6" t="s">
        <v>4340</v>
      </c>
      <c r="D1407" s="6" t="s">
        <v>44</v>
      </c>
      <c r="E1407" s="7" t="s">
        <v>23</v>
      </c>
      <c r="F1407" s="6">
        <v>85041</v>
      </c>
      <c r="G1407" s="6" t="s">
        <v>213</v>
      </c>
      <c r="H1407" s="6" t="s">
        <v>39</v>
      </c>
      <c r="I1407" s="6" t="s">
        <v>26</v>
      </c>
      <c r="J1407" s="6" t="b">
        <v>1</v>
      </c>
      <c r="K1407" s="6" t="s">
        <v>27</v>
      </c>
      <c r="L1407" s="6">
        <v>40</v>
      </c>
      <c r="M1407" s="6">
        <v>165</v>
      </c>
      <c r="N1407" s="8">
        <f t="shared" si="147"/>
        <v>76.679999999999993</v>
      </c>
      <c r="O1407" s="8">
        <f t="shared" si="148"/>
        <v>2096.6799999999998</v>
      </c>
      <c r="P1407" s="8">
        <f t="shared" si="149"/>
        <v>2096.6799999999998</v>
      </c>
      <c r="Q1407" s="8">
        <f t="shared" si="150"/>
        <v>0</v>
      </c>
      <c r="R1407" s="9">
        <f t="shared" si="151"/>
        <v>2096.6799999999998</v>
      </c>
      <c r="S1407" s="10">
        <f t="shared" si="152"/>
        <v>174.72333333333333</v>
      </c>
      <c r="T1407">
        <v>165</v>
      </c>
      <c r="U1407">
        <f t="shared" si="153"/>
        <v>0</v>
      </c>
    </row>
    <row r="1408" spans="1:21" ht="14.25" customHeight="1" x14ac:dyDescent="0.35">
      <c r="A1408" s="6" t="s">
        <v>4341</v>
      </c>
      <c r="B1408" s="6" t="s">
        <v>4342</v>
      </c>
      <c r="C1408" s="6" t="s">
        <v>4343</v>
      </c>
      <c r="D1408" s="6" t="s">
        <v>363</v>
      </c>
      <c r="E1408" s="7" t="s">
        <v>23</v>
      </c>
      <c r="F1408" s="6">
        <v>85283</v>
      </c>
      <c r="G1408" s="6" t="s">
        <v>364</v>
      </c>
      <c r="H1408" s="6" t="s">
        <v>365</v>
      </c>
      <c r="I1408" s="6" t="s">
        <v>26</v>
      </c>
      <c r="J1408" s="6" t="b">
        <v>1</v>
      </c>
      <c r="K1408" s="6" t="s">
        <v>27</v>
      </c>
      <c r="L1408" s="6">
        <v>40</v>
      </c>
      <c r="M1408" s="6">
        <v>165</v>
      </c>
      <c r="N1408" s="8">
        <f t="shared" si="147"/>
        <v>76.679999999999993</v>
      </c>
      <c r="O1408" s="8">
        <f t="shared" si="148"/>
        <v>2096.6799999999998</v>
      </c>
      <c r="P1408" s="8">
        <f t="shared" si="149"/>
        <v>2096.6799999999998</v>
      </c>
      <c r="Q1408" s="8">
        <f t="shared" si="150"/>
        <v>0</v>
      </c>
      <c r="R1408" s="9">
        <f t="shared" si="151"/>
        <v>2096.6799999999998</v>
      </c>
      <c r="S1408" s="10">
        <f t="shared" si="152"/>
        <v>174.72333333333333</v>
      </c>
      <c r="T1408">
        <v>165</v>
      </c>
      <c r="U1408">
        <f t="shared" si="153"/>
        <v>0</v>
      </c>
    </row>
    <row r="1409" spans="1:21" ht="14.25" customHeight="1" x14ac:dyDescent="0.35">
      <c r="A1409" s="6" t="s">
        <v>4344</v>
      </c>
      <c r="B1409" s="6" t="s">
        <v>4345</v>
      </c>
      <c r="C1409" s="6" t="s">
        <v>4346</v>
      </c>
      <c r="D1409" s="6" t="s">
        <v>267</v>
      </c>
      <c r="E1409" s="7" t="s">
        <v>23</v>
      </c>
      <c r="F1409" s="6">
        <v>85388</v>
      </c>
      <c r="G1409" s="6" t="s">
        <v>78</v>
      </c>
      <c r="H1409" s="6" t="s">
        <v>281</v>
      </c>
      <c r="I1409" s="6" t="s">
        <v>26</v>
      </c>
      <c r="J1409" s="6" t="b">
        <v>1</v>
      </c>
      <c r="K1409" s="6" t="s">
        <v>27</v>
      </c>
      <c r="L1409" s="6">
        <v>40</v>
      </c>
      <c r="M1409" s="6">
        <v>165</v>
      </c>
      <c r="N1409" s="8">
        <f t="shared" si="147"/>
        <v>76.679999999999993</v>
      </c>
      <c r="O1409" s="8">
        <f t="shared" si="148"/>
        <v>2096.6799999999998</v>
      </c>
      <c r="P1409" s="8">
        <f t="shared" si="149"/>
        <v>2096.6799999999998</v>
      </c>
      <c r="Q1409" s="8">
        <f t="shared" si="150"/>
        <v>0</v>
      </c>
      <c r="R1409" s="9">
        <f t="shared" si="151"/>
        <v>2096.6799999999998</v>
      </c>
      <c r="S1409" s="10">
        <f t="shared" si="152"/>
        <v>174.72333333333333</v>
      </c>
      <c r="T1409">
        <v>165</v>
      </c>
      <c r="U1409">
        <f t="shared" si="153"/>
        <v>0</v>
      </c>
    </row>
    <row r="1410" spans="1:21" ht="14.25" customHeight="1" x14ac:dyDescent="0.35">
      <c r="A1410" s="6" t="s">
        <v>4347</v>
      </c>
      <c r="B1410" s="6" t="s">
        <v>4348</v>
      </c>
      <c r="C1410" s="6" t="s">
        <v>4349</v>
      </c>
      <c r="D1410" s="6" t="s">
        <v>363</v>
      </c>
      <c r="E1410" s="7" t="s">
        <v>23</v>
      </c>
      <c r="F1410" s="6">
        <v>85281</v>
      </c>
      <c r="G1410" s="6" t="s">
        <v>364</v>
      </c>
      <c r="H1410" s="6" t="s">
        <v>365</v>
      </c>
      <c r="I1410" s="6" t="s">
        <v>26</v>
      </c>
      <c r="J1410" s="6" t="b">
        <v>1</v>
      </c>
      <c r="K1410" s="6" t="s">
        <v>27</v>
      </c>
      <c r="L1410" s="6">
        <v>41.2</v>
      </c>
      <c r="M1410" s="6">
        <v>165</v>
      </c>
      <c r="N1410" s="8">
        <f t="shared" ref="N1410:N1473" si="154">IF(J1410=TRUE, 6.39*12, "0")</f>
        <v>76.679999999999993</v>
      </c>
      <c r="O1410" s="8">
        <f t="shared" ref="O1410:O1473" si="155">L1410+(M1410*12)+N1410</f>
        <v>2097.88</v>
      </c>
      <c r="P1410" s="8">
        <f t="shared" ref="P1410:P1473" si="156">IF(OR(K1410="Check",K1410="ACH"), O1410*0.97, O1410)</f>
        <v>2097.88</v>
      </c>
      <c r="Q1410" s="8">
        <f t="shared" ref="Q1410:Q1473" si="157">P1410-O1410</f>
        <v>0</v>
      </c>
      <c r="R1410" s="9">
        <f t="shared" ref="R1410:R1473" si="158">O1410-Q1410</f>
        <v>2097.88</v>
      </c>
      <c r="S1410" s="10">
        <f t="shared" ref="S1410:S1473" si="159">R1410/12</f>
        <v>174.82333333333335</v>
      </c>
      <c r="T1410">
        <v>165</v>
      </c>
      <c r="U1410">
        <f t="shared" si="153"/>
        <v>0</v>
      </c>
    </row>
    <row r="1411" spans="1:21" ht="14.25" customHeight="1" x14ac:dyDescent="0.35">
      <c r="A1411" s="6" t="s">
        <v>4350</v>
      </c>
      <c r="B1411" s="6" t="s">
        <v>4351</v>
      </c>
      <c r="C1411" s="6" t="s">
        <v>4352</v>
      </c>
      <c r="D1411" s="6" t="s">
        <v>65</v>
      </c>
      <c r="E1411" s="7" t="s">
        <v>23</v>
      </c>
      <c r="F1411" s="6">
        <v>85202</v>
      </c>
      <c r="G1411" s="6" t="s">
        <v>364</v>
      </c>
      <c r="H1411" s="6" t="s">
        <v>365</v>
      </c>
      <c r="J1411" s="6" t="b">
        <v>1</v>
      </c>
      <c r="K1411" s="6" t="s">
        <v>27</v>
      </c>
      <c r="L1411" s="6">
        <v>41.2</v>
      </c>
      <c r="M1411" s="6">
        <v>165</v>
      </c>
      <c r="N1411" s="8">
        <f t="shared" si="154"/>
        <v>76.679999999999993</v>
      </c>
      <c r="O1411" s="8">
        <f t="shared" si="155"/>
        <v>2097.88</v>
      </c>
      <c r="P1411" s="8">
        <f t="shared" si="156"/>
        <v>2097.88</v>
      </c>
      <c r="Q1411" s="8">
        <f t="shared" si="157"/>
        <v>0</v>
      </c>
      <c r="R1411" s="9">
        <f t="shared" si="158"/>
        <v>2097.88</v>
      </c>
      <c r="S1411" s="10">
        <f t="shared" si="159"/>
        <v>174.82333333333335</v>
      </c>
      <c r="T1411">
        <v>165</v>
      </c>
      <c r="U1411">
        <f t="shared" si="153"/>
        <v>0</v>
      </c>
    </row>
    <row r="1412" spans="1:21" ht="14.25" customHeight="1" x14ac:dyDescent="0.35">
      <c r="A1412" s="6" t="s">
        <v>4353</v>
      </c>
      <c r="B1412" s="6" t="s">
        <v>4354</v>
      </c>
      <c r="C1412" s="6" t="s">
        <v>4355</v>
      </c>
      <c r="D1412" s="6" t="s">
        <v>65</v>
      </c>
      <c r="E1412" s="7" t="s">
        <v>23</v>
      </c>
      <c r="F1412" s="6">
        <v>85203</v>
      </c>
      <c r="G1412" s="6" t="s">
        <v>66</v>
      </c>
      <c r="H1412" s="6" t="s">
        <v>1047</v>
      </c>
      <c r="I1412" s="6" t="s">
        <v>26</v>
      </c>
      <c r="J1412" s="6" t="b">
        <v>1</v>
      </c>
      <c r="K1412" s="6" t="s">
        <v>27</v>
      </c>
      <c r="L1412" s="6">
        <v>41.2</v>
      </c>
      <c r="M1412" s="6">
        <v>165</v>
      </c>
      <c r="N1412" s="8">
        <f t="shared" si="154"/>
        <v>76.679999999999993</v>
      </c>
      <c r="O1412" s="8">
        <f t="shared" si="155"/>
        <v>2097.88</v>
      </c>
      <c r="P1412" s="8">
        <f t="shared" si="156"/>
        <v>2097.88</v>
      </c>
      <c r="Q1412" s="8">
        <f t="shared" si="157"/>
        <v>0</v>
      </c>
      <c r="R1412" s="9">
        <f t="shared" si="158"/>
        <v>2097.88</v>
      </c>
      <c r="S1412" s="10">
        <f t="shared" si="159"/>
        <v>174.82333333333335</v>
      </c>
      <c r="T1412">
        <v>165</v>
      </c>
      <c r="U1412">
        <f t="shared" ref="U1412:U1475" si="160">SUM(T1412-M1412)</f>
        <v>0</v>
      </c>
    </row>
    <row r="1413" spans="1:21" ht="14.25" customHeight="1" x14ac:dyDescent="0.35">
      <c r="A1413" s="6" t="s">
        <v>4362</v>
      </c>
      <c r="B1413" s="6" t="s">
        <v>4363</v>
      </c>
      <c r="C1413" s="6" t="s">
        <v>4364</v>
      </c>
      <c r="D1413" s="6" t="s">
        <v>165</v>
      </c>
      <c r="E1413" s="7" t="s">
        <v>23</v>
      </c>
      <c r="F1413" s="6">
        <v>85296</v>
      </c>
      <c r="G1413" s="6" t="s">
        <v>125</v>
      </c>
      <c r="H1413" s="6" t="s">
        <v>225</v>
      </c>
      <c r="I1413" s="6" t="s">
        <v>26</v>
      </c>
      <c r="J1413" s="6" t="b">
        <v>1</v>
      </c>
      <c r="K1413" s="6" t="s">
        <v>89</v>
      </c>
      <c r="L1413" s="6">
        <v>0</v>
      </c>
      <c r="M1413" s="6">
        <v>165</v>
      </c>
      <c r="N1413" s="8">
        <f t="shared" si="154"/>
        <v>76.679999999999993</v>
      </c>
      <c r="O1413" s="8">
        <f t="shared" si="155"/>
        <v>2056.6799999999998</v>
      </c>
      <c r="P1413" s="8">
        <f t="shared" si="156"/>
        <v>1994.9795999999999</v>
      </c>
      <c r="Q1413" s="8">
        <f t="shared" si="157"/>
        <v>-61.700399999999945</v>
      </c>
      <c r="R1413" s="9">
        <f t="shared" si="158"/>
        <v>2118.3804</v>
      </c>
      <c r="S1413" s="10">
        <f t="shared" si="159"/>
        <v>176.5317</v>
      </c>
      <c r="T1413">
        <v>165</v>
      </c>
      <c r="U1413">
        <f t="shared" si="160"/>
        <v>0</v>
      </c>
    </row>
    <row r="1414" spans="1:21" ht="14.25" customHeight="1" x14ac:dyDescent="0.35">
      <c r="A1414" s="6" t="s">
        <v>4470</v>
      </c>
      <c r="B1414" s="6" t="s">
        <v>4471</v>
      </c>
      <c r="C1414" s="6" t="s">
        <v>4472</v>
      </c>
      <c r="D1414" s="6" t="s">
        <v>44</v>
      </c>
      <c r="E1414" s="7" t="s">
        <v>23</v>
      </c>
      <c r="F1414" s="6">
        <v>85085</v>
      </c>
      <c r="G1414" s="6" t="s">
        <v>32</v>
      </c>
      <c r="H1414" s="6" t="s">
        <v>79</v>
      </c>
      <c r="I1414" s="6" t="s">
        <v>40</v>
      </c>
      <c r="J1414" s="6" t="b">
        <v>1</v>
      </c>
      <c r="K1414" s="6" t="s">
        <v>89</v>
      </c>
      <c r="L1414" s="6">
        <v>40</v>
      </c>
      <c r="M1414" s="6">
        <v>165</v>
      </c>
      <c r="N1414" s="8">
        <f t="shared" si="154"/>
        <v>76.679999999999993</v>
      </c>
      <c r="O1414" s="8">
        <f t="shared" si="155"/>
        <v>2096.6799999999998</v>
      </c>
      <c r="P1414" s="8">
        <f t="shared" si="156"/>
        <v>2033.7795999999998</v>
      </c>
      <c r="Q1414" s="8">
        <f t="shared" si="157"/>
        <v>-62.900399999999991</v>
      </c>
      <c r="R1414" s="9">
        <f t="shared" si="158"/>
        <v>2159.5803999999998</v>
      </c>
      <c r="S1414" s="10">
        <f t="shared" si="159"/>
        <v>179.96503333333331</v>
      </c>
      <c r="T1414">
        <v>165</v>
      </c>
      <c r="U1414">
        <f t="shared" si="160"/>
        <v>0</v>
      </c>
    </row>
    <row r="1415" spans="1:21" ht="14.25" customHeight="1" x14ac:dyDescent="0.35">
      <c r="A1415" s="6" t="s">
        <v>4473</v>
      </c>
      <c r="B1415" s="6" t="s">
        <v>4474</v>
      </c>
      <c r="C1415" s="6" t="s">
        <v>4475</v>
      </c>
      <c r="D1415" s="6" t="s">
        <v>65</v>
      </c>
      <c r="E1415" s="7" t="s">
        <v>23</v>
      </c>
      <c r="F1415" s="6">
        <v>85212</v>
      </c>
      <c r="G1415" s="6" t="s">
        <v>125</v>
      </c>
      <c r="H1415" s="6" t="s">
        <v>225</v>
      </c>
      <c r="I1415" s="6" t="s">
        <v>26</v>
      </c>
      <c r="J1415" s="6" t="b">
        <v>1</v>
      </c>
      <c r="K1415" s="6" t="s">
        <v>89</v>
      </c>
      <c r="L1415" s="6">
        <v>40</v>
      </c>
      <c r="M1415" s="6">
        <v>165</v>
      </c>
      <c r="N1415" s="8">
        <f t="shared" si="154"/>
        <v>76.679999999999993</v>
      </c>
      <c r="O1415" s="8">
        <f t="shared" si="155"/>
        <v>2096.6799999999998</v>
      </c>
      <c r="P1415" s="8">
        <f t="shared" si="156"/>
        <v>2033.7795999999998</v>
      </c>
      <c r="Q1415" s="8">
        <f t="shared" si="157"/>
        <v>-62.900399999999991</v>
      </c>
      <c r="R1415" s="9">
        <f t="shared" si="158"/>
        <v>2159.5803999999998</v>
      </c>
      <c r="S1415" s="10">
        <f t="shared" si="159"/>
        <v>179.96503333333331</v>
      </c>
      <c r="T1415">
        <v>165</v>
      </c>
      <c r="U1415">
        <f t="shared" si="160"/>
        <v>0</v>
      </c>
    </row>
    <row r="1416" spans="1:21" ht="14.25" customHeight="1" x14ac:dyDescent="0.35">
      <c r="A1416" s="6" t="s">
        <v>4476</v>
      </c>
      <c r="B1416" s="6" t="s">
        <v>4477</v>
      </c>
      <c r="C1416" s="6" t="s">
        <v>4478</v>
      </c>
      <c r="D1416" s="6" t="s">
        <v>37</v>
      </c>
      <c r="E1416" s="7" t="s">
        <v>23</v>
      </c>
      <c r="F1416" s="6">
        <v>85392</v>
      </c>
      <c r="G1416" s="6" t="s">
        <v>38</v>
      </c>
      <c r="H1416" s="6" t="s">
        <v>378</v>
      </c>
      <c r="I1416" s="6" t="s">
        <v>40</v>
      </c>
      <c r="J1416" s="6" t="b">
        <v>1</v>
      </c>
      <c r="K1416" s="6" t="s">
        <v>89</v>
      </c>
      <c r="L1416" s="6">
        <v>40</v>
      </c>
      <c r="M1416" s="6">
        <v>165</v>
      </c>
      <c r="N1416" s="8">
        <f t="shared" si="154"/>
        <v>76.679999999999993</v>
      </c>
      <c r="O1416" s="8">
        <f t="shared" si="155"/>
        <v>2096.6799999999998</v>
      </c>
      <c r="P1416" s="8">
        <f t="shared" si="156"/>
        <v>2033.7795999999998</v>
      </c>
      <c r="Q1416" s="8">
        <f t="shared" si="157"/>
        <v>-62.900399999999991</v>
      </c>
      <c r="R1416" s="9">
        <f t="shared" si="158"/>
        <v>2159.5803999999998</v>
      </c>
      <c r="S1416" s="10">
        <f t="shared" si="159"/>
        <v>179.96503333333331</v>
      </c>
      <c r="T1416">
        <v>165</v>
      </c>
      <c r="U1416">
        <f t="shared" si="160"/>
        <v>0</v>
      </c>
    </row>
    <row r="1417" spans="1:21" ht="14.25" customHeight="1" x14ac:dyDescent="0.35">
      <c r="A1417" s="6" t="s">
        <v>4359</v>
      </c>
      <c r="B1417" s="6" t="s">
        <v>4360</v>
      </c>
      <c r="C1417" s="6" t="s">
        <v>4361</v>
      </c>
      <c r="D1417" s="6" t="s">
        <v>98</v>
      </c>
      <c r="E1417" s="7" t="s">
        <v>23</v>
      </c>
      <c r="F1417" s="6">
        <v>85122</v>
      </c>
      <c r="G1417" s="6" t="s">
        <v>87</v>
      </c>
      <c r="H1417" s="6" t="s">
        <v>99</v>
      </c>
      <c r="I1417" s="6" t="s">
        <v>110</v>
      </c>
      <c r="J1417" s="6" t="b">
        <v>1</v>
      </c>
      <c r="K1417" s="6" t="s">
        <v>94</v>
      </c>
      <c r="L1417" s="6">
        <v>41.2</v>
      </c>
      <c r="M1417" s="6">
        <v>167.89</v>
      </c>
      <c r="N1417" s="8">
        <f t="shared" si="154"/>
        <v>76.679999999999993</v>
      </c>
      <c r="O1417" s="8">
        <f t="shared" si="155"/>
        <v>2132.5599999999995</v>
      </c>
      <c r="P1417" s="8">
        <f t="shared" si="156"/>
        <v>2068.5831999999996</v>
      </c>
      <c r="Q1417" s="8">
        <f t="shared" si="157"/>
        <v>-63.976799999999912</v>
      </c>
      <c r="R1417" s="9">
        <f t="shared" si="158"/>
        <v>2196.5367999999994</v>
      </c>
      <c r="S1417" s="10">
        <f t="shared" si="159"/>
        <v>183.04473333333328</v>
      </c>
      <c r="T1417">
        <f>M1417</f>
        <v>167.89</v>
      </c>
      <c r="U1417">
        <f t="shared" si="160"/>
        <v>0</v>
      </c>
    </row>
    <row r="1418" spans="1:21" ht="14.25" customHeight="1" x14ac:dyDescent="0.35">
      <c r="A1418" s="6" t="s">
        <v>4368</v>
      </c>
      <c r="B1418" s="6" t="s">
        <v>4369</v>
      </c>
      <c r="C1418" s="6" t="s">
        <v>4370</v>
      </c>
      <c r="D1418" s="6" t="s">
        <v>54</v>
      </c>
      <c r="E1418" s="7" t="s">
        <v>23</v>
      </c>
      <c r="F1418" s="6">
        <v>85718</v>
      </c>
      <c r="G1418" s="6" t="s">
        <v>55</v>
      </c>
      <c r="H1418" s="6" t="s">
        <v>56</v>
      </c>
      <c r="I1418" s="6" t="s">
        <v>57</v>
      </c>
      <c r="J1418" s="6" t="b">
        <v>1</v>
      </c>
      <c r="K1418" s="6" t="s">
        <v>27</v>
      </c>
      <c r="L1418" s="6">
        <v>41.2</v>
      </c>
      <c r="M1418" s="6">
        <v>167.89</v>
      </c>
      <c r="N1418" s="8">
        <f t="shared" si="154"/>
        <v>76.679999999999993</v>
      </c>
      <c r="O1418" s="8">
        <f t="shared" si="155"/>
        <v>2132.5599999999995</v>
      </c>
      <c r="P1418" s="8">
        <f t="shared" si="156"/>
        <v>2132.5599999999995</v>
      </c>
      <c r="Q1418" s="8">
        <f t="shared" si="157"/>
        <v>0</v>
      </c>
      <c r="R1418" s="9">
        <f t="shared" si="158"/>
        <v>2132.5599999999995</v>
      </c>
      <c r="S1418" s="10">
        <f t="shared" si="159"/>
        <v>177.71333333333328</v>
      </c>
      <c r="T1418">
        <f t="shared" ref="T1418:T1481" si="161">M1418</f>
        <v>167.89</v>
      </c>
      <c r="U1418">
        <f t="shared" si="160"/>
        <v>0</v>
      </c>
    </row>
    <row r="1419" spans="1:21" ht="14.25" customHeight="1" x14ac:dyDescent="0.35">
      <c r="A1419" s="6" t="s">
        <v>4371</v>
      </c>
      <c r="B1419" s="6" t="s">
        <v>4372</v>
      </c>
      <c r="C1419" s="6" t="s">
        <v>4373</v>
      </c>
      <c r="D1419" s="6" t="s">
        <v>130</v>
      </c>
      <c r="E1419" s="7" t="s">
        <v>23</v>
      </c>
      <c r="F1419" s="6">
        <v>85143</v>
      </c>
      <c r="G1419" s="6" t="s">
        <v>87</v>
      </c>
      <c r="H1419" s="6" t="s">
        <v>109</v>
      </c>
      <c r="I1419" s="6" t="s">
        <v>26</v>
      </c>
      <c r="J1419" s="6" t="b">
        <v>1</v>
      </c>
      <c r="K1419" s="6" t="s">
        <v>27</v>
      </c>
      <c r="L1419" s="6">
        <v>41.2</v>
      </c>
      <c r="M1419" s="6">
        <v>167.89</v>
      </c>
      <c r="N1419" s="8">
        <f t="shared" si="154"/>
        <v>76.679999999999993</v>
      </c>
      <c r="O1419" s="8">
        <f t="shared" si="155"/>
        <v>2132.5599999999995</v>
      </c>
      <c r="P1419" s="8">
        <f t="shared" si="156"/>
        <v>2132.5599999999995</v>
      </c>
      <c r="Q1419" s="8">
        <f t="shared" si="157"/>
        <v>0</v>
      </c>
      <c r="R1419" s="9">
        <f t="shared" si="158"/>
        <v>2132.5599999999995</v>
      </c>
      <c r="S1419" s="10">
        <f t="shared" si="159"/>
        <v>177.71333333333328</v>
      </c>
      <c r="T1419">
        <f t="shared" si="161"/>
        <v>167.89</v>
      </c>
      <c r="U1419">
        <f t="shared" si="160"/>
        <v>0</v>
      </c>
    </row>
    <row r="1420" spans="1:21" ht="14.25" customHeight="1" x14ac:dyDescent="0.35">
      <c r="A1420" s="6" t="s">
        <v>4374</v>
      </c>
      <c r="B1420" s="6" t="s">
        <v>4375</v>
      </c>
      <c r="C1420" s="6" t="s">
        <v>4376</v>
      </c>
      <c r="D1420" s="6" t="s">
        <v>98</v>
      </c>
      <c r="E1420" s="7" t="s">
        <v>23</v>
      </c>
      <c r="F1420" s="6">
        <v>85122</v>
      </c>
      <c r="G1420" s="6" t="s">
        <v>87</v>
      </c>
      <c r="H1420" s="6" t="s">
        <v>109</v>
      </c>
      <c r="I1420" s="6" t="s">
        <v>110</v>
      </c>
      <c r="J1420" s="6" t="b">
        <v>1</v>
      </c>
      <c r="K1420" s="6" t="s">
        <v>27</v>
      </c>
      <c r="L1420" s="6">
        <v>41.2</v>
      </c>
      <c r="M1420" s="6">
        <v>167.89</v>
      </c>
      <c r="N1420" s="8">
        <f t="shared" si="154"/>
        <v>76.679999999999993</v>
      </c>
      <c r="O1420" s="8">
        <f t="shared" si="155"/>
        <v>2132.5599999999995</v>
      </c>
      <c r="P1420" s="8">
        <f t="shared" si="156"/>
        <v>2132.5599999999995</v>
      </c>
      <c r="Q1420" s="8">
        <f t="shared" si="157"/>
        <v>0</v>
      </c>
      <c r="R1420" s="9">
        <f t="shared" si="158"/>
        <v>2132.5599999999995</v>
      </c>
      <c r="S1420" s="10">
        <f t="shared" si="159"/>
        <v>177.71333333333328</v>
      </c>
      <c r="T1420">
        <f t="shared" si="161"/>
        <v>167.89</v>
      </c>
      <c r="U1420">
        <f t="shared" si="160"/>
        <v>0</v>
      </c>
    </row>
    <row r="1421" spans="1:21" ht="14.25" customHeight="1" x14ac:dyDescent="0.35">
      <c r="A1421" s="6" t="s">
        <v>4377</v>
      </c>
      <c r="B1421" s="6" t="s">
        <v>4378</v>
      </c>
      <c r="C1421" s="6" t="s">
        <v>4379</v>
      </c>
      <c r="D1421" s="6" t="s">
        <v>98</v>
      </c>
      <c r="E1421" s="7" t="s">
        <v>23</v>
      </c>
      <c r="F1421" s="6">
        <v>85122</v>
      </c>
      <c r="G1421" s="6" t="s">
        <v>87</v>
      </c>
      <c r="H1421" s="6" t="s">
        <v>88</v>
      </c>
      <c r="I1421" s="6" t="s">
        <v>110</v>
      </c>
      <c r="J1421" s="6" t="b">
        <v>1</v>
      </c>
      <c r="K1421" s="6" t="s">
        <v>27</v>
      </c>
      <c r="L1421" s="6">
        <v>41.2</v>
      </c>
      <c r="M1421" s="6">
        <v>167.89</v>
      </c>
      <c r="N1421" s="8">
        <f t="shared" si="154"/>
        <v>76.679999999999993</v>
      </c>
      <c r="O1421" s="8">
        <f t="shared" si="155"/>
        <v>2132.5599999999995</v>
      </c>
      <c r="P1421" s="8">
        <f t="shared" si="156"/>
        <v>2132.5599999999995</v>
      </c>
      <c r="Q1421" s="8">
        <f t="shared" si="157"/>
        <v>0</v>
      </c>
      <c r="R1421" s="9">
        <f t="shared" si="158"/>
        <v>2132.5599999999995</v>
      </c>
      <c r="S1421" s="10">
        <f t="shared" si="159"/>
        <v>177.71333333333328</v>
      </c>
      <c r="T1421">
        <f t="shared" si="161"/>
        <v>167.89</v>
      </c>
      <c r="U1421">
        <f t="shared" si="160"/>
        <v>0</v>
      </c>
    </row>
    <row r="1422" spans="1:21" ht="14.25" customHeight="1" x14ac:dyDescent="0.35">
      <c r="A1422" s="6" t="s">
        <v>4380</v>
      </c>
      <c r="B1422" s="6" t="s">
        <v>4381</v>
      </c>
      <c r="C1422" s="6" t="s">
        <v>4382</v>
      </c>
      <c r="D1422" s="6" t="s">
        <v>31</v>
      </c>
      <c r="E1422" s="7" t="s">
        <v>23</v>
      </c>
      <c r="F1422" s="6">
        <v>85255</v>
      </c>
      <c r="G1422" s="6" t="s">
        <v>32</v>
      </c>
      <c r="H1422" s="6" t="s">
        <v>33</v>
      </c>
      <c r="I1422" s="6" t="s">
        <v>26</v>
      </c>
      <c r="J1422" s="6" t="b">
        <v>1</v>
      </c>
      <c r="K1422" s="6" t="s">
        <v>27</v>
      </c>
      <c r="L1422" s="6">
        <v>41.2</v>
      </c>
      <c r="M1422" s="6">
        <v>168.49</v>
      </c>
      <c r="N1422" s="8">
        <f t="shared" si="154"/>
        <v>76.679999999999993</v>
      </c>
      <c r="O1422" s="8">
        <f t="shared" si="155"/>
        <v>2139.7599999999998</v>
      </c>
      <c r="P1422" s="8">
        <f t="shared" si="156"/>
        <v>2139.7599999999998</v>
      </c>
      <c r="Q1422" s="8">
        <f t="shared" si="157"/>
        <v>0</v>
      </c>
      <c r="R1422" s="9">
        <f t="shared" si="158"/>
        <v>2139.7599999999998</v>
      </c>
      <c r="S1422" s="10">
        <f t="shared" si="159"/>
        <v>178.3133333333333</v>
      </c>
      <c r="T1422">
        <f t="shared" si="161"/>
        <v>168.49</v>
      </c>
      <c r="U1422">
        <f t="shared" si="160"/>
        <v>0</v>
      </c>
    </row>
    <row r="1423" spans="1:21" ht="14.25" customHeight="1" x14ac:dyDescent="0.35">
      <c r="A1423" s="6" t="s">
        <v>4230</v>
      </c>
      <c r="B1423" s="6" t="s">
        <v>4231</v>
      </c>
      <c r="C1423" s="6" t="s">
        <v>4232</v>
      </c>
      <c r="D1423" s="6" t="s">
        <v>54</v>
      </c>
      <c r="E1423" s="7" t="s">
        <v>23</v>
      </c>
      <c r="F1423" s="6">
        <v>85750</v>
      </c>
      <c r="G1423" s="6" t="s">
        <v>55</v>
      </c>
      <c r="H1423" s="6" t="s">
        <v>56</v>
      </c>
      <c r="I1423" s="6" t="s">
        <v>110</v>
      </c>
      <c r="J1423" s="6" t="b">
        <v>0</v>
      </c>
      <c r="K1423" s="6" t="s">
        <v>27</v>
      </c>
      <c r="L1423" s="6">
        <v>40</v>
      </c>
      <c r="M1423" s="6">
        <v>168.92</v>
      </c>
      <c r="N1423" s="8" t="str">
        <f t="shared" si="154"/>
        <v>0</v>
      </c>
      <c r="O1423" s="8">
        <f t="shared" si="155"/>
        <v>2067.04</v>
      </c>
      <c r="P1423" s="8">
        <f t="shared" si="156"/>
        <v>2067.04</v>
      </c>
      <c r="Q1423" s="8">
        <f t="shared" si="157"/>
        <v>0</v>
      </c>
      <c r="R1423" s="9">
        <f t="shared" si="158"/>
        <v>2067.04</v>
      </c>
      <c r="S1423" s="10">
        <f t="shared" si="159"/>
        <v>172.25333333333333</v>
      </c>
      <c r="T1423">
        <f t="shared" si="161"/>
        <v>168.92</v>
      </c>
      <c r="U1423">
        <f t="shared" si="160"/>
        <v>0</v>
      </c>
    </row>
    <row r="1424" spans="1:21" ht="14.25" customHeight="1" x14ac:dyDescent="0.35">
      <c r="A1424" s="6" t="s">
        <v>4233</v>
      </c>
      <c r="B1424" s="6" t="s">
        <v>4234</v>
      </c>
      <c r="C1424" s="6" t="s">
        <v>4235</v>
      </c>
      <c r="D1424" s="6" t="s">
        <v>98</v>
      </c>
      <c r="E1424" s="7" t="s">
        <v>23</v>
      </c>
      <c r="F1424" s="6">
        <v>85122</v>
      </c>
      <c r="G1424" s="6" t="s">
        <v>87</v>
      </c>
      <c r="H1424" s="6" t="s">
        <v>88</v>
      </c>
      <c r="I1424" s="6" t="s">
        <v>26</v>
      </c>
      <c r="J1424" s="6" t="b">
        <v>0</v>
      </c>
      <c r="K1424" s="6" t="s">
        <v>27</v>
      </c>
      <c r="L1424" s="6">
        <v>40</v>
      </c>
      <c r="M1424" s="6">
        <v>168.92</v>
      </c>
      <c r="N1424" s="8" t="str">
        <f t="shared" si="154"/>
        <v>0</v>
      </c>
      <c r="O1424" s="8">
        <f t="shared" si="155"/>
        <v>2067.04</v>
      </c>
      <c r="P1424" s="8">
        <f t="shared" si="156"/>
        <v>2067.04</v>
      </c>
      <c r="Q1424" s="8">
        <f t="shared" si="157"/>
        <v>0</v>
      </c>
      <c r="R1424" s="9">
        <f t="shared" si="158"/>
        <v>2067.04</v>
      </c>
      <c r="S1424" s="10">
        <f t="shared" si="159"/>
        <v>172.25333333333333</v>
      </c>
      <c r="T1424">
        <f t="shared" si="161"/>
        <v>168.92</v>
      </c>
      <c r="U1424">
        <f t="shared" si="160"/>
        <v>0</v>
      </c>
    </row>
    <row r="1425" spans="1:21" ht="14.25" customHeight="1" x14ac:dyDescent="0.35">
      <c r="A1425" s="6" t="s">
        <v>4236</v>
      </c>
      <c r="B1425" s="6" t="s">
        <v>4237</v>
      </c>
      <c r="C1425" s="6" t="s">
        <v>4238</v>
      </c>
      <c r="D1425" s="6" t="s">
        <v>98</v>
      </c>
      <c r="E1425" s="7" t="s">
        <v>23</v>
      </c>
      <c r="F1425" s="6">
        <v>85122</v>
      </c>
      <c r="G1425" s="6" t="s">
        <v>87</v>
      </c>
      <c r="H1425" s="6" t="s">
        <v>109</v>
      </c>
      <c r="I1425" s="6" t="s">
        <v>61</v>
      </c>
      <c r="J1425" s="6" t="b">
        <v>1</v>
      </c>
      <c r="K1425" s="6" t="s">
        <v>27</v>
      </c>
      <c r="L1425" s="6">
        <v>40</v>
      </c>
      <c r="M1425" s="6">
        <v>168.92</v>
      </c>
      <c r="N1425" s="8">
        <f t="shared" si="154"/>
        <v>76.679999999999993</v>
      </c>
      <c r="O1425" s="8">
        <f t="shared" si="155"/>
        <v>2143.7199999999998</v>
      </c>
      <c r="P1425" s="8">
        <f t="shared" si="156"/>
        <v>2143.7199999999998</v>
      </c>
      <c r="Q1425" s="8">
        <f t="shared" si="157"/>
        <v>0</v>
      </c>
      <c r="R1425" s="9">
        <f t="shared" si="158"/>
        <v>2143.7199999999998</v>
      </c>
      <c r="S1425" s="10">
        <f t="shared" si="159"/>
        <v>178.64333333333332</v>
      </c>
      <c r="T1425">
        <f t="shared" si="161"/>
        <v>168.92</v>
      </c>
      <c r="U1425">
        <f t="shared" si="160"/>
        <v>0</v>
      </c>
    </row>
    <row r="1426" spans="1:21" ht="14.25" customHeight="1" x14ac:dyDescent="0.35">
      <c r="A1426" s="6" t="s">
        <v>4239</v>
      </c>
      <c r="B1426" s="6" t="s">
        <v>4240</v>
      </c>
      <c r="C1426" s="6" t="s">
        <v>4241</v>
      </c>
      <c r="D1426" s="6" t="s">
        <v>54</v>
      </c>
      <c r="E1426" s="7" t="s">
        <v>23</v>
      </c>
      <c r="F1426" s="6">
        <v>85710</v>
      </c>
      <c r="G1426" s="6" t="s">
        <v>55</v>
      </c>
      <c r="H1426" s="6" t="s">
        <v>56</v>
      </c>
      <c r="I1426" s="6" t="s">
        <v>61</v>
      </c>
      <c r="J1426" s="6" t="b">
        <v>1</v>
      </c>
      <c r="K1426" s="6" t="s">
        <v>27</v>
      </c>
      <c r="L1426" s="6">
        <v>41.2</v>
      </c>
      <c r="M1426" s="6">
        <v>168.92</v>
      </c>
      <c r="N1426" s="8">
        <f t="shared" si="154"/>
        <v>76.679999999999993</v>
      </c>
      <c r="O1426" s="8">
        <f t="shared" si="155"/>
        <v>2144.9199999999996</v>
      </c>
      <c r="P1426" s="8">
        <f t="shared" si="156"/>
        <v>2144.9199999999996</v>
      </c>
      <c r="Q1426" s="8">
        <f t="shared" si="157"/>
        <v>0</v>
      </c>
      <c r="R1426" s="9">
        <f t="shared" si="158"/>
        <v>2144.9199999999996</v>
      </c>
      <c r="S1426" s="10">
        <f t="shared" si="159"/>
        <v>178.74333333333331</v>
      </c>
      <c r="T1426">
        <f t="shared" si="161"/>
        <v>168.92</v>
      </c>
      <c r="U1426">
        <f t="shared" si="160"/>
        <v>0</v>
      </c>
    </row>
    <row r="1427" spans="1:21" ht="14.25" customHeight="1" x14ac:dyDescent="0.35">
      <c r="A1427" s="6" t="s">
        <v>4365</v>
      </c>
      <c r="B1427" s="6" t="s">
        <v>4366</v>
      </c>
      <c r="C1427" s="6" t="s">
        <v>4367</v>
      </c>
      <c r="D1427" s="6" t="s">
        <v>98</v>
      </c>
      <c r="E1427" s="7" t="s">
        <v>23</v>
      </c>
      <c r="F1427" s="6">
        <v>85122</v>
      </c>
      <c r="G1427" s="6" t="s">
        <v>87</v>
      </c>
      <c r="H1427" s="6" t="s">
        <v>109</v>
      </c>
      <c r="I1427" s="6" t="s">
        <v>110</v>
      </c>
      <c r="J1427" s="6" t="b">
        <v>1</v>
      </c>
      <c r="K1427" s="6" t="s">
        <v>89</v>
      </c>
      <c r="L1427" s="6">
        <v>40</v>
      </c>
      <c r="M1427" s="6">
        <v>168.92</v>
      </c>
      <c r="N1427" s="8">
        <f t="shared" si="154"/>
        <v>76.679999999999993</v>
      </c>
      <c r="O1427" s="8">
        <f t="shared" si="155"/>
        <v>2143.7199999999998</v>
      </c>
      <c r="P1427" s="8">
        <f t="shared" si="156"/>
        <v>2079.4083999999998</v>
      </c>
      <c r="Q1427" s="8">
        <f t="shared" si="157"/>
        <v>-64.311599999999999</v>
      </c>
      <c r="R1427" s="9">
        <f t="shared" si="158"/>
        <v>2208.0315999999998</v>
      </c>
      <c r="S1427" s="10">
        <f t="shared" si="159"/>
        <v>184.00263333333331</v>
      </c>
      <c r="T1427">
        <f t="shared" si="161"/>
        <v>168.92</v>
      </c>
      <c r="U1427">
        <f t="shared" si="160"/>
        <v>0</v>
      </c>
    </row>
    <row r="1428" spans="1:21" ht="14.25" customHeight="1" x14ac:dyDescent="0.35">
      <c r="A1428" s="6" t="s">
        <v>4383</v>
      </c>
      <c r="B1428" s="6" t="s">
        <v>4384</v>
      </c>
      <c r="C1428" s="6" t="s">
        <v>4385</v>
      </c>
      <c r="D1428" s="6" t="s">
        <v>98</v>
      </c>
      <c r="E1428" s="7" t="s">
        <v>23</v>
      </c>
      <c r="F1428" s="6">
        <v>85122</v>
      </c>
      <c r="G1428" s="6" t="s">
        <v>87</v>
      </c>
      <c r="H1428" s="6" t="s">
        <v>88</v>
      </c>
      <c r="I1428" s="6" t="s">
        <v>110</v>
      </c>
      <c r="J1428" s="6" t="b">
        <v>1</v>
      </c>
      <c r="K1428" s="6" t="s">
        <v>27</v>
      </c>
      <c r="L1428" s="6">
        <v>40</v>
      </c>
      <c r="M1428" s="6">
        <v>168.92</v>
      </c>
      <c r="N1428" s="8">
        <f t="shared" si="154"/>
        <v>76.679999999999993</v>
      </c>
      <c r="O1428" s="8">
        <f t="shared" si="155"/>
        <v>2143.7199999999998</v>
      </c>
      <c r="P1428" s="8">
        <f t="shared" si="156"/>
        <v>2143.7199999999998</v>
      </c>
      <c r="Q1428" s="8">
        <f t="shared" si="157"/>
        <v>0</v>
      </c>
      <c r="R1428" s="9">
        <f t="shared" si="158"/>
        <v>2143.7199999999998</v>
      </c>
      <c r="S1428" s="10">
        <f t="shared" si="159"/>
        <v>178.64333333333332</v>
      </c>
      <c r="T1428">
        <f t="shared" si="161"/>
        <v>168.92</v>
      </c>
      <c r="U1428">
        <f t="shared" si="160"/>
        <v>0</v>
      </c>
    </row>
    <row r="1429" spans="1:21" ht="14.25" customHeight="1" x14ac:dyDescent="0.35">
      <c r="A1429" s="6" t="s">
        <v>4386</v>
      </c>
      <c r="B1429" s="6" t="s">
        <v>4387</v>
      </c>
      <c r="C1429" s="6" t="s">
        <v>4388</v>
      </c>
      <c r="D1429" s="6" t="s">
        <v>98</v>
      </c>
      <c r="E1429" s="7" t="s">
        <v>23</v>
      </c>
      <c r="F1429" s="6">
        <v>85194</v>
      </c>
      <c r="G1429" s="6" t="s">
        <v>87</v>
      </c>
      <c r="H1429" s="6" t="s">
        <v>99</v>
      </c>
      <c r="I1429" s="6" t="s">
        <v>40</v>
      </c>
      <c r="J1429" s="6" t="b">
        <v>1</v>
      </c>
      <c r="K1429" s="6" t="s">
        <v>27</v>
      </c>
      <c r="L1429" s="6">
        <v>40</v>
      </c>
      <c r="M1429" s="6">
        <v>168.92</v>
      </c>
      <c r="N1429" s="8">
        <f t="shared" si="154"/>
        <v>76.679999999999993</v>
      </c>
      <c r="O1429" s="8">
        <f t="shared" si="155"/>
        <v>2143.7199999999998</v>
      </c>
      <c r="P1429" s="8">
        <f t="shared" si="156"/>
        <v>2143.7199999999998</v>
      </c>
      <c r="Q1429" s="8">
        <f t="shared" si="157"/>
        <v>0</v>
      </c>
      <c r="R1429" s="9">
        <f t="shared" si="158"/>
        <v>2143.7199999999998</v>
      </c>
      <c r="S1429" s="10">
        <f t="shared" si="159"/>
        <v>178.64333333333332</v>
      </c>
      <c r="T1429">
        <f t="shared" si="161"/>
        <v>168.92</v>
      </c>
      <c r="U1429">
        <f t="shared" si="160"/>
        <v>0</v>
      </c>
    </row>
    <row r="1430" spans="1:21" ht="14.25" customHeight="1" x14ac:dyDescent="0.35">
      <c r="A1430" s="6" t="s">
        <v>4389</v>
      </c>
      <c r="B1430" s="6" t="s">
        <v>4390</v>
      </c>
      <c r="C1430" s="6" t="s">
        <v>4391</v>
      </c>
      <c r="D1430" s="6" t="s">
        <v>54</v>
      </c>
      <c r="E1430" s="7" t="s">
        <v>23</v>
      </c>
      <c r="F1430" s="6">
        <v>85746</v>
      </c>
      <c r="G1430" s="6" t="s">
        <v>55</v>
      </c>
      <c r="H1430" s="6" t="s">
        <v>56</v>
      </c>
      <c r="I1430" s="6" t="s">
        <v>40</v>
      </c>
      <c r="J1430" s="6" t="b">
        <v>1</v>
      </c>
      <c r="K1430" s="6" t="s">
        <v>27</v>
      </c>
      <c r="L1430" s="6">
        <v>40</v>
      </c>
      <c r="M1430" s="6">
        <v>168.92</v>
      </c>
      <c r="N1430" s="8">
        <f t="shared" si="154"/>
        <v>76.679999999999993</v>
      </c>
      <c r="O1430" s="8">
        <f t="shared" si="155"/>
        <v>2143.7199999999998</v>
      </c>
      <c r="P1430" s="8">
        <f t="shared" si="156"/>
        <v>2143.7199999999998</v>
      </c>
      <c r="Q1430" s="8">
        <f t="shared" si="157"/>
        <v>0</v>
      </c>
      <c r="R1430" s="9">
        <f t="shared" si="158"/>
        <v>2143.7199999999998</v>
      </c>
      <c r="S1430" s="10">
        <f t="shared" si="159"/>
        <v>178.64333333333332</v>
      </c>
      <c r="T1430">
        <f t="shared" si="161"/>
        <v>168.92</v>
      </c>
      <c r="U1430">
        <f t="shared" si="160"/>
        <v>0</v>
      </c>
    </row>
    <row r="1431" spans="1:21" ht="14.25" customHeight="1" x14ac:dyDescent="0.35">
      <c r="A1431" s="6" t="s">
        <v>4392</v>
      </c>
      <c r="B1431" s="6" t="s">
        <v>4393</v>
      </c>
      <c r="C1431" s="6" t="s">
        <v>4394</v>
      </c>
      <c r="D1431" s="6" t="s">
        <v>98</v>
      </c>
      <c r="E1431" s="7" t="s">
        <v>23</v>
      </c>
      <c r="F1431" s="6">
        <v>85122</v>
      </c>
      <c r="G1431" s="6" t="s">
        <v>87</v>
      </c>
      <c r="H1431" s="6" t="s">
        <v>109</v>
      </c>
      <c r="I1431" s="6" t="s">
        <v>61</v>
      </c>
      <c r="J1431" s="6" t="b">
        <v>1</v>
      </c>
      <c r="K1431" s="6" t="s">
        <v>27</v>
      </c>
      <c r="L1431" s="6">
        <v>40</v>
      </c>
      <c r="M1431" s="6">
        <v>168.92</v>
      </c>
      <c r="N1431" s="8">
        <f t="shared" si="154"/>
        <v>76.679999999999993</v>
      </c>
      <c r="O1431" s="8">
        <f t="shared" si="155"/>
        <v>2143.7199999999998</v>
      </c>
      <c r="P1431" s="8">
        <f t="shared" si="156"/>
        <v>2143.7199999999998</v>
      </c>
      <c r="Q1431" s="8">
        <f t="shared" si="157"/>
        <v>0</v>
      </c>
      <c r="R1431" s="9">
        <f t="shared" si="158"/>
        <v>2143.7199999999998</v>
      </c>
      <c r="S1431" s="10">
        <f t="shared" si="159"/>
        <v>178.64333333333332</v>
      </c>
      <c r="T1431">
        <f t="shared" si="161"/>
        <v>168.92</v>
      </c>
      <c r="U1431">
        <f t="shared" si="160"/>
        <v>0</v>
      </c>
    </row>
    <row r="1432" spans="1:21" ht="14.25" customHeight="1" x14ac:dyDescent="0.35">
      <c r="A1432" s="6" t="s">
        <v>4395</v>
      </c>
      <c r="B1432" s="6" t="s">
        <v>4396</v>
      </c>
      <c r="C1432" s="6" t="s">
        <v>4397</v>
      </c>
      <c r="D1432" s="6" t="s">
        <v>98</v>
      </c>
      <c r="E1432" s="7" t="s">
        <v>23</v>
      </c>
      <c r="F1432" s="6">
        <v>85122</v>
      </c>
      <c r="G1432" s="6" t="s">
        <v>87</v>
      </c>
      <c r="H1432" s="6" t="s">
        <v>88</v>
      </c>
      <c r="I1432" s="6" t="s">
        <v>57</v>
      </c>
      <c r="J1432" s="6" t="b">
        <v>1</v>
      </c>
      <c r="K1432" s="6" t="s">
        <v>27</v>
      </c>
      <c r="L1432" s="6">
        <v>40</v>
      </c>
      <c r="M1432" s="6">
        <v>168.92</v>
      </c>
      <c r="N1432" s="8">
        <f t="shared" si="154"/>
        <v>76.679999999999993</v>
      </c>
      <c r="O1432" s="8">
        <f t="shared" si="155"/>
        <v>2143.7199999999998</v>
      </c>
      <c r="P1432" s="8">
        <f t="shared" si="156"/>
        <v>2143.7199999999998</v>
      </c>
      <c r="Q1432" s="8">
        <f t="shared" si="157"/>
        <v>0</v>
      </c>
      <c r="R1432" s="9">
        <f t="shared" si="158"/>
        <v>2143.7199999999998</v>
      </c>
      <c r="S1432" s="10">
        <f t="shared" si="159"/>
        <v>178.64333333333332</v>
      </c>
      <c r="T1432">
        <f t="shared" si="161"/>
        <v>168.92</v>
      </c>
      <c r="U1432">
        <f t="shared" si="160"/>
        <v>0</v>
      </c>
    </row>
    <row r="1433" spans="1:21" ht="14.25" customHeight="1" x14ac:dyDescent="0.35">
      <c r="A1433" s="11" t="s">
        <v>4398</v>
      </c>
      <c r="B1433" s="6" t="s">
        <v>4399</v>
      </c>
      <c r="C1433" s="6" t="s">
        <v>4400</v>
      </c>
      <c r="D1433" s="6" t="s">
        <v>54</v>
      </c>
      <c r="E1433" s="7" t="s">
        <v>23</v>
      </c>
      <c r="F1433" s="6">
        <v>85741</v>
      </c>
      <c r="G1433" s="6" t="s">
        <v>55</v>
      </c>
      <c r="H1433" s="6" t="s">
        <v>56</v>
      </c>
      <c r="I1433" s="6" t="s">
        <v>57</v>
      </c>
      <c r="J1433" s="6" t="b">
        <v>1</v>
      </c>
      <c r="K1433" s="6" t="s">
        <v>27</v>
      </c>
      <c r="L1433" s="6">
        <v>40</v>
      </c>
      <c r="M1433" s="6">
        <v>168.92</v>
      </c>
      <c r="N1433" s="8">
        <f t="shared" si="154"/>
        <v>76.679999999999993</v>
      </c>
      <c r="O1433" s="8">
        <f t="shared" si="155"/>
        <v>2143.7199999999998</v>
      </c>
      <c r="P1433" s="8">
        <f t="shared" si="156"/>
        <v>2143.7199999999998</v>
      </c>
      <c r="Q1433" s="8">
        <f t="shared" si="157"/>
        <v>0</v>
      </c>
      <c r="R1433" s="9">
        <f t="shared" si="158"/>
        <v>2143.7199999999998</v>
      </c>
      <c r="S1433" s="10">
        <f t="shared" si="159"/>
        <v>178.64333333333332</v>
      </c>
      <c r="T1433">
        <f t="shared" si="161"/>
        <v>168.92</v>
      </c>
      <c r="U1433">
        <f t="shared" si="160"/>
        <v>0</v>
      </c>
    </row>
    <row r="1434" spans="1:21" ht="14.25" customHeight="1" x14ac:dyDescent="0.35">
      <c r="A1434" s="6" t="s">
        <v>4401</v>
      </c>
      <c r="B1434" s="6" t="s">
        <v>4402</v>
      </c>
      <c r="C1434" s="6" t="s">
        <v>4403</v>
      </c>
      <c r="D1434" s="6" t="s">
        <v>98</v>
      </c>
      <c r="E1434" s="7" t="s">
        <v>23</v>
      </c>
      <c r="F1434" s="6">
        <v>85122</v>
      </c>
      <c r="G1434" s="6" t="s">
        <v>87</v>
      </c>
      <c r="H1434" s="6" t="s">
        <v>109</v>
      </c>
      <c r="I1434" s="6" t="s">
        <v>61</v>
      </c>
      <c r="J1434" s="6" t="b">
        <v>1</v>
      </c>
      <c r="K1434" s="6" t="s">
        <v>27</v>
      </c>
      <c r="L1434" s="6">
        <v>40</v>
      </c>
      <c r="M1434" s="6">
        <v>168.92</v>
      </c>
      <c r="N1434" s="8">
        <f t="shared" si="154"/>
        <v>76.679999999999993</v>
      </c>
      <c r="O1434" s="8">
        <f t="shared" si="155"/>
        <v>2143.7199999999998</v>
      </c>
      <c r="P1434" s="8">
        <f t="shared" si="156"/>
        <v>2143.7199999999998</v>
      </c>
      <c r="Q1434" s="8">
        <f t="shared" si="157"/>
        <v>0</v>
      </c>
      <c r="R1434" s="9">
        <f t="shared" si="158"/>
        <v>2143.7199999999998</v>
      </c>
      <c r="S1434" s="10">
        <f t="shared" si="159"/>
        <v>178.64333333333332</v>
      </c>
      <c r="T1434">
        <f t="shared" si="161"/>
        <v>168.92</v>
      </c>
      <c r="U1434">
        <f t="shared" si="160"/>
        <v>0</v>
      </c>
    </row>
    <row r="1435" spans="1:21" ht="14.25" customHeight="1" x14ac:dyDescent="0.35">
      <c r="A1435" s="6" t="s">
        <v>4404</v>
      </c>
      <c r="B1435" s="6" t="s">
        <v>4405</v>
      </c>
      <c r="C1435" s="6" t="s">
        <v>4406</v>
      </c>
      <c r="D1435" s="6" t="s">
        <v>1687</v>
      </c>
      <c r="E1435" s="7" t="s">
        <v>23</v>
      </c>
      <c r="F1435" s="6">
        <v>85755</v>
      </c>
      <c r="G1435" s="6" t="s">
        <v>55</v>
      </c>
      <c r="H1435" s="6" t="s">
        <v>56</v>
      </c>
      <c r="I1435" s="6" t="s">
        <v>26</v>
      </c>
      <c r="J1435" s="6" t="b">
        <v>1</v>
      </c>
      <c r="K1435" s="6" t="s">
        <v>27</v>
      </c>
      <c r="L1435" s="6">
        <v>40</v>
      </c>
      <c r="M1435" s="6">
        <v>168.92</v>
      </c>
      <c r="N1435" s="8">
        <f t="shared" si="154"/>
        <v>76.679999999999993</v>
      </c>
      <c r="O1435" s="8">
        <f t="shared" si="155"/>
        <v>2143.7199999999998</v>
      </c>
      <c r="P1435" s="8">
        <f t="shared" si="156"/>
        <v>2143.7199999999998</v>
      </c>
      <c r="Q1435" s="8">
        <f t="shared" si="157"/>
        <v>0</v>
      </c>
      <c r="R1435" s="9">
        <f t="shared" si="158"/>
        <v>2143.7199999999998</v>
      </c>
      <c r="S1435" s="10">
        <f t="shared" si="159"/>
        <v>178.64333333333332</v>
      </c>
      <c r="T1435">
        <f t="shared" si="161"/>
        <v>168.92</v>
      </c>
      <c r="U1435">
        <f t="shared" si="160"/>
        <v>0</v>
      </c>
    </row>
    <row r="1436" spans="1:21" ht="14.25" customHeight="1" x14ac:dyDescent="0.35">
      <c r="A1436" s="6" t="s">
        <v>4407</v>
      </c>
      <c r="B1436" s="6" t="s">
        <v>4408</v>
      </c>
      <c r="C1436" s="6" t="s">
        <v>4409</v>
      </c>
      <c r="D1436" s="6" t="s">
        <v>98</v>
      </c>
      <c r="E1436" s="7" t="s">
        <v>23</v>
      </c>
      <c r="F1436" s="6">
        <v>85122</v>
      </c>
      <c r="G1436" s="6" t="s">
        <v>87</v>
      </c>
      <c r="H1436" s="6" t="s">
        <v>109</v>
      </c>
      <c r="I1436" s="6" t="s">
        <v>110</v>
      </c>
      <c r="J1436" s="6" t="b">
        <v>1</v>
      </c>
      <c r="K1436" s="6" t="s">
        <v>27</v>
      </c>
      <c r="L1436" s="6">
        <v>40</v>
      </c>
      <c r="M1436" s="6">
        <v>168.92</v>
      </c>
      <c r="N1436" s="8">
        <f t="shared" si="154"/>
        <v>76.679999999999993</v>
      </c>
      <c r="O1436" s="8">
        <f t="shared" si="155"/>
        <v>2143.7199999999998</v>
      </c>
      <c r="P1436" s="8">
        <f t="shared" si="156"/>
        <v>2143.7199999999998</v>
      </c>
      <c r="Q1436" s="8">
        <f t="shared" si="157"/>
        <v>0</v>
      </c>
      <c r="R1436" s="9">
        <f t="shared" si="158"/>
        <v>2143.7199999999998</v>
      </c>
      <c r="S1436" s="10">
        <f t="shared" si="159"/>
        <v>178.64333333333332</v>
      </c>
      <c r="T1436">
        <f t="shared" si="161"/>
        <v>168.92</v>
      </c>
      <c r="U1436">
        <f t="shared" si="160"/>
        <v>0</v>
      </c>
    </row>
    <row r="1437" spans="1:21" ht="14.25" customHeight="1" x14ac:dyDescent="0.35">
      <c r="A1437" s="6" t="s">
        <v>4410</v>
      </c>
      <c r="B1437" s="6" t="s">
        <v>4411</v>
      </c>
      <c r="C1437" s="6" t="s">
        <v>4412</v>
      </c>
      <c r="D1437" s="6" t="s">
        <v>98</v>
      </c>
      <c r="E1437" s="7" t="s">
        <v>23</v>
      </c>
      <c r="F1437" s="6">
        <v>85122</v>
      </c>
      <c r="G1437" s="6" t="s">
        <v>87</v>
      </c>
      <c r="H1437" s="6" t="s">
        <v>88</v>
      </c>
      <c r="I1437" s="6" t="s">
        <v>57</v>
      </c>
      <c r="J1437" s="6" t="b">
        <v>1</v>
      </c>
      <c r="K1437" s="6" t="s">
        <v>27</v>
      </c>
      <c r="L1437" s="6">
        <v>40</v>
      </c>
      <c r="M1437" s="6">
        <v>168.92</v>
      </c>
      <c r="N1437" s="8">
        <f t="shared" si="154"/>
        <v>76.679999999999993</v>
      </c>
      <c r="O1437" s="8">
        <f t="shared" si="155"/>
        <v>2143.7199999999998</v>
      </c>
      <c r="P1437" s="8">
        <f t="shared" si="156"/>
        <v>2143.7199999999998</v>
      </c>
      <c r="Q1437" s="8">
        <f t="shared" si="157"/>
        <v>0</v>
      </c>
      <c r="R1437" s="9">
        <f t="shared" si="158"/>
        <v>2143.7199999999998</v>
      </c>
      <c r="S1437" s="10">
        <f t="shared" si="159"/>
        <v>178.64333333333332</v>
      </c>
      <c r="T1437">
        <f t="shared" si="161"/>
        <v>168.92</v>
      </c>
      <c r="U1437">
        <f t="shared" si="160"/>
        <v>0</v>
      </c>
    </row>
    <row r="1438" spans="1:21" ht="14.25" customHeight="1" x14ac:dyDescent="0.35">
      <c r="A1438" s="6" t="s">
        <v>4413</v>
      </c>
      <c r="B1438" s="6" t="s">
        <v>4414</v>
      </c>
      <c r="C1438" s="6" t="s">
        <v>4415</v>
      </c>
      <c r="D1438" s="6" t="s">
        <v>98</v>
      </c>
      <c r="E1438" s="7" t="s">
        <v>23</v>
      </c>
      <c r="F1438" s="6">
        <v>85194</v>
      </c>
      <c r="G1438" s="6" t="s">
        <v>87</v>
      </c>
      <c r="H1438" s="6" t="s">
        <v>99</v>
      </c>
      <c r="I1438" s="6" t="s">
        <v>40</v>
      </c>
      <c r="J1438" s="6" t="b">
        <v>1</v>
      </c>
      <c r="K1438" s="6" t="s">
        <v>27</v>
      </c>
      <c r="L1438" s="6">
        <v>40</v>
      </c>
      <c r="M1438" s="6">
        <v>168.92</v>
      </c>
      <c r="N1438" s="8">
        <f t="shared" si="154"/>
        <v>76.679999999999993</v>
      </c>
      <c r="O1438" s="8">
        <f t="shared" si="155"/>
        <v>2143.7199999999998</v>
      </c>
      <c r="P1438" s="8">
        <f t="shared" si="156"/>
        <v>2143.7199999999998</v>
      </c>
      <c r="Q1438" s="8">
        <f t="shared" si="157"/>
        <v>0</v>
      </c>
      <c r="R1438" s="9">
        <f t="shared" si="158"/>
        <v>2143.7199999999998</v>
      </c>
      <c r="S1438" s="10">
        <f t="shared" si="159"/>
        <v>178.64333333333332</v>
      </c>
      <c r="T1438">
        <f t="shared" si="161"/>
        <v>168.92</v>
      </c>
      <c r="U1438">
        <f t="shared" si="160"/>
        <v>0</v>
      </c>
    </row>
    <row r="1439" spans="1:21" ht="14.25" customHeight="1" x14ac:dyDescent="0.35">
      <c r="A1439" s="6" t="s">
        <v>4416</v>
      </c>
      <c r="B1439" s="6" t="s">
        <v>4417</v>
      </c>
      <c r="C1439" s="6" t="s">
        <v>4418</v>
      </c>
      <c r="D1439" s="6" t="s">
        <v>98</v>
      </c>
      <c r="E1439" s="7" t="s">
        <v>23</v>
      </c>
      <c r="F1439" s="6">
        <v>85122</v>
      </c>
      <c r="G1439" s="6" t="s">
        <v>87</v>
      </c>
      <c r="H1439" s="6" t="s">
        <v>88</v>
      </c>
      <c r="I1439" s="6" t="s">
        <v>61</v>
      </c>
      <c r="J1439" s="6" t="b">
        <v>1</v>
      </c>
      <c r="K1439" s="6" t="s">
        <v>27</v>
      </c>
      <c r="L1439" s="6">
        <v>40</v>
      </c>
      <c r="M1439" s="6">
        <v>168.92</v>
      </c>
      <c r="N1439" s="8">
        <f t="shared" si="154"/>
        <v>76.679999999999993</v>
      </c>
      <c r="O1439" s="8">
        <f t="shared" si="155"/>
        <v>2143.7199999999998</v>
      </c>
      <c r="P1439" s="8">
        <f t="shared" si="156"/>
        <v>2143.7199999999998</v>
      </c>
      <c r="Q1439" s="8">
        <f t="shared" si="157"/>
        <v>0</v>
      </c>
      <c r="R1439" s="9">
        <f t="shared" si="158"/>
        <v>2143.7199999999998</v>
      </c>
      <c r="S1439" s="10">
        <f t="shared" si="159"/>
        <v>178.64333333333332</v>
      </c>
      <c r="T1439">
        <f t="shared" si="161"/>
        <v>168.92</v>
      </c>
      <c r="U1439">
        <f t="shared" si="160"/>
        <v>0</v>
      </c>
    </row>
    <row r="1440" spans="1:21" ht="14.25" customHeight="1" x14ac:dyDescent="0.35">
      <c r="A1440" s="6" t="s">
        <v>4419</v>
      </c>
      <c r="B1440" s="6" t="s">
        <v>4420</v>
      </c>
      <c r="C1440" s="6" t="s">
        <v>4421</v>
      </c>
      <c r="D1440" s="6" t="s">
        <v>98</v>
      </c>
      <c r="E1440" s="7" t="s">
        <v>23</v>
      </c>
      <c r="F1440" s="6">
        <v>85194</v>
      </c>
      <c r="G1440" s="6" t="s">
        <v>87</v>
      </c>
      <c r="H1440" s="6" t="s">
        <v>99</v>
      </c>
      <c r="I1440" s="6" t="s">
        <v>40</v>
      </c>
      <c r="J1440" s="6" t="b">
        <v>1</v>
      </c>
      <c r="K1440" s="6" t="s">
        <v>27</v>
      </c>
      <c r="L1440" s="6">
        <v>41.2</v>
      </c>
      <c r="M1440" s="6">
        <v>168.92</v>
      </c>
      <c r="N1440" s="8">
        <f t="shared" si="154"/>
        <v>76.679999999999993</v>
      </c>
      <c r="O1440" s="8">
        <f t="shared" si="155"/>
        <v>2144.9199999999996</v>
      </c>
      <c r="P1440" s="8">
        <f t="shared" si="156"/>
        <v>2144.9199999999996</v>
      </c>
      <c r="Q1440" s="8">
        <f t="shared" si="157"/>
        <v>0</v>
      </c>
      <c r="R1440" s="9">
        <f t="shared" si="158"/>
        <v>2144.9199999999996</v>
      </c>
      <c r="S1440" s="10">
        <f t="shared" si="159"/>
        <v>178.74333333333331</v>
      </c>
      <c r="T1440">
        <f t="shared" si="161"/>
        <v>168.92</v>
      </c>
      <c r="U1440">
        <f t="shared" si="160"/>
        <v>0</v>
      </c>
    </row>
    <row r="1441" spans="1:21" ht="14.25" customHeight="1" x14ac:dyDescent="0.35">
      <c r="A1441" s="6" t="s">
        <v>4422</v>
      </c>
      <c r="B1441" s="6" t="s">
        <v>4423</v>
      </c>
      <c r="C1441" s="6" t="s">
        <v>4424</v>
      </c>
      <c r="D1441" s="6" t="s">
        <v>1627</v>
      </c>
      <c r="E1441" s="7" t="s">
        <v>23</v>
      </c>
      <c r="F1441" s="6">
        <v>85131</v>
      </c>
      <c r="G1441" s="6" t="s">
        <v>87</v>
      </c>
      <c r="H1441" s="6" t="s">
        <v>99</v>
      </c>
      <c r="I1441" s="6" t="s">
        <v>61</v>
      </c>
      <c r="J1441" s="6" t="b">
        <v>1</v>
      </c>
      <c r="K1441" s="6" t="s">
        <v>27</v>
      </c>
      <c r="L1441" s="6">
        <v>41.2</v>
      </c>
      <c r="M1441" s="6">
        <v>168.92</v>
      </c>
      <c r="N1441" s="8">
        <f t="shared" si="154"/>
        <v>76.679999999999993</v>
      </c>
      <c r="O1441" s="8">
        <f t="shared" si="155"/>
        <v>2144.9199999999996</v>
      </c>
      <c r="P1441" s="8">
        <f t="shared" si="156"/>
        <v>2144.9199999999996</v>
      </c>
      <c r="Q1441" s="8">
        <f t="shared" si="157"/>
        <v>0</v>
      </c>
      <c r="R1441" s="9">
        <f t="shared" si="158"/>
        <v>2144.9199999999996</v>
      </c>
      <c r="S1441" s="10">
        <f t="shared" si="159"/>
        <v>178.74333333333331</v>
      </c>
      <c r="T1441">
        <f t="shared" si="161"/>
        <v>168.92</v>
      </c>
      <c r="U1441">
        <f t="shared" si="160"/>
        <v>0</v>
      </c>
    </row>
    <row r="1442" spans="1:21" ht="14.25" customHeight="1" x14ac:dyDescent="0.35">
      <c r="A1442" s="6" t="s">
        <v>4425</v>
      </c>
      <c r="B1442" s="6" t="s">
        <v>4426</v>
      </c>
      <c r="C1442" s="6" t="s">
        <v>4427</v>
      </c>
      <c r="D1442" s="6" t="s">
        <v>98</v>
      </c>
      <c r="E1442" s="7" t="s">
        <v>23</v>
      </c>
      <c r="F1442" s="6">
        <v>85122</v>
      </c>
      <c r="G1442" s="6" t="s">
        <v>87</v>
      </c>
      <c r="H1442" s="6" t="s">
        <v>109</v>
      </c>
      <c r="I1442" s="6" t="s">
        <v>61</v>
      </c>
      <c r="J1442" s="6" t="b">
        <v>1</v>
      </c>
      <c r="K1442" s="6" t="s">
        <v>27</v>
      </c>
      <c r="L1442" s="6">
        <v>41.2</v>
      </c>
      <c r="M1442" s="6">
        <v>168.92</v>
      </c>
      <c r="N1442" s="8">
        <f t="shared" si="154"/>
        <v>76.679999999999993</v>
      </c>
      <c r="O1442" s="8">
        <f t="shared" si="155"/>
        <v>2144.9199999999996</v>
      </c>
      <c r="P1442" s="8">
        <f t="shared" si="156"/>
        <v>2144.9199999999996</v>
      </c>
      <c r="Q1442" s="8">
        <f t="shared" si="157"/>
        <v>0</v>
      </c>
      <c r="R1442" s="9">
        <f t="shared" si="158"/>
        <v>2144.9199999999996</v>
      </c>
      <c r="S1442" s="10">
        <f t="shared" si="159"/>
        <v>178.74333333333331</v>
      </c>
      <c r="T1442">
        <f t="shared" si="161"/>
        <v>168.92</v>
      </c>
      <c r="U1442">
        <f t="shared" si="160"/>
        <v>0</v>
      </c>
    </row>
    <row r="1443" spans="1:21" ht="14.25" customHeight="1" x14ac:dyDescent="0.35">
      <c r="A1443" s="6" t="s">
        <v>4428</v>
      </c>
      <c r="B1443" s="6" t="s">
        <v>4429</v>
      </c>
      <c r="C1443" s="6" t="s">
        <v>4430</v>
      </c>
      <c r="D1443" s="6" t="s">
        <v>363</v>
      </c>
      <c r="E1443" s="7" t="s">
        <v>23</v>
      </c>
      <c r="F1443" s="6">
        <v>85283</v>
      </c>
      <c r="G1443" s="6" t="s">
        <v>364</v>
      </c>
      <c r="H1443" s="6" t="s">
        <v>365</v>
      </c>
      <c r="I1443" s="6" t="s">
        <v>26</v>
      </c>
      <c r="J1443" s="6" t="b">
        <v>1</v>
      </c>
      <c r="K1443" s="6" t="s">
        <v>27</v>
      </c>
      <c r="L1443" s="6">
        <v>41.2</v>
      </c>
      <c r="M1443" s="6">
        <v>168.92</v>
      </c>
      <c r="N1443" s="8">
        <f t="shared" si="154"/>
        <v>76.679999999999993</v>
      </c>
      <c r="O1443" s="8">
        <f t="shared" si="155"/>
        <v>2144.9199999999996</v>
      </c>
      <c r="P1443" s="8">
        <f t="shared" si="156"/>
        <v>2144.9199999999996</v>
      </c>
      <c r="Q1443" s="8">
        <f t="shared" si="157"/>
        <v>0</v>
      </c>
      <c r="R1443" s="9">
        <f t="shared" si="158"/>
        <v>2144.9199999999996</v>
      </c>
      <c r="S1443" s="10">
        <f t="shared" si="159"/>
        <v>178.74333333333331</v>
      </c>
      <c r="T1443">
        <f t="shared" si="161"/>
        <v>168.92</v>
      </c>
      <c r="U1443">
        <f t="shared" si="160"/>
        <v>0</v>
      </c>
    </row>
    <row r="1444" spans="1:21" ht="14.25" customHeight="1" x14ac:dyDescent="0.35">
      <c r="A1444" s="6" t="s">
        <v>4431</v>
      </c>
      <c r="B1444" s="6" t="s">
        <v>4432</v>
      </c>
      <c r="C1444" s="6" t="s">
        <v>4433</v>
      </c>
      <c r="D1444" s="6" t="s">
        <v>98</v>
      </c>
      <c r="E1444" s="7" t="s">
        <v>23</v>
      </c>
      <c r="F1444" s="6">
        <v>85194</v>
      </c>
      <c r="G1444" s="6" t="s">
        <v>87</v>
      </c>
      <c r="H1444" s="6" t="s">
        <v>99</v>
      </c>
      <c r="I1444" s="6" t="s">
        <v>40</v>
      </c>
      <c r="J1444" s="6" t="b">
        <v>1</v>
      </c>
      <c r="K1444" s="6" t="s">
        <v>27</v>
      </c>
      <c r="L1444" s="6">
        <v>41.2</v>
      </c>
      <c r="M1444" s="6">
        <v>168.92</v>
      </c>
      <c r="N1444" s="8">
        <f t="shared" si="154"/>
        <v>76.679999999999993</v>
      </c>
      <c r="O1444" s="8">
        <f t="shared" si="155"/>
        <v>2144.9199999999996</v>
      </c>
      <c r="P1444" s="8">
        <f t="shared" si="156"/>
        <v>2144.9199999999996</v>
      </c>
      <c r="Q1444" s="8">
        <f t="shared" si="157"/>
        <v>0</v>
      </c>
      <c r="R1444" s="9">
        <f t="shared" si="158"/>
        <v>2144.9199999999996</v>
      </c>
      <c r="S1444" s="10">
        <f t="shared" si="159"/>
        <v>178.74333333333331</v>
      </c>
      <c r="T1444">
        <f t="shared" si="161"/>
        <v>168.92</v>
      </c>
      <c r="U1444">
        <f t="shared" si="160"/>
        <v>0</v>
      </c>
    </row>
    <row r="1445" spans="1:21" ht="14.25" customHeight="1" x14ac:dyDescent="0.35">
      <c r="A1445" s="6" t="s">
        <v>4434</v>
      </c>
      <c r="B1445" s="6" t="s">
        <v>4435</v>
      </c>
      <c r="C1445" s="6" t="s">
        <v>4436</v>
      </c>
      <c r="D1445" s="6" t="s">
        <v>98</v>
      </c>
      <c r="E1445" s="7" t="s">
        <v>23</v>
      </c>
      <c r="F1445" s="6">
        <v>85122</v>
      </c>
      <c r="G1445" s="6" t="s">
        <v>87</v>
      </c>
      <c r="H1445" s="6" t="s">
        <v>109</v>
      </c>
      <c r="I1445" s="6" t="s">
        <v>110</v>
      </c>
      <c r="J1445" s="6" t="b">
        <v>1</v>
      </c>
      <c r="K1445" s="6" t="s">
        <v>27</v>
      </c>
      <c r="L1445" s="6">
        <v>41.2</v>
      </c>
      <c r="M1445" s="6">
        <v>168.92</v>
      </c>
      <c r="N1445" s="8">
        <f t="shared" si="154"/>
        <v>76.679999999999993</v>
      </c>
      <c r="O1445" s="8">
        <f t="shared" si="155"/>
        <v>2144.9199999999996</v>
      </c>
      <c r="P1445" s="8">
        <f t="shared" si="156"/>
        <v>2144.9199999999996</v>
      </c>
      <c r="Q1445" s="8">
        <f t="shared" si="157"/>
        <v>0</v>
      </c>
      <c r="R1445" s="9">
        <f t="shared" si="158"/>
        <v>2144.9199999999996</v>
      </c>
      <c r="S1445" s="10">
        <f t="shared" si="159"/>
        <v>178.74333333333331</v>
      </c>
      <c r="T1445">
        <f t="shared" si="161"/>
        <v>168.92</v>
      </c>
      <c r="U1445">
        <f t="shared" si="160"/>
        <v>0</v>
      </c>
    </row>
    <row r="1446" spans="1:21" ht="14.25" customHeight="1" x14ac:dyDescent="0.35">
      <c r="A1446" s="6" t="s">
        <v>4437</v>
      </c>
      <c r="B1446" s="6" t="s">
        <v>4438</v>
      </c>
      <c r="C1446" s="6" t="s">
        <v>4439</v>
      </c>
      <c r="D1446" s="6" t="s">
        <v>98</v>
      </c>
      <c r="E1446" s="7" t="s">
        <v>23</v>
      </c>
      <c r="F1446" s="6">
        <v>85122</v>
      </c>
      <c r="G1446" s="6" t="s">
        <v>87</v>
      </c>
      <c r="H1446" s="6" t="s">
        <v>109</v>
      </c>
      <c r="I1446" s="6" t="s">
        <v>110</v>
      </c>
      <c r="J1446" s="6" t="b">
        <v>1</v>
      </c>
      <c r="K1446" s="6" t="s">
        <v>27</v>
      </c>
      <c r="L1446" s="6">
        <v>41.2</v>
      </c>
      <c r="M1446" s="6">
        <v>168.92</v>
      </c>
      <c r="N1446" s="8">
        <f t="shared" si="154"/>
        <v>76.679999999999993</v>
      </c>
      <c r="O1446" s="8">
        <f t="shared" si="155"/>
        <v>2144.9199999999996</v>
      </c>
      <c r="P1446" s="8">
        <f t="shared" si="156"/>
        <v>2144.9199999999996</v>
      </c>
      <c r="Q1446" s="8">
        <f t="shared" si="157"/>
        <v>0</v>
      </c>
      <c r="R1446" s="9">
        <f t="shared" si="158"/>
        <v>2144.9199999999996</v>
      </c>
      <c r="S1446" s="10">
        <f t="shared" si="159"/>
        <v>178.74333333333331</v>
      </c>
      <c r="T1446">
        <f t="shared" si="161"/>
        <v>168.92</v>
      </c>
      <c r="U1446">
        <f t="shared" si="160"/>
        <v>0</v>
      </c>
    </row>
    <row r="1447" spans="1:21" ht="14.25" customHeight="1" x14ac:dyDescent="0.35">
      <c r="A1447" s="6" t="s">
        <v>4440</v>
      </c>
      <c r="B1447" s="6" t="s">
        <v>4441</v>
      </c>
      <c r="C1447" s="6" t="s">
        <v>4442</v>
      </c>
      <c r="D1447" s="6" t="s">
        <v>98</v>
      </c>
      <c r="E1447" s="7" t="s">
        <v>23</v>
      </c>
      <c r="F1447" s="6">
        <v>85193</v>
      </c>
      <c r="G1447" s="6" t="s">
        <v>87</v>
      </c>
      <c r="H1447" s="6" t="s">
        <v>99</v>
      </c>
      <c r="I1447" s="6" t="s">
        <v>26</v>
      </c>
      <c r="J1447" s="6" t="b">
        <v>1</v>
      </c>
      <c r="K1447" s="6" t="s">
        <v>27</v>
      </c>
      <c r="L1447" s="6">
        <v>41.2</v>
      </c>
      <c r="M1447" s="6">
        <v>168.92</v>
      </c>
      <c r="N1447" s="8">
        <f t="shared" si="154"/>
        <v>76.679999999999993</v>
      </c>
      <c r="O1447" s="8">
        <f t="shared" si="155"/>
        <v>2144.9199999999996</v>
      </c>
      <c r="P1447" s="8">
        <f t="shared" si="156"/>
        <v>2144.9199999999996</v>
      </c>
      <c r="Q1447" s="8">
        <f t="shared" si="157"/>
        <v>0</v>
      </c>
      <c r="R1447" s="9">
        <f t="shared" si="158"/>
        <v>2144.9199999999996</v>
      </c>
      <c r="S1447" s="10">
        <f t="shared" si="159"/>
        <v>178.74333333333331</v>
      </c>
      <c r="T1447">
        <f t="shared" si="161"/>
        <v>168.92</v>
      </c>
      <c r="U1447">
        <f t="shared" si="160"/>
        <v>0</v>
      </c>
    </row>
    <row r="1448" spans="1:21" ht="14.25" customHeight="1" x14ac:dyDescent="0.35">
      <c r="A1448" s="6" t="s">
        <v>4443</v>
      </c>
      <c r="B1448" s="6" t="s">
        <v>4444</v>
      </c>
      <c r="C1448" s="6" t="s">
        <v>4445</v>
      </c>
      <c r="D1448" s="6" t="s">
        <v>86</v>
      </c>
      <c r="E1448" s="7" t="s">
        <v>23</v>
      </c>
      <c r="F1448" s="6">
        <v>85123</v>
      </c>
      <c r="G1448" s="6" t="s">
        <v>87</v>
      </c>
      <c r="H1448" s="6" t="s">
        <v>99</v>
      </c>
      <c r="I1448" s="6" t="s">
        <v>26</v>
      </c>
      <c r="J1448" s="6" t="b">
        <v>1</v>
      </c>
      <c r="K1448" s="6" t="s">
        <v>27</v>
      </c>
      <c r="L1448" s="6">
        <v>41.2</v>
      </c>
      <c r="M1448" s="6">
        <v>168.92</v>
      </c>
      <c r="N1448" s="8">
        <f t="shared" si="154"/>
        <v>76.679999999999993</v>
      </c>
      <c r="O1448" s="8">
        <f t="shared" si="155"/>
        <v>2144.9199999999996</v>
      </c>
      <c r="P1448" s="8">
        <f t="shared" si="156"/>
        <v>2144.9199999999996</v>
      </c>
      <c r="Q1448" s="8">
        <f t="shared" si="157"/>
        <v>0</v>
      </c>
      <c r="R1448" s="9">
        <f t="shared" si="158"/>
        <v>2144.9199999999996</v>
      </c>
      <c r="S1448" s="10">
        <f t="shared" si="159"/>
        <v>178.74333333333331</v>
      </c>
      <c r="T1448">
        <f t="shared" si="161"/>
        <v>168.92</v>
      </c>
      <c r="U1448">
        <f t="shared" si="160"/>
        <v>0</v>
      </c>
    </row>
    <row r="1449" spans="1:21" ht="14.25" customHeight="1" x14ac:dyDescent="0.35">
      <c r="A1449" s="6" t="s">
        <v>4446</v>
      </c>
      <c r="B1449" s="6" t="s">
        <v>4447</v>
      </c>
      <c r="C1449" s="6" t="s">
        <v>4448</v>
      </c>
      <c r="D1449" s="6" t="s">
        <v>44</v>
      </c>
      <c r="E1449" s="7" t="s">
        <v>23</v>
      </c>
      <c r="F1449" s="6">
        <v>85027</v>
      </c>
      <c r="G1449" s="6" t="s">
        <v>78</v>
      </c>
      <c r="H1449" s="6" t="s">
        <v>79</v>
      </c>
      <c r="I1449" s="6" t="s">
        <v>26</v>
      </c>
      <c r="J1449" s="6" t="b">
        <v>1</v>
      </c>
      <c r="K1449" s="6" t="s">
        <v>27</v>
      </c>
      <c r="L1449" s="6">
        <v>41.2</v>
      </c>
      <c r="M1449" s="6">
        <v>168.92</v>
      </c>
      <c r="N1449" s="8">
        <f t="shared" si="154"/>
        <v>76.679999999999993</v>
      </c>
      <c r="O1449" s="8">
        <f t="shared" si="155"/>
        <v>2144.9199999999996</v>
      </c>
      <c r="P1449" s="8">
        <f t="shared" si="156"/>
        <v>2144.9199999999996</v>
      </c>
      <c r="Q1449" s="8">
        <f t="shared" si="157"/>
        <v>0</v>
      </c>
      <c r="R1449" s="9">
        <f t="shared" si="158"/>
        <v>2144.9199999999996</v>
      </c>
      <c r="S1449" s="10">
        <f t="shared" si="159"/>
        <v>178.74333333333331</v>
      </c>
      <c r="T1449">
        <f t="shared" si="161"/>
        <v>168.92</v>
      </c>
      <c r="U1449">
        <f t="shared" si="160"/>
        <v>0</v>
      </c>
    </row>
    <row r="1450" spans="1:21" ht="14.25" customHeight="1" x14ac:dyDescent="0.35">
      <c r="A1450" s="6" t="s">
        <v>4449</v>
      </c>
      <c r="B1450" s="6" t="s">
        <v>4450</v>
      </c>
      <c r="C1450" s="6" t="s">
        <v>4451</v>
      </c>
      <c r="D1450" s="6" t="s">
        <v>98</v>
      </c>
      <c r="E1450" s="7" t="s">
        <v>23</v>
      </c>
      <c r="F1450" s="6">
        <v>85122</v>
      </c>
      <c r="G1450" s="6" t="s">
        <v>87</v>
      </c>
      <c r="H1450" s="6" t="s">
        <v>88</v>
      </c>
      <c r="I1450" s="6" t="s">
        <v>26</v>
      </c>
      <c r="J1450" s="6" t="b">
        <v>1</v>
      </c>
      <c r="K1450" s="6" t="s">
        <v>27</v>
      </c>
      <c r="L1450" s="6">
        <v>41.2</v>
      </c>
      <c r="M1450" s="6">
        <v>168.92</v>
      </c>
      <c r="N1450" s="8">
        <f t="shared" si="154"/>
        <v>76.679999999999993</v>
      </c>
      <c r="O1450" s="8">
        <f t="shared" si="155"/>
        <v>2144.9199999999996</v>
      </c>
      <c r="P1450" s="8">
        <f t="shared" si="156"/>
        <v>2144.9199999999996</v>
      </c>
      <c r="Q1450" s="8">
        <f t="shared" si="157"/>
        <v>0</v>
      </c>
      <c r="R1450" s="9">
        <f t="shared" si="158"/>
        <v>2144.9199999999996</v>
      </c>
      <c r="S1450" s="10">
        <f t="shared" si="159"/>
        <v>178.74333333333331</v>
      </c>
      <c r="T1450">
        <f t="shared" si="161"/>
        <v>168.92</v>
      </c>
      <c r="U1450">
        <f t="shared" si="160"/>
        <v>0</v>
      </c>
    </row>
    <row r="1451" spans="1:21" ht="14.25" customHeight="1" x14ac:dyDescent="0.35">
      <c r="A1451" s="6" t="s">
        <v>4452</v>
      </c>
      <c r="B1451" s="6" t="s">
        <v>4453</v>
      </c>
      <c r="C1451" s="6" t="s">
        <v>4454</v>
      </c>
      <c r="D1451" s="6" t="s">
        <v>54</v>
      </c>
      <c r="E1451" s="7" t="s">
        <v>23</v>
      </c>
      <c r="F1451" s="6">
        <v>85704</v>
      </c>
      <c r="G1451" s="6" t="s">
        <v>55</v>
      </c>
      <c r="H1451" s="6" t="s">
        <v>56</v>
      </c>
      <c r="I1451" s="6" t="s">
        <v>57</v>
      </c>
      <c r="J1451" s="6" t="b">
        <v>1</v>
      </c>
      <c r="K1451" s="6" t="s">
        <v>27</v>
      </c>
      <c r="L1451" s="6">
        <v>41.2</v>
      </c>
      <c r="M1451" s="6">
        <v>168.92</v>
      </c>
      <c r="N1451" s="8">
        <f t="shared" si="154"/>
        <v>76.679999999999993</v>
      </c>
      <c r="O1451" s="8">
        <f t="shared" si="155"/>
        <v>2144.9199999999996</v>
      </c>
      <c r="P1451" s="8">
        <f t="shared" si="156"/>
        <v>2144.9199999999996</v>
      </c>
      <c r="Q1451" s="8">
        <f t="shared" si="157"/>
        <v>0</v>
      </c>
      <c r="R1451" s="9">
        <f t="shared" si="158"/>
        <v>2144.9199999999996</v>
      </c>
      <c r="S1451" s="10">
        <f t="shared" si="159"/>
        <v>178.74333333333331</v>
      </c>
      <c r="T1451">
        <f t="shared" si="161"/>
        <v>168.92</v>
      </c>
      <c r="U1451">
        <f t="shared" si="160"/>
        <v>0</v>
      </c>
    </row>
    <row r="1452" spans="1:21" ht="14.25" customHeight="1" x14ac:dyDescent="0.35">
      <c r="A1452" s="6" t="s">
        <v>4485</v>
      </c>
      <c r="B1452" s="6" t="s">
        <v>4486</v>
      </c>
      <c r="C1452" s="6" t="s">
        <v>4487</v>
      </c>
      <c r="D1452" s="6" t="s">
        <v>54</v>
      </c>
      <c r="E1452" s="7" t="s">
        <v>23</v>
      </c>
      <c r="F1452" s="6">
        <v>85756</v>
      </c>
      <c r="G1452" s="6" t="s">
        <v>55</v>
      </c>
      <c r="H1452" s="6" t="s">
        <v>56</v>
      </c>
      <c r="I1452" s="6" t="s">
        <v>40</v>
      </c>
      <c r="J1452" s="6" t="b">
        <v>1</v>
      </c>
      <c r="K1452" s="6" t="s">
        <v>94</v>
      </c>
      <c r="L1452" s="6">
        <v>40</v>
      </c>
      <c r="M1452" s="6">
        <v>168.92</v>
      </c>
      <c r="N1452" s="8">
        <f t="shared" si="154"/>
        <v>76.679999999999993</v>
      </c>
      <c r="O1452" s="8">
        <f t="shared" si="155"/>
        <v>2143.7199999999998</v>
      </c>
      <c r="P1452" s="8">
        <f t="shared" si="156"/>
        <v>2079.4083999999998</v>
      </c>
      <c r="Q1452" s="8">
        <f t="shared" si="157"/>
        <v>-64.311599999999999</v>
      </c>
      <c r="R1452" s="9">
        <f t="shared" si="158"/>
        <v>2208.0315999999998</v>
      </c>
      <c r="S1452" s="10">
        <f t="shared" si="159"/>
        <v>184.00263333333331</v>
      </c>
      <c r="T1452">
        <f t="shared" si="161"/>
        <v>168.92</v>
      </c>
      <c r="U1452">
        <f t="shared" si="160"/>
        <v>0</v>
      </c>
    </row>
    <row r="1453" spans="1:21" ht="14.25" customHeight="1" x14ac:dyDescent="0.35">
      <c r="A1453" s="6" t="s">
        <v>4488</v>
      </c>
      <c r="B1453" s="6" t="s">
        <v>4489</v>
      </c>
      <c r="C1453" s="6" t="s">
        <v>4490</v>
      </c>
      <c r="D1453" s="6" t="s">
        <v>54</v>
      </c>
      <c r="E1453" s="7" t="s">
        <v>23</v>
      </c>
      <c r="F1453" s="6">
        <v>85746</v>
      </c>
      <c r="G1453" s="6" t="s">
        <v>55</v>
      </c>
      <c r="H1453" s="6" t="s">
        <v>56</v>
      </c>
      <c r="I1453" s="6" t="s">
        <v>40</v>
      </c>
      <c r="J1453" s="6" t="b">
        <v>1</v>
      </c>
      <c r="K1453" s="6" t="s">
        <v>94</v>
      </c>
      <c r="L1453" s="6">
        <v>40</v>
      </c>
      <c r="M1453" s="6">
        <v>168.92</v>
      </c>
      <c r="N1453" s="8">
        <f t="shared" si="154"/>
        <v>76.679999999999993</v>
      </c>
      <c r="O1453" s="8">
        <f t="shared" si="155"/>
        <v>2143.7199999999998</v>
      </c>
      <c r="P1453" s="8">
        <f t="shared" si="156"/>
        <v>2079.4083999999998</v>
      </c>
      <c r="Q1453" s="8">
        <f t="shared" si="157"/>
        <v>-64.311599999999999</v>
      </c>
      <c r="R1453" s="9">
        <f t="shared" si="158"/>
        <v>2208.0315999999998</v>
      </c>
      <c r="S1453" s="10">
        <f t="shared" si="159"/>
        <v>184.00263333333331</v>
      </c>
      <c r="T1453">
        <f t="shared" si="161"/>
        <v>168.92</v>
      </c>
      <c r="U1453">
        <f t="shared" si="160"/>
        <v>0</v>
      </c>
    </row>
    <row r="1454" spans="1:21" ht="14.25" customHeight="1" x14ac:dyDescent="0.35">
      <c r="A1454" s="6" t="s">
        <v>4491</v>
      </c>
      <c r="B1454" s="6" t="s">
        <v>4492</v>
      </c>
      <c r="C1454" s="6" t="s">
        <v>4493</v>
      </c>
      <c r="D1454" s="6" t="s">
        <v>54</v>
      </c>
      <c r="E1454" s="7" t="s">
        <v>23</v>
      </c>
      <c r="F1454" s="6">
        <v>85756</v>
      </c>
      <c r="G1454" s="6" t="s">
        <v>55</v>
      </c>
      <c r="H1454" s="6" t="s">
        <v>56</v>
      </c>
      <c r="I1454" s="6" t="s">
        <v>40</v>
      </c>
      <c r="J1454" s="6" t="b">
        <v>1</v>
      </c>
      <c r="K1454" s="6" t="s">
        <v>94</v>
      </c>
      <c r="L1454" s="6">
        <v>40</v>
      </c>
      <c r="M1454" s="6">
        <v>168.92</v>
      </c>
      <c r="N1454" s="8">
        <f t="shared" si="154"/>
        <v>76.679999999999993</v>
      </c>
      <c r="O1454" s="8">
        <f t="shared" si="155"/>
        <v>2143.7199999999998</v>
      </c>
      <c r="P1454" s="8">
        <f t="shared" si="156"/>
        <v>2079.4083999999998</v>
      </c>
      <c r="Q1454" s="8">
        <f t="shared" si="157"/>
        <v>-64.311599999999999</v>
      </c>
      <c r="R1454" s="9">
        <f t="shared" si="158"/>
        <v>2208.0315999999998</v>
      </c>
      <c r="S1454" s="10">
        <f t="shared" si="159"/>
        <v>184.00263333333331</v>
      </c>
      <c r="T1454">
        <f t="shared" si="161"/>
        <v>168.92</v>
      </c>
      <c r="U1454">
        <f t="shared" si="160"/>
        <v>0</v>
      </c>
    </row>
    <row r="1455" spans="1:21" ht="14.25" customHeight="1" x14ac:dyDescent="0.35">
      <c r="A1455" s="6" t="s">
        <v>4494</v>
      </c>
      <c r="B1455" s="6" t="s">
        <v>4495</v>
      </c>
      <c r="C1455" s="6" t="s">
        <v>4496</v>
      </c>
      <c r="D1455" s="6" t="s">
        <v>54</v>
      </c>
      <c r="E1455" s="7" t="s">
        <v>23</v>
      </c>
      <c r="F1455" s="6">
        <v>85730</v>
      </c>
      <c r="G1455" s="6" t="s">
        <v>55</v>
      </c>
      <c r="H1455" s="6" t="s">
        <v>56</v>
      </c>
      <c r="I1455" s="6" t="s">
        <v>61</v>
      </c>
      <c r="J1455" s="6" t="b">
        <v>1</v>
      </c>
      <c r="K1455" s="6" t="s">
        <v>94</v>
      </c>
      <c r="L1455" s="6">
        <v>40</v>
      </c>
      <c r="M1455" s="6">
        <v>168.92</v>
      </c>
      <c r="N1455" s="8">
        <f t="shared" si="154"/>
        <v>76.679999999999993</v>
      </c>
      <c r="O1455" s="8">
        <f t="shared" si="155"/>
        <v>2143.7199999999998</v>
      </c>
      <c r="P1455" s="8">
        <f t="shared" si="156"/>
        <v>2079.4083999999998</v>
      </c>
      <c r="Q1455" s="8">
        <f t="shared" si="157"/>
        <v>-64.311599999999999</v>
      </c>
      <c r="R1455" s="9">
        <f t="shared" si="158"/>
        <v>2208.0315999999998</v>
      </c>
      <c r="S1455" s="10">
        <f t="shared" si="159"/>
        <v>184.00263333333331</v>
      </c>
      <c r="T1455">
        <f t="shared" si="161"/>
        <v>168.92</v>
      </c>
      <c r="U1455">
        <f t="shared" si="160"/>
        <v>0</v>
      </c>
    </row>
    <row r="1456" spans="1:21" ht="14.25" customHeight="1" x14ac:dyDescent="0.35">
      <c r="A1456" s="6" t="s">
        <v>4497</v>
      </c>
      <c r="B1456" s="6" t="s">
        <v>4498</v>
      </c>
      <c r="C1456" s="6" t="s">
        <v>4499</v>
      </c>
      <c r="D1456" s="6" t="s">
        <v>54</v>
      </c>
      <c r="E1456" s="7" t="s">
        <v>23</v>
      </c>
      <c r="F1456" s="6">
        <v>85756</v>
      </c>
      <c r="G1456" s="6" t="s">
        <v>55</v>
      </c>
      <c r="H1456" s="6" t="s">
        <v>56</v>
      </c>
      <c r="I1456" s="6" t="s">
        <v>40</v>
      </c>
      <c r="J1456" s="6" t="b">
        <v>1</v>
      </c>
      <c r="K1456" s="6" t="s">
        <v>94</v>
      </c>
      <c r="L1456" s="6">
        <v>40</v>
      </c>
      <c r="M1456" s="6">
        <v>168.92</v>
      </c>
      <c r="N1456" s="8">
        <f t="shared" si="154"/>
        <v>76.679999999999993</v>
      </c>
      <c r="O1456" s="8">
        <f t="shared" si="155"/>
        <v>2143.7199999999998</v>
      </c>
      <c r="P1456" s="8">
        <f t="shared" si="156"/>
        <v>2079.4083999999998</v>
      </c>
      <c r="Q1456" s="8">
        <f t="shared" si="157"/>
        <v>-64.311599999999999</v>
      </c>
      <c r="R1456" s="9">
        <f t="shared" si="158"/>
        <v>2208.0315999999998</v>
      </c>
      <c r="S1456" s="10">
        <f t="shared" si="159"/>
        <v>184.00263333333331</v>
      </c>
      <c r="T1456">
        <f t="shared" si="161"/>
        <v>168.92</v>
      </c>
      <c r="U1456">
        <f t="shared" si="160"/>
        <v>0</v>
      </c>
    </row>
    <row r="1457" spans="1:21" ht="14.25" customHeight="1" x14ac:dyDescent="0.35">
      <c r="A1457" s="6" t="s">
        <v>4500</v>
      </c>
      <c r="B1457" s="6" t="s">
        <v>4501</v>
      </c>
      <c r="C1457" s="6" t="s">
        <v>4502</v>
      </c>
      <c r="D1457" s="6" t="s">
        <v>4325</v>
      </c>
      <c r="E1457" s="7" t="s">
        <v>23</v>
      </c>
      <c r="F1457" s="6">
        <v>85706</v>
      </c>
      <c r="G1457" s="6" t="s">
        <v>55</v>
      </c>
      <c r="H1457" s="6" t="s">
        <v>56</v>
      </c>
      <c r="I1457" s="6" t="s">
        <v>61</v>
      </c>
      <c r="J1457" s="6" t="b">
        <v>1</v>
      </c>
      <c r="K1457" s="6" t="s">
        <v>94</v>
      </c>
      <c r="L1457" s="6">
        <v>40</v>
      </c>
      <c r="M1457" s="6">
        <v>168.92</v>
      </c>
      <c r="N1457" s="8">
        <f t="shared" si="154"/>
        <v>76.679999999999993</v>
      </c>
      <c r="O1457" s="8">
        <f t="shared" si="155"/>
        <v>2143.7199999999998</v>
      </c>
      <c r="P1457" s="8">
        <f t="shared" si="156"/>
        <v>2079.4083999999998</v>
      </c>
      <c r="Q1457" s="8">
        <f t="shared" si="157"/>
        <v>-64.311599999999999</v>
      </c>
      <c r="R1457" s="9">
        <f t="shared" si="158"/>
        <v>2208.0315999999998</v>
      </c>
      <c r="S1457" s="10">
        <f t="shared" si="159"/>
        <v>184.00263333333331</v>
      </c>
      <c r="T1457">
        <f t="shared" si="161"/>
        <v>168.92</v>
      </c>
      <c r="U1457">
        <f t="shared" si="160"/>
        <v>0</v>
      </c>
    </row>
    <row r="1458" spans="1:21" ht="14.25" customHeight="1" x14ac:dyDescent="0.35">
      <c r="A1458" s="6" t="s">
        <v>4503</v>
      </c>
      <c r="B1458" s="6" t="s">
        <v>4504</v>
      </c>
      <c r="C1458" s="6" t="s">
        <v>4505</v>
      </c>
      <c r="D1458" s="6" t="s">
        <v>54</v>
      </c>
      <c r="E1458" s="7" t="s">
        <v>23</v>
      </c>
      <c r="F1458" s="6">
        <v>85747</v>
      </c>
      <c r="G1458" s="6" t="s">
        <v>55</v>
      </c>
      <c r="H1458" s="6" t="s">
        <v>56</v>
      </c>
      <c r="I1458" s="6" t="s">
        <v>61</v>
      </c>
      <c r="J1458" s="6" t="b">
        <v>1</v>
      </c>
      <c r="K1458" s="6" t="s">
        <v>89</v>
      </c>
      <c r="L1458" s="6">
        <v>40</v>
      </c>
      <c r="M1458" s="6">
        <v>168.92</v>
      </c>
      <c r="N1458" s="8">
        <f t="shared" si="154"/>
        <v>76.679999999999993</v>
      </c>
      <c r="O1458" s="8">
        <f t="shared" si="155"/>
        <v>2143.7199999999998</v>
      </c>
      <c r="P1458" s="8">
        <f t="shared" si="156"/>
        <v>2079.4083999999998</v>
      </c>
      <c r="Q1458" s="8">
        <f t="shared" si="157"/>
        <v>-64.311599999999999</v>
      </c>
      <c r="R1458" s="9">
        <f t="shared" si="158"/>
        <v>2208.0315999999998</v>
      </c>
      <c r="S1458" s="10">
        <f t="shared" si="159"/>
        <v>184.00263333333331</v>
      </c>
      <c r="T1458">
        <f t="shared" si="161"/>
        <v>168.92</v>
      </c>
      <c r="U1458">
        <f t="shared" si="160"/>
        <v>0</v>
      </c>
    </row>
    <row r="1459" spans="1:21" ht="14.25" customHeight="1" x14ac:dyDescent="0.35">
      <c r="A1459" s="6" t="s">
        <v>4506</v>
      </c>
      <c r="B1459" s="6" t="s">
        <v>4507</v>
      </c>
      <c r="C1459" s="6" t="s">
        <v>4508</v>
      </c>
      <c r="D1459" s="6" t="s">
        <v>4325</v>
      </c>
      <c r="E1459" s="7" t="s">
        <v>23</v>
      </c>
      <c r="F1459" s="6">
        <v>85641</v>
      </c>
      <c r="G1459" s="6" t="s">
        <v>55</v>
      </c>
      <c r="H1459" s="6" t="s">
        <v>56</v>
      </c>
      <c r="I1459" s="6" t="s">
        <v>61</v>
      </c>
      <c r="J1459" s="6" t="b">
        <v>1</v>
      </c>
      <c r="K1459" s="6" t="s">
        <v>94</v>
      </c>
      <c r="L1459" s="6">
        <v>40</v>
      </c>
      <c r="M1459" s="6">
        <v>168.92</v>
      </c>
      <c r="N1459" s="8">
        <f t="shared" si="154"/>
        <v>76.679999999999993</v>
      </c>
      <c r="O1459" s="8">
        <f t="shared" si="155"/>
        <v>2143.7199999999998</v>
      </c>
      <c r="P1459" s="8">
        <f t="shared" si="156"/>
        <v>2079.4083999999998</v>
      </c>
      <c r="Q1459" s="8">
        <f t="shared" si="157"/>
        <v>-64.311599999999999</v>
      </c>
      <c r="R1459" s="9">
        <f t="shared" si="158"/>
        <v>2208.0315999999998</v>
      </c>
      <c r="S1459" s="10">
        <f t="shared" si="159"/>
        <v>184.00263333333331</v>
      </c>
      <c r="T1459">
        <f t="shared" si="161"/>
        <v>168.92</v>
      </c>
      <c r="U1459">
        <f t="shared" si="160"/>
        <v>0</v>
      </c>
    </row>
    <row r="1460" spans="1:21" ht="14.25" customHeight="1" x14ac:dyDescent="0.35">
      <c r="A1460" s="6" t="s">
        <v>4509</v>
      </c>
      <c r="B1460" s="6" t="s">
        <v>4510</v>
      </c>
      <c r="C1460" s="6" t="s">
        <v>4511</v>
      </c>
      <c r="D1460" s="6" t="s">
        <v>98</v>
      </c>
      <c r="E1460" s="7" t="s">
        <v>23</v>
      </c>
      <c r="F1460" s="6">
        <v>85122</v>
      </c>
      <c r="G1460" s="6" t="s">
        <v>87</v>
      </c>
      <c r="H1460" s="6" t="s">
        <v>88</v>
      </c>
      <c r="I1460" s="6" t="s">
        <v>57</v>
      </c>
      <c r="J1460" s="6" t="b">
        <v>1</v>
      </c>
      <c r="K1460" s="6" t="s">
        <v>94</v>
      </c>
      <c r="L1460" s="6">
        <v>40</v>
      </c>
      <c r="M1460" s="6">
        <v>168.92</v>
      </c>
      <c r="N1460" s="8">
        <f t="shared" si="154"/>
        <v>76.679999999999993</v>
      </c>
      <c r="O1460" s="8">
        <f t="shared" si="155"/>
        <v>2143.7199999999998</v>
      </c>
      <c r="P1460" s="8">
        <f t="shared" si="156"/>
        <v>2079.4083999999998</v>
      </c>
      <c r="Q1460" s="8">
        <f t="shared" si="157"/>
        <v>-64.311599999999999</v>
      </c>
      <c r="R1460" s="9">
        <f t="shared" si="158"/>
        <v>2208.0315999999998</v>
      </c>
      <c r="S1460" s="10">
        <f t="shared" si="159"/>
        <v>184.00263333333331</v>
      </c>
      <c r="T1460">
        <f t="shared" si="161"/>
        <v>168.92</v>
      </c>
      <c r="U1460">
        <f t="shared" si="160"/>
        <v>0</v>
      </c>
    </row>
    <row r="1461" spans="1:21" ht="14.25" customHeight="1" x14ac:dyDescent="0.35">
      <c r="A1461" s="6" t="s">
        <v>4512</v>
      </c>
      <c r="B1461" s="6" t="s">
        <v>4513</v>
      </c>
      <c r="C1461" s="6" t="s">
        <v>4514</v>
      </c>
      <c r="D1461" s="6" t="s">
        <v>117</v>
      </c>
      <c r="E1461" s="7" t="s">
        <v>23</v>
      </c>
      <c r="F1461" s="6">
        <v>85138</v>
      </c>
      <c r="G1461" s="6" t="s">
        <v>87</v>
      </c>
      <c r="H1461" s="6" t="s">
        <v>88</v>
      </c>
      <c r="I1461" s="6" t="s">
        <v>26</v>
      </c>
      <c r="J1461" s="6" t="b">
        <v>1</v>
      </c>
      <c r="K1461" s="6" t="s">
        <v>94</v>
      </c>
      <c r="L1461" s="6">
        <v>40</v>
      </c>
      <c r="M1461" s="6">
        <v>168.92</v>
      </c>
      <c r="N1461" s="8">
        <f t="shared" si="154"/>
        <v>76.679999999999993</v>
      </c>
      <c r="O1461" s="8">
        <f t="shared" si="155"/>
        <v>2143.7199999999998</v>
      </c>
      <c r="P1461" s="8">
        <f t="shared" si="156"/>
        <v>2079.4083999999998</v>
      </c>
      <c r="Q1461" s="8">
        <f t="shared" si="157"/>
        <v>-64.311599999999999</v>
      </c>
      <c r="R1461" s="9">
        <f t="shared" si="158"/>
        <v>2208.0315999999998</v>
      </c>
      <c r="S1461" s="10">
        <f t="shared" si="159"/>
        <v>184.00263333333331</v>
      </c>
      <c r="T1461">
        <f t="shared" si="161"/>
        <v>168.92</v>
      </c>
      <c r="U1461">
        <f t="shared" si="160"/>
        <v>0</v>
      </c>
    </row>
    <row r="1462" spans="1:21" ht="14.25" customHeight="1" x14ac:dyDescent="0.35">
      <c r="A1462" s="6" t="s">
        <v>4515</v>
      </c>
      <c r="B1462" s="6" t="s">
        <v>4516</v>
      </c>
      <c r="C1462" s="6" t="s">
        <v>4517</v>
      </c>
      <c r="D1462" s="6" t="s">
        <v>54</v>
      </c>
      <c r="E1462" s="7" t="s">
        <v>23</v>
      </c>
      <c r="F1462" s="6">
        <v>85718</v>
      </c>
      <c r="G1462" s="6" t="s">
        <v>55</v>
      </c>
      <c r="H1462" s="6" t="s">
        <v>56</v>
      </c>
      <c r="I1462" s="6" t="s">
        <v>57</v>
      </c>
      <c r="J1462" s="6" t="b">
        <v>1</v>
      </c>
      <c r="K1462" s="6" t="s">
        <v>94</v>
      </c>
      <c r="L1462" s="6">
        <v>41.2</v>
      </c>
      <c r="M1462" s="6">
        <v>168.92</v>
      </c>
      <c r="N1462" s="8">
        <f t="shared" si="154"/>
        <v>76.679999999999993</v>
      </c>
      <c r="O1462" s="8">
        <f t="shared" si="155"/>
        <v>2144.9199999999996</v>
      </c>
      <c r="P1462" s="8">
        <f t="shared" si="156"/>
        <v>2080.5723999999996</v>
      </c>
      <c r="Q1462" s="8">
        <f t="shared" si="157"/>
        <v>-64.347600000000057</v>
      </c>
      <c r="R1462" s="9">
        <f t="shared" si="158"/>
        <v>2209.2675999999997</v>
      </c>
      <c r="S1462" s="10">
        <f t="shared" si="159"/>
        <v>184.10563333333332</v>
      </c>
      <c r="T1462">
        <f t="shared" si="161"/>
        <v>168.92</v>
      </c>
      <c r="U1462">
        <f t="shared" si="160"/>
        <v>0</v>
      </c>
    </row>
    <row r="1463" spans="1:21" ht="14.25" customHeight="1" x14ac:dyDescent="0.35">
      <c r="A1463" s="6" t="s">
        <v>4467</v>
      </c>
      <c r="B1463" s="6" t="s">
        <v>4468</v>
      </c>
      <c r="C1463" s="6" t="s">
        <v>4469</v>
      </c>
      <c r="D1463" s="6" t="s">
        <v>454</v>
      </c>
      <c r="E1463" s="7" t="s">
        <v>23</v>
      </c>
      <c r="F1463" s="6">
        <v>85338</v>
      </c>
      <c r="G1463" s="6" t="s">
        <v>38</v>
      </c>
      <c r="H1463" s="6" t="s">
        <v>378</v>
      </c>
      <c r="I1463" s="6" t="s">
        <v>57</v>
      </c>
      <c r="J1463" s="6" t="b">
        <v>1</v>
      </c>
      <c r="K1463" s="6" t="s">
        <v>27</v>
      </c>
      <c r="L1463" s="6">
        <v>41.2</v>
      </c>
      <c r="M1463" s="6">
        <v>169.95</v>
      </c>
      <c r="N1463" s="8">
        <f t="shared" si="154"/>
        <v>76.679999999999993</v>
      </c>
      <c r="O1463" s="8">
        <f t="shared" si="155"/>
        <v>2157.2799999999997</v>
      </c>
      <c r="P1463" s="8">
        <f t="shared" si="156"/>
        <v>2157.2799999999997</v>
      </c>
      <c r="Q1463" s="8">
        <f t="shared" si="157"/>
        <v>0</v>
      </c>
      <c r="R1463" s="9">
        <f t="shared" si="158"/>
        <v>2157.2799999999997</v>
      </c>
      <c r="S1463" s="10">
        <f t="shared" si="159"/>
        <v>179.77333333333331</v>
      </c>
      <c r="T1463">
        <f t="shared" si="161"/>
        <v>169.95</v>
      </c>
      <c r="U1463">
        <f t="shared" si="160"/>
        <v>0</v>
      </c>
    </row>
    <row r="1464" spans="1:21" ht="14.25" customHeight="1" x14ac:dyDescent="0.35">
      <c r="A1464" s="6" t="s">
        <v>4455</v>
      </c>
      <c r="B1464" s="6" t="s">
        <v>4456</v>
      </c>
      <c r="C1464" s="6" t="s">
        <v>4457</v>
      </c>
      <c r="D1464" s="6" t="s">
        <v>98</v>
      </c>
      <c r="E1464" s="7" t="s">
        <v>23</v>
      </c>
      <c r="F1464" s="6">
        <v>85122</v>
      </c>
      <c r="G1464" s="6" t="s">
        <v>87</v>
      </c>
      <c r="H1464" s="6" t="s">
        <v>109</v>
      </c>
      <c r="I1464" s="6" t="s">
        <v>57</v>
      </c>
      <c r="J1464" s="6" t="b">
        <v>1</v>
      </c>
      <c r="K1464" s="6" t="s">
        <v>27</v>
      </c>
      <c r="L1464" s="6">
        <v>40</v>
      </c>
      <c r="M1464" s="6">
        <v>170</v>
      </c>
      <c r="N1464" s="8">
        <f t="shared" si="154"/>
        <v>76.679999999999993</v>
      </c>
      <c r="O1464" s="8">
        <f t="shared" si="155"/>
        <v>2156.6799999999998</v>
      </c>
      <c r="P1464" s="8">
        <f t="shared" si="156"/>
        <v>2156.6799999999998</v>
      </c>
      <c r="Q1464" s="8">
        <f t="shared" si="157"/>
        <v>0</v>
      </c>
      <c r="R1464" s="9">
        <f t="shared" si="158"/>
        <v>2156.6799999999998</v>
      </c>
      <c r="S1464" s="10">
        <f t="shared" si="159"/>
        <v>179.72333333333333</v>
      </c>
      <c r="T1464">
        <f t="shared" si="161"/>
        <v>170</v>
      </c>
      <c r="U1464">
        <f t="shared" si="160"/>
        <v>0</v>
      </c>
    </row>
    <row r="1465" spans="1:21" ht="14.25" customHeight="1" x14ac:dyDescent="0.35">
      <c r="A1465" s="6" t="s">
        <v>4458</v>
      </c>
      <c r="B1465" s="6" t="s">
        <v>4459</v>
      </c>
      <c r="C1465" s="6" t="s">
        <v>4460</v>
      </c>
      <c r="D1465" s="6" t="s">
        <v>267</v>
      </c>
      <c r="E1465" s="7" t="s">
        <v>23</v>
      </c>
      <c r="F1465" s="6">
        <v>85378</v>
      </c>
      <c r="G1465" s="6" t="s">
        <v>78</v>
      </c>
      <c r="H1465" s="6" t="s">
        <v>281</v>
      </c>
      <c r="I1465" s="6" t="s">
        <v>26</v>
      </c>
      <c r="J1465" s="6" t="b">
        <v>1</v>
      </c>
      <c r="K1465" s="6" t="s">
        <v>27</v>
      </c>
      <c r="L1465" s="6">
        <v>40</v>
      </c>
      <c r="M1465" s="6">
        <v>170</v>
      </c>
      <c r="N1465" s="8">
        <f t="shared" si="154"/>
        <v>76.679999999999993</v>
      </c>
      <c r="O1465" s="8">
        <f t="shared" si="155"/>
        <v>2156.6799999999998</v>
      </c>
      <c r="P1465" s="8">
        <f t="shared" si="156"/>
        <v>2156.6799999999998</v>
      </c>
      <c r="Q1465" s="8">
        <f t="shared" si="157"/>
        <v>0</v>
      </c>
      <c r="R1465" s="9">
        <f t="shared" si="158"/>
        <v>2156.6799999999998</v>
      </c>
      <c r="S1465" s="10">
        <f t="shared" si="159"/>
        <v>179.72333333333333</v>
      </c>
      <c r="T1465">
        <f t="shared" si="161"/>
        <v>170</v>
      </c>
      <c r="U1465">
        <f t="shared" si="160"/>
        <v>0</v>
      </c>
    </row>
    <row r="1466" spans="1:21" ht="14.25" customHeight="1" x14ac:dyDescent="0.35">
      <c r="A1466" s="6" t="s">
        <v>4461</v>
      </c>
      <c r="B1466" s="6" t="s">
        <v>4462</v>
      </c>
      <c r="C1466" s="6" t="s">
        <v>4463</v>
      </c>
      <c r="D1466" s="6" t="s">
        <v>44</v>
      </c>
      <c r="E1466" s="7" t="s">
        <v>23</v>
      </c>
      <c r="F1466" s="6">
        <v>85021</v>
      </c>
      <c r="G1466" s="6" t="s">
        <v>72</v>
      </c>
      <c r="H1466" s="6" t="s">
        <v>93</v>
      </c>
      <c r="I1466" s="6" t="s">
        <v>26</v>
      </c>
      <c r="J1466" s="6" t="b">
        <v>1</v>
      </c>
      <c r="K1466" s="6" t="s">
        <v>27</v>
      </c>
      <c r="L1466" s="6">
        <v>40</v>
      </c>
      <c r="M1466" s="6">
        <v>170</v>
      </c>
      <c r="N1466" s="8">
        <f t="shared" si="154"/>
        <v>76.679999999999993</v>
      </c>
      <c r="O1466" s="8">
        <f t="shared" si="155"/>
        <v>2156.6799999999998</v>
      </c>
      <c r="P1466" s="8">
        <f t="shared" si="156"/>
        <v>2156.6799999999998</v>
      </c>
      <c r="Q1466" s="8">
        <f t="shared" si="157"/>
        <v>0</v>
      </c>
      <c r="R1466" s="9">
        <f t="shared" si="158"/>
        <v>2156.6799999999998</v>
      </c>
      <c r="S1466" s="10">
        <f t="shared" si="159"/>
        <v>179.72333333333333</v>
      </c>
      <c r="T1466">
        <f t="shared" si="161"/>
        <v>170</v>
      </c>
      <c r="U1466">
        <f t="shared" si="160"/>
        <v>0</v>
      </c>
    </row>
    <row r="1467" spans="1:21" ht="14.25" customHeight="1" x14ac:dyDescent="0.35">
      <c r="A1467" s="6" t="s">
        <v>4464</v>
      </c>
      <c r="B1467" s="6" t="s">
        <v>4465</v>
      </c>
      <c r="C1467" s="6" t="s">
        <v>4466</v>
      </c>
      <c r="D1467" s="6" t="s">
        <v>31</v>
      </c>
      <c r="E1467" s="7" t="s">
        <v>23</v>
      </c>
      <c r="F1467" s="6">
        <v>85258</v>
      </c>
      <c r="G1467" s="6" t="s">
        <v>45</v>
      </c>
      <c r="H1467" s="6" t="s">
        <v>291</v>
      </c>
      <c r="I1467" s="6" t="s">
        <v>26</v>
      </c>
      <c r="J1467" s="6" t="b">
        <v>1</v>
      </c>
      <c r="K1467" s="6" t="s">
        <v>27</v>
      </c>
      <c r="L1467" s="6">
        <v>40</v>
      </c>
      <c r="M1467" s="6">
        <v>170</v>
      </c>
      <c r="N1467" s="8">
        <f t="shared" si="154"/>
        <v>76.679999999999993</v>
      </c>
      <c r="O1467" s="8">
        <f t="shared" si="155"/>
        <v>2156.6799999999998</v>
      </c>
      <c r="P1467" s="8">
        <f t="shared" si="156"/>
        <v>2156.6799999999998</v>
      </c>
      <c r="Q1467" s="8">
        <f t="shared" si="157"/>
        <v>0</v>
      </c>
      <c r="R1467" s="9">
        <f t="shared" si="158"/>
        <v>2156.6799999999998</v>
      </c>
      <c r="S1467" s="10">
        <f t="shared" si="159"/>
        <v>179.72333333333333</v>
      </c>
      <c r="T1467">
        <f t="shared" si="161"/>
        <v>170</v>
      </c>
      <c r="U1467">
        <f t="shared" si="160"/>
        <v>0</v>
      </c>
    </row>
    <row r="1468" spans="1:21" ht="14.25" customHeight="1" x14ac:dyDescent="0.35">
      <c r="A1468" s="6" t="s">
        <v>4479</v>
      </c>
      <c r="B1468" s="6" t="s">
        <v>4480</v>
      </c>
      <c r="C1468" s="6" t="s">
        <v>4481</v>
      </c>
      <c r="D1468" s="6" t="s">
        <v>165</v>
      </c>
      <c r="E1468" s="7" t="s">
        <v>23</v>
      </c>
      <c r="F1468" s="6">
        <v>85298</v>
      </c>
      <c r="G1468" s="6" t="s">
        <v>125</v>
      </c>
      <c r="H1468" s="6" t="s">
        <v>126</v>
      </c>
      <c r="I1468" s="6" t="s">
        <v>26</v>
      </c>
      <c r="J1468" s="6" t="b">
        <v>1</v>
      </c>
      <c r="K1468" s="6" t="s">
        <v>27</v>
      </c>
      <c r="L1468" s="6">
        <v>41.2</v>
      </c>
      <c r="M1468" s="6">
        <v>171.7</v>
      </c>
      <c r="N1468" s="8">
        <f t="shared" si="154"/>
        <v>76.679999999999993</v>
      </c>
      <c r="O1468" s="8">
        <f t="shared" si="155"/>
        <v>2178.2799999999993</v>
      </c>
      <c r="P1468" s="8">
        <f t="shared" si="156"/>
        <v>2178.2799999999993</v>
      </c>
      <c r="Q1468" s="8">
        <f t="shared" si="157"/>
        <v>0</v>
      </c>
      <c r="R1468" s="9">
        <f t="shared" si="158"/>
        <v>2178.2799999999993</v>
      </c>
      <c r="S1468" s="10">
        <f t="shared" si="159"/>
        <v>181.52333333333328</v>
      </c>
      <c r="T1468">
        <f t="shared" si="161"/>
        <v>171.7</v>
      </c>
      <c r="U1468">
        <f t="shared" si="160"/>
        <v>0</v>
      </c>
    </row>
    <row r="1469" spans="1:21" ht="14.25" customHeight="1" x14ac:dyDescent="0.35">
      <c r="A1469" s="6" t="s">
        <v>4524</v>
      </c>
      <c r="B1469" s="6" t="s">
        <v>4525</v>
      </c>
      <c r="C1469" s="6" t="s">
        <v>4526</v>
      </c>
      <c r="D1469" s="6" t="s">
        <v>31</v>
      </c>
      <c r="E1469" s="7" t="s">
        <v>23</v>
      </c>
      <c r="F1469" s="6">
        <v>85254</v>
      </c>
      <c r="G1469" s="6" t="s">
        <v>45</v>
      </c>
      <c r="H1469" s="6" t="s">
        <v>169</v>
      </c>
      <c r="I1469" s="6" t="s">
        <v>26</v>
      </c>
      <c r="J1469" s="6" t="b">
        <v>1</v>
      </c>
      <c r="K1469" s="6" t="s">
        <v>89</v>
      </c>
      <c r="L1469" s="6">
        <v>40</v>
      </c>
      <c r="M1469" s="6">
        <v>172.01</v>
      </c>
      <c r="N1469" s="8">
        <f t="shared" si="154"/>
        <v>76.679999999999993</v>
      </c>
      <c r="O1469" s="8">
        <f t="shared" si="155"/>
        <v>2180.7999999999997</v>
      </c>
      <c r="P1469" s="8">
        <f t="shared" si="156"/>
        <v>2115.3759999999997</v>
      </c>
      <c r="Q1469" s="8">
        <f t="shared" si="157"/>
        <v>-65.423999999999978</v>
      </c>
      <c r="R1469" s="9">
        <f t="shared" si="158"/>
        <v>2246.2239999999997</v>
      </c>
      <c r="S1469" s="10">
        <f t="shared" si="159"/>
        <v>187.18533333333332</v>
      </c>
      <c r="T1469">
        <f t="shared" si="161"/>
        <v>172.01</v>
      </c>
      <c r="U1469">
        <f t="shared" si="160"/>
        <v>0</v>
      </c>
    </row>
    <row r="1470" spans="1:21" ht="14.25" customHeight="1" x14ac:dyDescent="0.35">
      <c r="A1470" s="6" t="s">
        <v>4356</v>
      </c>
      <c r="B1470" s="6" t="s">
        <v>4357</v>
      </c>
      <c r="C1470" s="6" t="s">
        <v>4358</v>
      </c>
      <c r="D1470" s="6" t="s">
        <v>31</v>
      </c>
      <c r="E1470" s="7" t="s">
        <v>23</v>
      </c>
      <c r="F1470" s="6">
        <v>85255</v>
      </c>
      <c r="G1470" s="6" t="s">
        <v>32</v>
      </c>
      <c r="H1470" s="6" t="s">
        <v>33</v>
      </c>
      <c r="I1470" s="6" t="s">
        <v>26</v>
      </c>
      <c r="J1470" s="6" t="b">
        <v>0</v>
      </c>
      <c r="K1470" s="6" t="s">
        <v>27</v>
      </c>
      <c r="L1470" s="6">
        <v>0</v>
      </c>
      <c r="M1470" s="6">
        <v>175</v>
      </c>
      <c r="N1470" s="8" t="str">
        <f t="shared" si="154"/>
        <v>0</v>
      </c>
      <c r="O1470" s="8">
        <f t="shared" si="155"/>
        <v>2100</v>
      </c>
      <c r="P1470" s="8">
        <f t="shared" si="156"/>
        <v>2100</v>
      </c>
      <c r="Q1470" s="8">
        <f t="shared" si="157"/>
        <v>0</v>
      </c>
      <c r="R1470" s="9">
        <f t="shared" si="158"/>
        <v>2100</v>
      </c>
      <c r="S1470" s="10">
        <f t="shared" si="159"/>
        <v>175</v>
      </c>
      <c r="T1470">
        <f t="shared" si="161"/>
        <v>175</v>
      </c>
      <c r="U1470">
        <f t="shared" si="160"/>
        <v>0</v>
      </c>
    </row>
    <row r="1471" spans="1:21" ht="14.25" customHeight="1" x14ac:dyDescent="0.35">
      <c r="A1471" s="6" t="s">
        <v>4527</v>
      </c>
      <c r="B1471" s="6" t="s">
        <v>4528</v>
      </c>
      <c r="C1471" s="6" t="s">
        <v>4529</v>
      </c>
      <c r="D1471" s="6" t="s">
        <v>54</v>
      </c>
      <c r="E1471" s="7" t="s">
        <v>23</v>
      </c>
      <c r="F1471" s="6">
        <v>85750</v>
      </c>
      <c r="G1471" s="6" t="s">
        <v>55</v>
      </c>
      <c r="H1471" s="6" t="s">
        <v>56</v>
      </c>
      <c r="I1471" s="6" t="s">
        <v>110</v>
      </c>
      <c r="J1471" s="6" t="b">
        <v>1</v>
      </c>
      <c r="K1471" s="6" t="s">
        <v>27</v>
      </c>
      <c r="L1471" s="6">
        <v>41.2</v>
      </c>
      <c r="M1471" s="6">
        <v>178.58</v>
      </c>
      <c r="N1471" s="8">
        <f t="shared" si="154"/>
        <v>76.679999999999993</v>
      </c>
      <c r="O1471" s="8">
        <f t="shared" si="155"/>
        <v>2260.8399999999997</v>
      </c>
      <c r="P1471" s="8">
        <f t="shared" si="156"/>
        <v>2260.8399999999997</v>
      </c>
      <c r="Q1471" s="8">
        <f t="shared" si="157"/>
        <v>0</v>
      </c>
      <c r="R1471" s="9">
        <f t="shared" si="158"/>
        <v>2260.8399999999997</v>
      </c>
      <c r="S1471" s="10">
        <f t="shared" si="159"/>
        <v>188.40333333333331</v>
      </c>
      <c r="T1471">
        <f t="shared" si="161"/>
        <v>178.58</v>
      </c>
      <c r="U1471">
        <f t="shared" si="160"/>
        <v>0</v>
      </c>
    </row>
    <row r="1472" spans="1:21" ht="14.25" customHeight="1" x14ac:dyDescent="0.35">
      <c r="A1472" s="6" t="s">
        <v>4482</v>
      </c>
      <c r="B1472" s="6" t="s">
        <v>4483</v>
      </c>
      <c r="C1472" s="6" t="s">
        <v>4484</v>
      </c>
      <c r="D1472" s="6" t="s">
        <v>31</v>
      </c>
      <c r="E1472" s="7" t="s">
        <v>23</v>
      </c>
      <c r="F1472" s="6">
        <v>85259</v>
      </c>
      <c r="G1472" s="6" t="s">
        <v>45</v>
      </c>
      <c r="H1472" s="6" t="s">
        <v>169</v>
      </c>
      <c r="I1472" s="6" t="s">
        <v>26</v>
      </c>
      <c r="J1472" s="6" t="b">
        <v>0</v>
      </c>
      <c r="K1472" s="6" t="s">
        <v>27</v>
      </c>
      <c r="L1472" s="6">
        <v>0</v>
      </c>
      <c r="M1472" s="6">
        <v>181.57</v>
      </c>
      <c r="N1472" s="8" t="str">
        <f t="shared" si="154"/>
        <v>0</v>
      </c>
      <c r="O1472" s="8">
        <f t="shared" si="155"/>
        <v>2178.84</v>
      </c>
      <c r="P1472" s="8">
        <f t="shared" si="156"/>
        <v>2178.84</v>
      </c>
      <c r="Q1472" s="8">
        <f t="shared" si="157"/>
        <v>0</v>
      </c>
      <c r="R1472" s="9">
        <f t="shared" si="158"/>
        <v>2178.84</v>
      </c>
      <c r="S1472" s="10">
        <f t="shared" si="159"/>
        <v>181.57000000000002</v>
      </c>
      <c r="T1472">
        <f t="shared" si="161"/>
        <v>181.57</v>
      </c>
      <c r="U1472">
        <f t="shared" si="160"/>
        <v>0</v>
      </c>
    </row>
    <row r="1473" spans="1:21" ht="14.25" customHeight="1" x14ac:dyDescent="0.35">
      <c r="A1473" s="6" t="s">
        <v>4518</v>
      </c>
      <c r="B1473" s="6" t="s">
        <v>4519</v>
      </c>
      <c r="C1473" s="6" t="s">
        <v>4520</v>
      </c>
      <c r="D1473" s="6" t="s">
        <v>77</v>
      </c>
      <c r="E1473" s="7" t="s">
        <v>23</v>
      </c>
      <c r="F1473" s="6">
        <v>85308</v>
      </c>
      <c r="G1473" s="6" t="s">
        <v>78</v>
      </c>
      <c r="H1473" s="6" t="s">
        <v>93</v>
      </c>
      <c r="I1473" s="6" t="s">
        <v>26</v>
      </c>
      <c r="J1473" s="6" t="b">
        <v>0</v>
      </c>
      <c r="K1473" s="6" t="s">
        <v>27</v>
      </c>
      <c r="L1473" s="6">
        <v>0</v>
      </c>
      <c r="M1473" s="6">
        <v>185</v>
      </c>
      <c r="N1473" s="8" t="str">
        <f t="shared" si="154"/>
        <v>0</v>
      </c>
      <c r="O1473" s="8">
        <f t="shared" si="155"/>
        <v>2220</v>
      </c>
      <c r="P1473" s="8">
        <f t="shared" si="156"/>
        <v>2220</v>
      </c>
      <c r="Q1473" s="8">
        <f t="shared" si="157"/>
        <v>0</v>
      </c>
      <c r="R1473" s="9">
        <f t="shared" si="158"/>
        <v>2220</v>
      </c>
      <c r="S1473" s="10">
        <f t="shared" si="159"/>
        <v>185</v>
      </c>
      <c r="T1473">
        <f t="shared" si="161"/>
        <v>185</v>
      </c>
      <c r="U1473">
        <f t="shared" si="160"/>
        <v>0</v>
      </c>
    </row>
    <row r="1474" spans="1:21" ht="14.25" customHeight="1" x14ac:dyDescent="0.35">
      <c r="A1474" s="6" t="s">
        <v>4521</v>
      </c>
      <c r="B1474" s="6" t="s">
        <v>4522</v>
      </c>
      <c r="C1474" s="6" t="s">
        <v>4523</v>
      </c>
      <c r="D1474" s="6" t="s">
        <v>267</v>
      </c>
      <c r="E1474" s="7" t="s">
        <v>23</v>
      </c>
      <c r="F1474" s="6">
        <v>85379</v>
      </c>
      <c r="G1474" s="6" t="s">
        <v>78</v>
      </c>
      <c r="H1474" s="6" t="s">
        <v>268</v>
      </c>
      <c r="I1474" s="6" t="s">
        <v>57</v>
      </c>
      <c r="J1474" s="6" t="b">
        <v>1</v>
      </c>
      <c r="K1474" s="6" t="s">
        <v>27</v>
      </c>
      <c r="L1474" s="6">
        <v>0</v>
      </c>
      <c r="M1474" s="6">
        <v>185</v>
      </c>
      <c r="N1474" s="8">
        <f t="shared" ref="N1474:N1537" si="162">IF(J1474=TRUE, 6.39*12, "0")</f>
        <v>76.679999999999993</v>
      </c>
      <c r="O1474" s="8">
        <f t="shared" ref="O1474:O1537" si="163">L1474+(M1474*12)+N1474</f>
        <v>2296.6799999999998</v>
      </c>
      <c r="P1474" s="8">
        <f t="shared" ref="P1474:P1537" si="164">IF(OR(K1474="Check",K1474="ACH"), O1474*0.97, O1474)</f>
        <v>2296.6799999999998</v>
      </c>
      <c r="Q1474" s="8">
        <f t="shared" ref="Q1474:Q1537" si="165">P1474-O1474</f>
        <v>0</v>
      </c>
      <c r="R1474" s="9">
        <f t="shared" ref="R1474:R1537" si="166">O1474-Q1474</f>
        <v>2296.6799999999998</v>
      </c>
      <c r="S1474" s="10">
        <f t="shared" ref="S1474:S1537" si="167">R1474/12</f>
        <v>191.39</v>
      </c>
      <c r="T1474">
        <f t="shared" si="161"/>
        <v>185</v>
      </c>
      <c r="U1474">
        <f t="shared" si="160"/>
        <v>0</v>
      </c>
    </row>
    <row r="1475" spans="1:21" ht="14.25" customHeight="1" x14ac:dyDescent="0.35">
      <c r="A1475" s="6" t="s">
        <v>4905</v>
      </c>
      <c r="B1475" s="6" t="s">
        <v>4906</v>
      </c>
      <c r="C1475" s="6" t="s">
        <v>4907</v>
      </c>
      <c r="D1475" s="6" t="s">
        <v>54</v>
      </c>
      <c r="E1475" s="7" t="s">
        <v>23</v>
      </c>
      <c r="F1475" s="6">
        <v>85718</v>
      </c>
      <c r="G1475" s="6" t="s">
        <v>55</v>
      </c>
      <c r="H1475" s="6" t="s">
        <v>56</v>
      </c>
      <c r="I1475" s="6" t="s">
        <v>57</v>
      </c>
      <c r="J1475" s="6" t="b">
        <v>1</v>
      </c>
      <c r="K1475" s="6" t="s">
        <v>27</v>
      </c>
      <c r="L1475" s="6">
        <v>41.2</v>
      </c>
      <c r="M1475" s="6">
        <v>188.88</v>
      </c>
      <c r="N1475" s="8">
        <f t="shared" si="162"/>
        <v>76.679999999999993</v>
      </c>
      <c r="O1475" s="8">
        <f t="shared" si="163"/>
        <v>2384.4399999999996</v>
      </c>
      <c r="P1475" s="8">
        <f t="shared" si="164"/>
        <v>2384.4399999999996</v>
      </c>
      <c r="Q1475" s="8">
        <f t="shared" si="165"/>
        <v>0</v>
      </c>
      <c r="R1475" s="9">
        <f t="shared" si="166"/>
        <v>2384.4399999999996</v>
      </c>
      <c r="S1475" s="10">
        <f t="shared" si="167"/>
        <v>198.70333333333329</v>
      </c>
      <c r="T1475">
        <f t="shared" si="161"/>
        <v>188.88</v>
      </c>
      <c r="U1475">
        <f t="shared" si="160"/>
        <v>0</v>
      </c>
    </row>
    <row r="1476" spans="1:21" ht="14.25" customHeight="1" x14ac:dyDescent="0.35">
      <c r="A1476" s="6" t="s">
        <v>4908</v>
      </c>
      <c r="B1476" s="6" t="s">
        <v>4909</v>
      </c>
      <c r="C1476" s="6" t="s">
        <v>4910</v>
      </c>
      <c r="D1476" s="6" t="s">
        <v>892</v>
      </c>
      <c r="E1476" s="7" t="s">
        <v>23</v>
      </c>
      <c r="F1476" s="6">
        <v>85142</v>
      </c>
      <c r="G1476" s="6" t="s">
        <v>125</v>
      </c>
      <c r="H1476" s="6" t="s">
        <v>126</v>
      </c>
      <c r="I1476" s="6" t="s">
        <v>26</v>
      </c>
      <c r="J1476" s="6" t="b">
        <v>1</v>
      </c>
      <c r="K1476" s="6" t="s">
        <v>27</v>
      </c>
      <c r="L1476" s="6">
        <v>40</v>
      </c>
      <c r="M1476" s="6">
        <v>189.65</v>
      </c>
      <c r="N1476" s="8">
        <f t="shared" si="162"/>
        <v>76.679999999999993</v>
      </c>
      <c r="O1476" s="8">
        <f t="shared" si="163"/>
        <v>2392.48</v>
      </c>
      <c r="P1476" s="8">
        <f t="shared" si="164"/>
        <v>2392.48</v>
      </c>
      <c r="Q1476" s="8">
        <f t="shared" si="165"/>
        <v>0</v>
      </c>
      <c r="R1476" s="9">
        <f t="shared" si="166"/>
        <v>2392.48</v>
      </c>
      <c r="S1476" s="10">
        <f t="shared" si="167"/>
        <v>199.37333333333333</v>
      </c>
      <c r="T1476">
        <f t="shared" si="161"/>
        <v>189.65</v>
      </c>
      <c r="U1476">
        <f t="shared" ref="U1476:U1539" si="168">SUM(T1476-M1476)</f>
        <v>0</v>
      </c>
    </row>
    <row r="1477" spans="1:21" ht="14.25" customHeight="1" x14ac:dyDescent="0.35">
      <c r="A1477" s="6" t="s">
        <v>4530</v>
      </c>
      <c r="B1477" s="6" t="s">
        <v>4531</v>
      </c>
      <c r="C1477" s="6" t="s">
        <v>4532</v>
      </c>
      <c r="D1477" s="6" t="s">
        <v>31</v>
      </c>
      <c r="E1477" s="7" t="s">
        <v>23</v>
      </c>
      <c r="F1477" s="6">
        <v>85260</v>
      </c>
      <c r="G1477" s="6" t="s">
        <v>45</v>
      </c>
      <c r="H1477" s="6" t="s">
        <v>291</v>
      </c>
      <c r="I1477" s="6" t="s">
        <v>26</v>
      </c>
      <c r="J1477" s="6" t="b">
        <v>0</v>
      </c>
      <c r="K1477" s="6" t="s">
        <v>27</v>
      </c>
      <c r="L1477" s="6">
        <v>0</v>
      </c>
      <c r="M1477" s="6">
        <v>190</v>
      </c>
      <c r="N1477" s="8" t="str">
        <f t="shared" si="162"/>
        <v>0</v>
      </c>
      <c r="O1477" s="8">
        <f t="shared" si="163"/>
        <v>2280</v>
      </c>
      <c r="P1477" s="8">
        <f t="shared" si="164"/>
        <v>2280</v>
      </c>
      <c r="Q1477" s="8">
        <f t="shared" si="165"/>
        <v>0</v>
      </c>
      <c r="R1477" s="9">
        <f t="shared" si="166"/>
        <v>2280</v>
      </c>
      <c r="S1477" s="10">
        <f t="shared" si="167"/>
        <v>190</v>
      </c>
      <c r="T1477">
        <f t="shared" si="161"/>
        <v>190</v>
      </c>
      <c r="U1477">
        <f t="shared" si="168"/>
        <v>0</v>
      </c>
    </row>
    <row r="1478" spans="1:21" ht="14.25" customHeight="1" x14ac:dyDescent="0.35">
      <c r="A1478" s="6" t="s">
        <v>4533</v>
      </c>
      <c r="B1478" s="6" t="s">
        <v>4534</v>
      </c>
      <c r="C1478" s="6" t="s">
        <v>4535</v>
      </c>
      <c r="D1478" s="6" t="s">
        <v>65</v>
      </c>
      <c r="E1478" s="7" t="s">
        <v>23</v>
      </c>
      <c r="F1478" s="6">
        <v>85207</v>
      </c>
      <c r="G1478" s="6" t="s">
        <v>66</v>
      </c>
      <c r="H1478" s="6" t="s">
        <v>67</v>
      </c>
      <c r="I1478" s="6" t="s">
        <v>26</v>
      </c>
      <c r="J1478" s="6" t="b">
        <v>0</v>
      </c>
      <c r="K1478" s="6" t="s">
        <v>27</v>
      </c>
      <c r="L1478" s="6">
        <v>0</v>
      </c>
      <c r="M1478" s="6">
        <v>190</v>
      </c>
      <c r="N1478" s="8" t="str">
        <f t="shared" si="162"/>
        <v>0</v>
      </c>
      <c r="O1478" s="8">
        <f t="shared" si="163"/>
        <v>2280</v>
      </c>
      <c r="P1478" s="8">
        <f t="shared" si="164"/>
        <v>2280</v>
      </c>
      <c r="Q1478" s="8">
        <f t="shared" si="165"/>
        <v>0</v>
      </c>
      <c r="R1478" s="9">
        <f t="shared" si="166"/>
        <v>2280</v>
      </c>
      <c r="S1478" s="10">
        <f t="shared" si="167"/>
        <v>190</v>
      </c>
      <c r="T1478">
        <f t="shared" si="161"/>
        <v>190</v>
      </c>
      <c r="U1478">
        <f t="shared" si="168"/>
        <v>0</v>
      </c>
    </row>
    <row r="1479" spans="1:21" ht="14.25" customHeight="1" x14ac:dyDescent="0.35">
      <c r="A1479" s="6" t="s">
        <v>4536</v>
      </c>
      <c r="B1479" s="6" t="s">
        <v>4537</v>
      </c>
      <c r="C1479" s="6" t="s">
        <v>4538</v>
      </c>
      <c r="D1479" s="6" t="s">
        <v>22</v>
      </c>
      <c r="E1479" s="7" t="s">
        <v>23</v>
      </c>
      <c r="F1479" s="6">
        <v>85226</v>
      </c>
      <c r="G1479" s="6" t="s">
        <v>24</v>
      </c>
      <c r="I1479" s="6" t="s">
        <v>40</v>
      </c>
      <c r="J1479" s="6" t="b">
        <v>0</v>
      </c>
      <c r="K1479" s="6" t="s">
        <v>27</v>
      </c>
      <c r="L1479" s="6">
        <v>0</v>
      </c>
      <c r="M1479" s="6">
        <v>195</v>
      </c>
      <c r="N1479" s="8" t="str">
        <f t="shared" si="162"/>
        <v>0</v>
      </c>
      <c r="O1479" s="8">
        <f t="shared" si="163"/>
        <v>2340</v>
      </c>
      <c r="P1479" s="8">
        <f t="shared" si="164"/>
        <v>2340</v>
      </c>
      <c r="Q1479" s="8">
        <f t="shared" si="165"/>
        <v>0</v>
      </c>
      <c r="R1479" s="9">
        <f t="shared" si="166"/>
        <v>2340</v>
      </c>
      <c r="S1479" s="10">
        <f t="shared" si="167"/>
        <v>195</v>
      </c>
      <c r="T1479">
        <f t="shared" si="161"/>
        <v>195</v>
      </c>
      <c r="U1479">
        <f t="shared" si="168"/>
        <v>0</v>
      </c>
    </row>
    <row r="1480" spans="1:21" ht="14.25" customHeight="1" x14ac:dyDescent="0.35">
      <c r="A1480" s="6" t="s">
        <v>4539</v>
      </c>
      <c r="B1480" s="6" t="s">
        <v>4540</v>
      </c>
      <c r="C1480" s="6" t="s">
        <v>4541</v>
      </c>
      <c r="D1480" s="6" t="s">
        <v>31</v>
      </c>
      <c r="E1480" s="7" t="s">
        <v>23</v>
      </c>
      <c r="F1480" s="6">
        <v>85254</v>
      </c>
      <c r="G1480" s="6" t="s">
        <v>45</v>
      </c>
      <c r="H1480" s="6" t="s">
        <v>291</v>
      </c>
      <c r="I1480" s="6" t="s">
        <v>26</v>
      </c>
      <c r="J1480" s="6" t="b">
        <v>0</v>
      </c>
      <c r="K1480" s="6" t="s">
        <v>27</v>
      </c>
      <c r="L1480" s="6">
        <v>0</v>
      </c>
      <c r="M1480" s="6">
        <v>195</v>
      </c>
      <c r="N1480" s="8" t="str">
        <f t="shared" si="162"/>
        <v>0</v>
      </c>
      <c r="O1480" s="8">
        <f t="shared" si="163"/>
        <v>2340</v>
      </c>
      <c r="P1480" s="8">
        <f t="shared" si="164"/>
        <v>2340</v>
      </c>
      <c r="Q1480" s="8">
        <f t="shared" si="165"/>
        <v>0</v>
      </c>
      <c r="R1480" s="9">
        <f t="shared" si="166"/>
        <v>2340</v>
      </c>
      <c r="S1480" s="10">
        <f t="shared" si="167"/>
        <v>195</v>
      </c>
      <c r="T1480">
        <f t="shared" si="161"/>
        <v>195</v>
      </c>
      <c r="U1480">
        <f t="shared" si="168"/>
        <v>0</v>
      </c>
    </row>
    <row r="1481" spans="1:21" ht="14.25" customHeight="1" x14ac:dyDescent="0.35">
      <c r="A1481" s="6" t="s">
        <v>4542</v>
      </c>
      <c r="B1481" s="6" t="s">
        <v>4543</v>
      </c>
      <c r="C1481" s="6" t="s">
        <v>4544</v>
      </c>
      <c r="D1481" s="6" t="s">
        <v>892</v>
      </c>
      <c r="E1481" s="7" t="s">
        <v>23</v>
      </c>
      <c r="F1481" s="6">
        <v>85142</v>
      </c>
      <c r="G1481" s="6" t="s">
        <v>125</v>
      </c>
      <c r="H1481" s="6" t="s">
        <v>225</v>
      </c>
      <c r="I1481" s="6" t="s">
        <v>26</v>
      </c>
      <c r="J1481" s="6" t="b">
        <v>0</v>
      </c>
      <c r="K1481" s="6" t="s">
        <v>27</v>
      </c>
      <c r="L1481" s="6">
        <v>0</v>
      </c>
      <c r="M1481" s="6">
        <v>195</v>
      </c>
      <c r="N1481" s="8" t="str">
        <f t="shared" si="162"/>
        <v>0</v>
      </c>
      <c r="O1481" s="8">
        <f t="shared" si="163"/>
        <v>2340</v>
      </c>
      <c r="P1481" s="8">
        <f t="shared" si="164"/>
        <v>2340</v>
      </c>
      <c r="Q1481" s="8">
        <f t="shared" si="165"/>
        <v>0</v>
      </c>
      <c r="R1481" s="9">
        <f t="shared" si="166"/>
        <v>2340</v>
      </c>
      <c r="S1481" s="10">
        <f t="shared" si="167"/>
        <v>195</v>
      </c>
      <c r="T1481">
        <f t="shared" si="161"/>
        <v>195</v>
      </c>
      <c r="U1481">
        <f t="shared" si="168"/>
        <v>0</v>
      </c>
    </row>
    <row r="1482" spans="1:21" ht="14.25" customHeight="1" x14ac:dyDescent="0.35">
      <c r="A1482" s="6" t="s">
        <v>4545</v>
      </c>
      <c r="B1482" s="6" t="s">
        <v>4546</v>
      </c>
      <c r="C1482" s="6" t="s">
        <v>4547</v>
      </c>
      <c r="D1482" s="6" t="s">
        <v>44</v>
      </c>
      <c r="E1482" s="7" t="s">
        <v>23</v>
      </c>
      <c r="F1482" s="6">
        <v>85083</v>
      </c>
      <c r="G1482" s="6" t="s">
        <v>78</v>
      </c>
      <c r="H1482" s="6" t="s">
        <v>268</v>
      </c>
      <c r="I1482" s="6" t="s">
        <v>61</v>
      </c>
      <c r="J1482" s="6" t="b">
        <v>0</v>
      </c>
      <c r="K1482" s="6" t="s">
        <v>27</v>
      </c>
      <c r="L1482" s="6">
        <v>0</v>
      </c>
      <c r="M1482" s="6">
        <v>195</v>
      </c>
      <c r="N1482" s="8" t="str">
        <f t="shared" si="162"/>
        <v>0</v>
      </c>
      <c r="O1482" s="8">
        <f t="shared" si="163"/>
        <v>2340</v>
      </c>
      <c r="P1482" s="8">
        <f t="shared" si="164"/>
        <v>2340</v>
      </c>
      <c r="Q1482" s="8">
        <f t="shared" si="165"/>
        <v>0</v>
      </c>
      <c r="R1482" s="9">
        <f t="shared" si="166"/>
        <v>2340</v>
      </c>
      <c r="S1482" s="10">
        <f t="shared" si="167"/>
        <v>195</v>
      </c>
      <c r="T1482">
        <f t="shared" ref="T1482:T1545" si="169">M1482</f>
        <v>195</v>
      </c>
      <c r="U1482">
        <f t="shared" si="168"/>
        <v>0</v>
      </c>
    </row>
    <row r="1483" spans="1:21" ht="14.25" customHeight="1" x14ac:dyDescent="0.35">
      <c r="A1483" s="6" t="s">
        <v>4548</v>
      </c>
      <c r="B1483" s="6" t="s">
        <v>4549</v>
      </c>
      <c r="C1483" s="6" t="s">
        <v>4550</v>
      </c>
      <c r="D1483" s="6" t="s">
        <v>363</v>
      </c>
      <c r="E1483" s="7" t="s">
        <v>23</v>
      </c>
      <c r="F1483" s="6">
        <v>85282</v>
      </c>
      <c r="G1483" s="6" t="s">
        <v>364</v>
      </c>
      <c r="H1483" s="6" t="s">
        <v>365</v>
      </c>
      <c r="I1483" s="6" t="s">
        <v>26</v>
      </c>
      <c r="J1483" s="6" t="b">
        <v>0</v>
      </c>
      <c r="K1483" s="6" t="s">
        <v>27</v>
      </c>
      <c r="L1483" s="6">
        <v>0</v>
      </c>
      <c r="M1483" s="6">
        <v>195</v>
      </c>
      <c r="N1483" s="8" t="str">
        <f t="shared" si="162"/>
        <v>0</v>
      </c>
      <c r="O1483" s="8">
        <f t="shared" si="163"/>
        <v>2340</v>
      </c>
      <c r="P1483" s="8">
        <f t="shared" si="164"/>
        <v>2340</v>
      </c>
      <c r="Q1483" s="8">
        <f t="shared" si="165"/>
        <v>0</v>
      </c>
      <c r="R1483" s="9">
        <f t="shared" si="166"/>
        <v>2340</v>
      </c>
      <c r="S1483" s="10">
        <f t="shared" si="167"/>
        <v>195</v>
      </c>
      <c r="T1483">
        <f t="shared" si="169"/>
        <v>195</v>
      </c>
      <c r="U1483">
        <f t="shared" si="168"/>
        <v>0</v>
      </c>
    </row>
    <row r="1484" spans="1:21" ht="14.25" customHeight="1" x14ac:dyDescent="0.35">
      <c r="A1484" s="6" t="s">
        <v>4551</v>
      </c>
      <c r="B1484" s="6" t="s">
        <v>4552</v>
      </c>
      <c r="C1484" s="6" t="s">
        <v>4553</v>
      </c>
      <c r="D1484" s="6" t="s">
        <v>44</v>
      </c>
      <c r="E1484" s="7" t="s">
        <v>23</v>
      </c>
      <c r="F1484" s="6">
        <v>85023</v>
      </c>
      <c r="G1484" s="6" t="s">
        <v>72</v>
      </c>
      <c r="H1484" s="6" t="s">
        <v>93</v>
      </c>
      <c r="I1484" s="6" t="s">
        <v>26</v>
      </c>
      <c r="J1484" s="6" t="b">
        <v>0</v>
      </c>
      <c r="K1484" s="6" t="s">
        <v>27</v>
      </c>
      <c r="L1484" s="6">
        <v>0</v>
      </c>
      <c r="M1484" s="6">
        <v>195</v>
      </c>
      <c r="N1484" s="8" t="str">
        <f t="shared" si="162"/>
        <v>0</v>
      </c>
      <c r="O1484" s="8">
        <f t="shared" si="163"/>
        <v>2340</v>
      </c>
      <c r="P1484" s="8">
        <f t="shared" si="164"/>
        <v>2340</v>
      </c>
      <c r="Q1484" s="8">
        <f t="shared" si="165"/>
        <v>0</v>
      </c>
      <c r="R1484" s="9">
        <f t="shared" si="166"/>
        <v>2340</v>
      </c>
      <c r="S1484" s="10">
        <f t="shared" si="167"/>
        <v>195</v>
      </c>
      <c r="T1484">
        <f t="shared" si="169"/>
        <v>195</v>
      </c>
      <c r="U1484">
        <f t="shared" si="168"/>
        <v>0</v>
      </c>
    </row>
    <row r="1485" spans="1:21" ht="14.25" customHeight="1" x14ac:dyDescent="0.35">
      <c r="A1485" s="6" t="s">
        <v>4554</v>
      </c>
      <c r="B1485" s="6" t="s">
        <v>4555</v>
      </c>
      <c r="C1485" s="6" t="s">
        <v>4556</v>
      </c>
      <c r="D1485" s="6" t="s">
        <v>44</v>
      </c>
      <c r="E1485" s="7" t="s">
        <v>23</v>
      </c>
      <c r="F1485" s="6">
        <v>85015</v>
      </c>
      <c r="G1485" s="6" t="s">
        <v>213</v>
      </c>
      <c r="H1485" s="6" t="s">
        <v>202</v>
      </c>
      <c r="I1485" s="6" t="s">
        <v>26</v>
      </c>
      <c r="J1485" s="6" t="b">
        <v>0</v>
      </c>
      <c r="K1485" s="6" t="s">
        <v>27</v>
      </c>
      <c r="L1485" s="6">
        <v>0</v>
      </c>
      <c r="M1485" s="6">
        <v>195</v>
      </c>
      <c r="N1485" s="8" t="str">
        <f t="shared" si="162"/>
        <v>0</v>
      </c>
      <c r="O1485" s="8">
        <f t="shared" si="163"/>
        <v>2340</v>
      </c>
      <c r="P1485" s="8">
        <f t="shared" si="164"/>
        <v>2340</v>
      </c>
      <c r="Q1485" s="8">
        <f t="shared" si="165"/>
        <v>0</v>
      </c>
      <c r="R1485" s="9">
        <f t="shared" si="166"/>
        <v>2340</v>
      </c>
      <c r="S1485" s="10">
        <f t="shared" si="167"/>
        <v>195</v>
      </c>
      <c r="T1485">
        <f t="shared" si="169"/>
        <v>195</v>
      </c>
      <c r="U1485">
        <f t="shared" si="168"/>
        <v>0</v>
      </c>
    </row>
    <row r="1486" spans="1:21" ht="14.25" customHeight="1" x14ac:dyDescent="0.35">
      <c r="A1486" s="6" t="s">
        <v>4557</v>
      </c>
      <c r="B1486" s="6" t="s">
        <v>4558</v>
      </c>
      <c r="C1486" s="6" t="s">
        <v>4559</v>
      </c>
      <c r="D1486" s="6" t="s">
        <v>44</v>
      </c>
      <c r="E1486" s="7" t="s">
        <v>23</v>
      </c>
      <c r="F1486" s="6">
        <v>85029</v>
      </c>
      <c r="G1486" s="6" t="s">
        <v>72</v>
      </c>
      <c r="H1486" s="6" t="s">
        <v>93</v>
      </c>
      <c r="I1486" s="6" t="s">
        <v>26</v>
      </c>
      <c r="J1486" s="6" t="b">
        <v>0</v>
      </c>
      <c r="K1486" s="6" t="s">
        <v>27</v>
      </c>
      <c r="L1486" s="6">
        <v>0</v>
      </c>
      <c r="M1486" s="6">
        <v>195</v>
      </c>
      <c r="N1486" s="8" t="str">
        <f t="shared" si="162"/>
        <v>0</v>
      </c>
      <c r="O1486" s="8">
        <f t="shared" si="163"/>
        <v>2340</v>
      </c>
      <c r="P1486" s="8">
        <f t="shared" si="164"/>
        <v>2340</v>
      </c>
      <c r="Q1486" s="8">
        <f t="shared" si="165"/>
        <v>0</v>
      </c>
      <c r="R1486" s="9">
        <f t="shared" si="166"/>
        <v>2340</v>
      </c>
      <c r="S1486" s="10">
        <f t="shared" si="167"/>
        <v>195</v>
      </c>
      <c r="T1486">
        <f t="shared" si="169"/>
        <v>195</v>
      </c>
      <c r="U1486">
        <f t="shared" si="168"/>
        <v>0</v>
      </c>
    </row>
    <row r="1487" spans="1:21" ht="14.25" customHeight="1" x14ac:dyDescent="0.35">
      <c r="A1487" s="6" t="s">
        <v>4560</v>
      </c>
      <c r="B1487" s="6" t="s">
        <v>4561</v>
      </c>
      <c r="C1487" s="6" t="s">
        <v>4562</v>
      </c>
      <c r="D1487" s="6" t="s">
        <v>44</v>
      </c>
      <c r="E1487" s="7" t="s">
        <v>23</v>
      </c>
      <c r="F1487" s="6">
        <v>85085</v>
      </c>
      <c r="G1487" s="6" t="s">
        <v>32</v>
      </c>
      <c r="H1487" s="6" t="s">
        <v>79</v>
      </c>
      <c r="I1487" s="6" t="s">
        <v>40</v>
      </c>
      <c r="J1487" s="6" t="b">
        <v>0</v>
      </c>
      <c r="K1487" s="6" t="s">
        <v>27</v>
      </c>
      <c r="L1487" s="6">
        <v>0</v>
      </c>
      <c r="M1487" s="6">
        <v>195</v>
      </c>
      <c r="N1487" s="8" t="str">
        <f t="shared" si="162"/>
        <v>0</v>
      </c>
      <c r="O1487" s="8">
        <f t="shared" si="163"/>
        <v>2340</v>
      </c>
      <c r="P1487" s="8">
        <f t="shared" si="164"/>
        <v>2340</v>
      </c>
      <c r="Q1487" s="8">
        <f t="shared" si="165"/>
        <v>0</v>
      </c>
      <c r="R1487" s="9">
        <f t="shared" si="166"/>
        <v>2340</v>
      </c>
      <c r="S1487" s="10">
        <f t="shared" si="167"/>
        <v>195</v>
      </c>
      <c r="T1487">
        <f t="shared" si="169"/>
        <v>195</v>
      </c>
      <c r="U1487">
        <f t="shared" si="168"/>
        <v>0</v>
      </c>
    </row>
    <row r="1488" spans="1:21" ht="14.25" customHeight="1" x14ac:dyDescent="0.35">
      <c r="A1488" s="6" t="s">
        <v>4563</v>
      </c>
      <c r="B1488" s="6" t="s">
        <v>4564</v>
      </c>
      <c r="C1488" s="6" t="s">
        <v>4565</v>
      </c>
      <c r="D1488" s="6" t="s">
        <v>31</v>
      </c>
      <c r="E1488" s="7" t="s">
        <v>23</v>
      </c>
      <c r="F1488" s="6">
        <v>85250</v>
      </c>
      <c r="G1488" s="6" t="s">
        <v>49</v>
      </c>
      <c r="H1488" s="6" t="s">
        <v>50</v>
      </c>
      <c r="I1488" s="6" t="s">
        <v>26</v>
      </c>
      <c r="J1488" s="6" t="b">
        <v>0</v>
      </c>
      <c r="K1488" s="6" t="s">
        <v>27</v>
      </c>
      <c r="L1488" s="6">
        <v>0</v>
      </c>
      <c r="M1488" s="6">
        <v>195</v>
      </c>
      <c r="N1488" s="8" t="str">
        <f t="shared" si="162"/>
        <v>0</v>
      </c>
      <c r="O1488" s="8">
        <f t="shared" si="163"/>
        <v>2340</v>
      </c>
      <c r="P1488" s="8">
        <f t="shared" si="164"/>
        <v>2340</v>
      </c>
      <c r="Q1488" s="8">
        <f t="shared" si="165"/>
        <v>0</v>
      </c>
      <c r="R1488" s="9">
        <f t="shared" si="166"/>
        <v>2340</v>
      </c>
      <c r="S1488" s="10">
        <f t="shared" si="167"/>
        <v>195</v>
      </c>
      <c r="T1488">
        <f t="shared" si="169"/>
        <v>195</v>
      </c>
      <c r="U1488">
        <f t="shared" si="168"/>
        <v>0</v>
      </c>
    </row>
    <row r="1489" spans="1:21" ht="14.25" customHeight="1" x14ac:dyDescent="0.35">
      <c r="A1489" s="6" t="s">
        <v>4566</v>
      </c>
      <c r="B1489" s="6" t="s">
        <v>4567</v>
      </c>
      <c r="C1489" s="6" t="s">
        <v>4568</v>
      </c>
      <c r="D1489" s="6" t="s">
        <v>22</v>
      </c>
      <c r="E1489" s="7" t="s">
        <v>23</v>
      </c>
      <c r="F1489" s="6">
        <v>85224</v>
      </c>
      <c r="G1489" s="6" t="s">
        <v>125</v>
      </c>
      <c r="I1489" s="6" t="s">
        <v>57</v>
      </c>
      <c r="J1489" s="6" t="b">
        <v>0</v>
      </c>
      <c r="K1489" s="6" t="s">
        <v>27</v>
      </c>
      <c r="L1489" s="6">
        <v>0</v>
      </c>
      <c r="M1489" s="6">
        <v>195</v>
      </c>
      <c r="N1489" s="8" t="str">
        <f t="shared" si="162"/>
        <v>0</v>
      </c>
      <c r="O1489" s="8">
        <f t="shared" si="163"/>
        <v>2340</v>
      </c>
      <c r="P1489" s="8">
        <f t="shared" si="164"/>
        <v>2340</v>
      </c>
      <c r="Q1489" s="8">
        <f t="shared" si="165"/>
        <v>0</v>
      </c>
      <c r="R1489" s="9">
        <f t="shared" si="166"/>
        <v>2340</v>
      </c>
      <c r="S1489" s="10">
        <f t="shared" si="167"/>
        <v>195</v>
      </c>
      <c r="T1489">
        <f t="shared" si="169"/>
        <v>195</v>
      </c>
      <c r="U1489">
        <f t="shared" si="168"/>
        <v>0</v>
      </c>
    </row>
    <row r="1490" spans="1:21" ht="14.25" customHeight="1" x14ac:dyDescent="0.35">
      <c r="A1490" s="6" t="s">
        <v>4569</v>
      </c>
      <c r="B1490" s="6" t="s">
        <v>4570</v>
      </c>
      <c r="C1490" s="6" t="s">
        <v>4571</v>
      </c>
      <c r="D1490" s="6" t="s">
        <v>165</v>
      </c>
      <c r="E1490" s="7" t="s">
        <v>23</v>
      </c>
      <c r="F1490" s="6">
        <v>85298</v>
      </c>
      <c r="G1490" s="6" t="s">
        <v>125</v>
      </c>
      <c r="H1490" s="6" t="s">
        <v>126</v>
      </c>
      <c r="I1490" s="6" t="s">
        <v>26</v>
      </c>
      <c r="J1490" s="6" t="b">
        <v>0</v>
      </c>
      <c r="K1490" s="6" t="s">
        <v>27</v>
      </c>
      <c r="L1490" s="6">
        <v>0</v>
      </c>
      <c r="M1490" s="6">
        <v>195</v>
      </c>
      <c r="N1490" s="8" t="str">
        <f t="shared" si="162"/>
        <v>0</v>
      </c>
      <c r="O1490" s="8">
        <f t="shared" si="163"/>
        <v>2340</v>
      </c>
      <c r="P1490" s="8">
        <f t="shared" si="164"/>
        <v>2340</v>
      </c>
      <c r="Q1490" s="8">
        <f t="shared" si="165"/>
        <v>0</v>
      </c>
      <c r="R1490" s="9">
        <f t="shared" si="166"/>
        <v>2340</v>
      </c>
      <c r="S1490" s="10">
        <f t="shared" si="167"/>
        <v>195</v>
      </c>
      <c r="T1490">
        <f t="shared" si="169"/>
        <v>195</v>
      </c>
      <c r="U1490">
        <f t="shared" si="168"/>
        <v>0</v>
      </c>
    </row>
    <row r="1491" spans="1:21" ht="14.25" customHeight="1" x14ac:dyDescent="0.35">
      <c r="A1491" s="6" t="s">
        <v>4572</v>
      </c>
      <c r="B1491" s="6" t="s">
        <v>4573</v>
      </c>
      <c r="C1491" s="6" t="s">
        <v>4574</v>
      </c>
      <c r="D1491" s="6" t="s">
        <v>77</v>
      </c>
      <c r="E1491" s="7" t="s">
        <v>23</v>
      </c>
      <c r="F1491" s="6">
        <v>85308</v>
      </c>
      <c r="G1491" s="6" t="s">
        <v>78</v>
      </c>
      <c r="H1491" s="6" t="s">
        <v>93</v>
      </c>
      <c r="I1491" s="6" t="s">
        <v>26</v>
      </c>
      <c r="J1491" s="6" t="b">
        <v>0</v>
      </c>
      <c r="K1491" s="6" t="s">
        <v>27</v>
      </c>
      <c r="L1491" s="6">
        <v>0</v>
      </c>
      <c r="M1491" s="6">
        <v>195</v>
      </c>
      <c r="N1491" s="8" t="str">
        <f t="shared" si="162"/>
        <v>0</v>
      </c>
      <c r="O1491" s="8">
        <f t="shared" si="163"/>
        <v>2340</v>
      </c>
      <c r="P1491" s="8">
        <f t="shared" si="164"/>
        <v>2340</v>
      </c>
      <c r="Q1491" s="8">
        <f t="shared" si="165"/>
        <v>0</v>
      </c>
      <c r="R1491" s="9">
        <f t="shared" si="166"/>
        <v>2340</v>
      </c>
      <c r="S1491" s="10">
        <f t="shared" si="167"/>
        <v>195</v>
      </c>
      <c r="T1491">
        <f t="shared" si="169"/>
        <v>195</v>
      </c>
      <c r="U1491">
        <f t="shared" si="168"/>
        <v>0</v>
      </c>
    </row>
    <row r="1492" spans="1:21" ht="14.25" customHeight="1" x14ac:dyDescent="0.35">
      <c r="A1492" s="6" t="s">
        <v>4575</v>
      </c>
      <c r="B1492" s="6" t="s">
        <v>4576</v>
      </c>
      <c r="C1492" s="6" t="s">
        <v>4577</v>
      </c>
      <c r="D1492" s="6" t="s">
        <v>77</v>
      </c>
      <c r="E1492" s="7" t="s">
        <v>23</v>
      </c>
      <c r="F1492" s="6">
        <v>85308</v>
      </c>
      <c r="G1492" s="6" t="s">
        <v>78</v>
      </c>
      <c r="H1492" s="6" t="s">
        <v>79</v>
      </c>
      <c r="I1492" s="6" t="s">
        <v>110</v>
      </c>
      <c r="J1492" s="6" t="b">
        <v>0</v>
      </c>
      <c r="K1492" s="6" t="s">
        <v>27</v>
      </c>
      <c r="L1492" s="6">
        <v>0</v>
      </c>
      <c r="M1492" s="6">
        <v>195</v>
      </c>
      <c r="N1492" s="8" t="str">
        <f t="shared" si="162"/>
        <v>0</v>
      </c>
      <c r="O1492" s="8">
        <f t="shared" si="163"/>
        <v>2340</v>
      </c>
      <c r="P1492" s="8">
        <f t="shared" si="164"/>
        <v>2340</v>
      </c>
      <c r="Q1492" s="8">
        <f t="shared" si="165"/>
        <v>0</v>
      </c>
      <c r="R1492" s="9">
        <f t="shared" si="166"/>
        <v>2340</v>
      </c>
      <c r="S1492" s="10">
        <f t="shared" si="167"/>
        <v>195</v>
      </c>
      <c r="T1492">
        <f t="shared" si="169"/>
        <v>195</v>
      </c>
      <c r="U1492">
        <f t="shared" si="168"/>
        <v>0</v>
      </c>
    </row>
    <row r="1493" spans="1:21" ht="14.25" customHeight="1" x14ac:dyDescent="0.35">
      <c r="A1493" s="6" t="s">
        <v>4578</v>
      </c>
      <c r="B1493" s="6" t="s">
        <v>4579</v>
      </c>
      <c r="C1493" s="6" t="s">
        <v>4580</v>
      </c>
      <c r="D1493" s="6" t="s">
        <v>241</v>
      </c>
      <c r="E1493" s="7" t="s">
        <v>23</v>
      </c>
      <c r="F1493" s="6">
        <v>85331</v>
      </c>
      <c r="G1493" s="6" t="s">
        <v>32</v>
      </c>
      <c r="H1493" s="6" t="s">
        <v>79</v>
      </c>
      <c r="I1493" s="6" t="s">
        <v>40</v>
      </c>
      <c r="J1493" s="6" t="b">
        <v>0</v>
      </c>
      <c r="K1493" s="6" t="s">
        <v>27</v>
      </c>
      <c r="L1493" s="6">
        <v>0</v>
      </c>
      <c r="M1493" s="6">
        <v>195</v>
      </c>
      <c r="N1493" s="8" t="str">
        <f t="shared" si="162"/>
        <v>0</v>
      </c>
      <c r="O1493" s="8">
        <f t="shared" si="163"/>
        <v>2340</v>
      </c>
      <c r="P1493" s="8">
        <f t="shared" si="164"/>
        <v>2340</v>
      </c>
      <c r="Q1493" s="8">
        <f t="shared" si="165"/>
        <v>0</v>
      </c>
      <c r="R1493" s="9">
        <f t="shared" si="166"/>
        <v>2340</v>
      </c>
      <c r="S1493" s="10">
        <f t="shared" si="167"/>
        <v>195</v>
      </c>
      <c r="T1493">
        <f t="shared" si="169"/>
        <v>195</v>
      </c>
      <c r="U1493">
        <f t="shared" si="168"/>
        <v>0</v>
      </c>
    </row>
    <row r="1494" spans="1:21" ht="14.25" customHeight="1" x14ac:dyDescent="0.35">
      <c r="A1494" s="6" t="s">
        <v>4581</v>
      </c>
      <c r="B1494" s="6" t="s">
        <v>4582</v>
      </c>
      <c r="C1494" s="6" t="s">
        <v>4583</v>
      </c>
      <c r="D1494" s="6" t="s">
        <v>44</v>
      </c>
      <c r="E1494" s="7" t="s">
        <v>23</v>
      </c>
      <c r="F1494" s="6">
        <v>85041</v>
      </c>
      <c r="G1494" s="6" t="s">
        <v>213</v>
      </c>
      <c r="H1494" s="6" t="s">
        <v>39</v>
      </c>
      <c r="I1494" s="6" t="s">
        <v>26</v>
      </c>
      <c r="J1494" s="6" t="b">
        <v>0</v>
      </c>
      <c r="K1494" s="6" t="s">
        <v>27</v>
      </c>
      <c r="L1494" s="6">
        <v>0</v>
      </c>
      <c r="M1494" s="6">
        <v>195</v>
      </c>
      <c r="N1494" s="8" t="str">
        <f t="shared" si="162"/>
        <v>0</v>
      </c>
      <c r="O1494" s="8">
        <f t="shared" si="163"/>
        <v>2340</v>
      </c>
      <c r="P1494" s="8">
        <f t="shared" si="164"/>
        <v>2340</v>
      </c>
      <c r="Q1494" s="8">
        <f t="shared" si="165"/>
        <v>0</v>
      </c>
      <c r="R1494" s="9">
        <f t="shared" si="166"/>
        <v>2340</v>
      </c>
      <c r="S1494" s="10">
        <f t="shared" si="167"/>
        <v>195</v>
      </c>
      <c r="T1494">
        <f t="shared" si="169"/>
        <v>195</v>
      </c>
      <c r="U1494">
        <f t="shared" si="168"/>
        <v>0</v>
      </c>
    </row>
    <row r="1495" spans="1:21" ht="14.25" customHeight="1" x14ac:dyDescent="0.35">
      <c r="A1495" s="6" t="s">
        <v>4584</v>
      </c>
      <c r="B1495" s="6" t="s">
        <v>4585</v>
      </c>
      <c r="C1495" s="6" t="s">
        <v>4586</v>
      </c>
      <c r="D1495" s="6" t="s">
        <v>77</v>
      </c>
      <c r="E1495" s="7" t="s">
        <v>23</v>
      </c>
      <c r="F1495" s="6">
        <v>85308</v>
      </c>
      <c r="G1495" s="6" t="s">
        <v>78</v>
      </c>
      <c r="H1495" s="6" t="s">
        <v>79</v>
      </c>
      <c r="I1495" s="6" t="s">
        <v>110</v>
      </c>
      <c r="J1495" s="6" t="b">
        <v>0</v>
      </c>
      <c r="K1495" s="6" t="s">
        <v>27</v>
      </c>
      <c r="L1495" s="6">
        <v>0</v>
      </c>
      <c r="M1495" s="6">
        <v>195</v>
      </c>
      <c r="N1495" s="8" t="str">
        <f t="shared" si="162"/>
        <v>0</v>
      </c>
      <c r="O1495" s="8">
        <f t="shared" si="163"/>
        <v>2340</v>
      </c>
      <c r="P1495" s="8">
        <f t="shared" si="164"/>
        <v>2340</v>
      </c>
      <c r="Q1495" s="8">
        <f t="shared" si="165"/>
        <v>0</v>
      </c>
      <c r="R1495" s="9">
        <f t="shared" si="166"/>
        <v>2340</v>
      </c>
      <c r="S1495" s="10">
        <f t="shared" si="167"/>
        <v>195</v>
      </c>
      <c r="T1495">
        <f t="shared" si="169"/>
        <v>195</v>
      </c>
      <c r="U1495">
        <f t="shared" si="168"/>
        <v>0</v>
      </c>
    </row>
    <row r="1496" spans="1:21" ht="14.25" customHeight="1" x14ac:dyDescent="0.35">
      <c r="A1496" s="6" t="s">
        <v>4587</v>
      </c>
      <c r="B1496" s="6" t="s">
        <v>4588</v>
      </c>
      <c r="C1496" s="6" t="s">
        <v>4589</v>
      </c>
      <c r="D1496" s="6" t="s">
        <v>165</v>
      </c>
      <c r="E1496" s="7" t="s">
        <v>23</v>
      </c>
      <c r="F1496" s="6">
        <v>85295</v>
      </c>
      <c r="G1496" s="6" t="s">
        <v>125</v>
      </c>
      <c r="H1496" s="6" t="s">
        <v>25</v>
      </c>
      <c r="I1496" s="6" t="s">
        <v>26</v>
      </c>
      <c r="J1496" s="6" t="b">
        <v>0</v>
      </c>
      <c r="K1496" s="6" t="s">
        <v>27</v>
      </c>
      <c r="L1496" s="6">
        <v>0</v>
      </c>
      <c r="M1496" s="6">
        <v>195</v>
      </c>
      <c r="N1496" s="8" t="str">
        <f t="shared" si="162"/>
        <v>0</v>
      </c>
      <c r="O1496" s="8">
        <f t="shared" si="163"/>
        <v>2340</v>
      </c>
      <c r="P1496" s="8">
        <f t="shared" si="164"/>
        <v>2340</v>
      </c>
      <c r="Q1496" s="8">
        <f t="shared" si="165"/>
        <v>0</v>
      </c>
      <c r="R1496" s="9">
        <f t="shared" si="166"/>
        <v>2340</v>
      </c>
      <c r="S1496" s="10">
        <f t="shared" si="167"/>
        <v>195</v>
      </c>
      <c r="T1496">
        <f t="shared" si="169"/>
        <v>195</v>
      </c>
      <c r="U1496">
        <f t="shared" si="168"/>
        <v>0</v>
      </c>
    </row>
    <row r="1497" spans="1:21" ht="14.25" customHeight="1" x14ac:dyDescent="0.35">
      <c r="A1497" s="6" t="s">
        <v>4590</v>
      </c>
      <c r="B1497" s="6" t="s">
        <v>4591</v>
      </c>
      <c r="C1497" s="6" t="s">
        <v>4592</v>
      </c>
      <c r="D1497" s="6" t="s">
        <v>65</v>
      </c>
      <c r="E1497" s="7" t="s">
        <v>23</v>
      </c>
      <c r="F1497" s="6">
        <v>85201</v>
      </c>
      <c r="G1497" s="6" t="s">
        <v>66</v>
      </c>
      <c r="H1497" s="6" t="s">
        <v>67</v>
      </c>
      <c r="I1497" s="6" t="s">
        <v>26</v>
      </c>
      <c r="J1497" s="6" t="b">
        <v>0</v>
      </c>
      <c r="K1497" s="6" t="s">
        <v>27</v>
      </c>
      <c r="L1497" s="6">
        <v>0</v>
      </c>
      <c r="M1497" s="6">
        <v>195</v>
      </c>
      <c r="N1497" s="8" t="str">
        <f t="shared" si="162"/>
        <v>0</v>
      </c>
      <c r="O1497" s="8">
        <f t="shared" si="163"/>
        <v>2340</v>
      </c>
      <c r="P1497" s="8">
        <f t="shared" si="164"/>
        <v>2340</v>
      </c>
      <c r="Q1497" s="8">
        <f t="shared" si="165"/>
        <v>0</v>
      </c>
      <c r="R1497" s="9">
        <f t="shared" si="166"/>
        <v>2340</v>
      </c>
      <c r="S1497" s="10">
        <f t="shared" si="167"/>
        <v>195</v>
      </c>
      <c r="T1497">
        <f t="shared" si="169"/>
        <v>195</v>
      </c>
      <c r="U1497">
        <f t="shared" si="168"/>
        <v>0</v>
      </c>
    </row>
    <row r="1498" spans="1:21" ht="14.25" customHeight="1" x14ac:dyDescent="0.35">
      <c r="A1498" s="6" t="s">
        <v>4593</v>
      </c>
      <c r="B1498" s="6" t="s">
        <v>4594</v>
      </c>
      <c r="C1498" s="6" t="s">
        <v>4595</v>
      </c>
      <c r="D1498" s="6" t="s">
        <v>71</v>
      </c>
      <c r="E1498" s="7" t="s">
        <v>23</v>
      </c>
      <c r="F1498" s="6">
        <v>85381</v>
      </c>
      <c r="G1498" s="6" t="s">
        <v>78</v>
      </c>
      <c r="H1498" s="6" t="s">
        <v>268</v>
      </c>
      <c r="I1498" s="6" t="s">
        <v>26</v>
      </c>
      <c r="J1498" s="6" t="b">
        <v>0</v>
      </c>
      <c r="K1498" s="6" t="s">
        <v>27</v>
      </c>
      <c r="L1498" s="6">
        <v>0</v>
      </c>
      <c r="M1498" s="6">
        <v>195</v>
      </c>
      <c r="N1498" s="8" t="str">
        <f t="shared" si="162"/>
        <v>0</v>
      </c>
      <c r="O1498" s="8">
        <f t="shared" si="163"/>
        <v>2340</v>
      </c>
      <c r="P1498" s="8">
        <f t="shared" si="164"/>
        <v>2340</v>
      </c>
      <c r="Q1498" s="8">
        <f t="shared" si="165"/>
        <v>0</v>
      </c>
      <c r="R1498" s="9">
        <f t="shared" si="166"/>
        <v>2340</v>
      </c>
      <c r="S1498" s="10">
        <f t="shared" si="167"/>
        <v>195</v>
      </c>
      <c r="T1498">
        <f t="shared" si="169"/>
        <v>195</v>
      </c>
      <c r="U1498">
        <f t="shared" si="168"/>
        <v>0</v>
      </c>
    </row>
    <row r="1499" spans="1:21" ht="14.25" customHeight="1" x14ac:dyDescent="0.35">
      <c r="A1499" s="6" t="s">
        <v>4596</v>
      </c>
      <c r="B1499" s="6" t="s">
        <v>4597</v>
      </c>
      <c r="C1499" s="6" t="s">
        <v>4598</v>
      </c>
      <c r="D1499" s="6" t="s">
        <v>44</v>
      </c>
      <c r="E1499" s="7" t="s">
        <v>23</v>
      </c>
      <c r="F1499" s="6">
        <v>85048</v>
      </c>
      <c r="G1499" s="6" t="s">
        <v>24</v>
      </c>
      <c r="H1499" s="6" t="s">
        <v>161</v>
      </c>
      <c r="I1499" s="6" t="s">
        <v>26</v>
      </c>
      <c r="J1499" s="6" t="b">
        <v>0</v>
      </c>
      <c r="K1499" s="6" t="s">
        <v>27</v>
      </c>
      <c r="L1499" s="6">
        <v>0</v>
      </c>
      <c r="M1499" s="6">
        <v>195</v>
      </c>
      <c r="N1499" s="8" t="str">
        <f t="shared" si="162"/>
        <v>0</v>
      </c>
      <c r="O1499" s="8">
        <f t="shared" si="163"/>
        <v>2340</v>
      </c>
      <c r="P1499" s="8">
        <f t="shared" si="164"/>
        <v>2340</v>
      </c>
      <c r="Q1499" s="8">
        <f t="shared" si="165"/>
        <v>0</v>
      </c>
      <c r="R1499" s="9">
        <f t="shared" si="166"/>
        <v>2340</v>
      </c>
      <c r="S1499" s="10">
        <f t="shared" si="167"/>
        <v>195</v>
      </c>
      <c r="T1499">
        <f t="shared" si="169"/>
        <v>195</v>
      </c>
      <c r="U1499">
        <f t="shared" si="168"/>
        <v>0</v>
      </c>
    </row>
    <row r="1500" spans="1:21" ht="14.25" customHeight="1" x14ac:dyDescent="0.35">
      <c r="A1500" s="6" t="s">
        <v>4599</v>
      </c>
      <c r="B1500" s="6" t="s">
        <v>4600</v>
      </c>
      <c r="C1500" s="6" t="s">
        <v>4601</v>
      </c>
      <c r="D1500" s="6" t="s">
        <v>44</v>
      </c>
      <c r="E1500" s="7" t="s">
        <v>23</v>
      </c>
      <c r="F1500" s="6">
        <v>85022</v>
      </c>
      <c r="G1500" s="6" t="s">
        <v>173</v>
      </c>
      <c r="H1500" s="6" t="s">
        <v>79</v>
      </c>
      <c r="I1500" s="6" t="s">
        <v>26</v>
      </c>
      <c r="J1500" s="6" t="b">
        <v>0</v>
      </c>
      <c r="K1500" s="6" t="s">
        <v>27</v>
      </c>
      <c r="L1500" s="6">
        <v>0</v>
      </c>
      <c r="M1500" s="6">
        <v>195</v>
      </c>
      <c r="N1500" s="8" t="str">
        <f t="shared" si="162"/>
        <v>0</v>
      </c>
      <c r="O1500" s="8">
        <f t="shared" si="163"/>
        <v>2340</v>
      </c>
      <c r="P1500" s="8">
        <f t="shared" si="164"/>
        <v>2340</v>
      </c>
      <c r="Q1500" s="8">
        <f t="shared" si="165"/>
        <v>0</v>
      </c>
      <c r="R1500" s="9">
        <f t="shared" si="166"/>
        <v>2340</v>
      </c>
      <c r="S1500" s="10">
        <f t="shared" si="167"/>
        <v>195</v>
      </c>
      <c r="T1500">
        <f t="shared" si="169"/>
        <v>195</v>
      </c>
      <c r="U1500">
        <f t="shared" si="168"/>
        <v>0</v>
      </c>
    </row>
    <row r="1501" spans="1:21" ht="14.25" customHeight="1" x14ac:dyDescent="0.35">
      <c r="A1501" s="6" t="s">
        <v>4602</v>
      </c>
      <c r="B1501" s="6" t="s">
        <v>4603</v>
      </c>
      <c r="C1501" s="6" t="s">
        <v>4604</v>
      </c>
      <c r="D1501" s="6" t="s">
        <v>44</v>
      </c>
      <c r="E1501" s="7" t="s">
        <v>23</v>
      </c>
      <c r="F1501" s="6">
        <v>85048</v>
      </c>
      <c r="G1501" s="6" t="s">
        <v>24</v>
      </c>
      <c r="H1501" s="6" t="s">
        <v>161</v>
      </c>
      <c r="I1501" s="6" t="s">
        <v>26</v>
      </c>
      <c r="J1501" s="6" t="b">
        <v>0</v>
      </c>
      <c r="K1501" s="6" t="s">
        <v>27</v>
      </c>
      <c r="L1501" s="6">
        <v>0</v>
      </c>
      <c r="M1501" s="6">
        <v>195</v>
      </c>
      <c r="N1501" s="8" t="str">
        <f t="shared" si="162"/>
        <v>0</v>
      </c>
      <c r="O1501" s="8">
        <f t="shared" si="163"/>
        <v>2340</v>
      </c>
      <c r="P1501" s="8">
        <f t="shared" si="164"/>
        <v>2340</v>
      </c>
      <c r="Q1501" s="8">
        <f t="shared" si="165"/>
        <v>0</v>
      </c>
      <c r="R1501" s="9">
        <f t="shared" si="166"/>
        <v>2340</v>
      </c>
      <c r="S1501" s="10">
        <f t="shared" si="167"/>
        <v>195</v>
      </c>
      <c r="T1501">
        <f t="shared" si="169"/>
        <v>195</v>
      </c>
      <c r="U1501">
        <f t="shared" si="168"/>
        <v>0</v>
      </c>
    </row>
    <row r="1502" spans="1:21" ht="14.25" customHeight="1" x14ac:dyDescent="0.35">
      <c r="A1502" s="6" t="s">
        <v>4605</v>
      </c>
      <c r="B1502" s="6" t="s">
        <v>4606</v>
      </c>
      <c r="C1502" s="6" t="s">
        <v>4607</v>
      </c>
      <c r="D1502" s="6" t="s">
        <v>241</v>
      </c>
      <c r="E1502" s="7" t="s">
        <v>23</v>
      </c>
      <c r="F1502" s="6">
        <v>85331</v>
      </c>
      <c r="G1502" s="6" t="s">
        <v>32</v>
      </c>
      <c r="H1502" s="6" t="s">
        <v>50</v>
      </c>
      <c r="I1502" s="6" t="s">
        <v>1423</v>
      </c>
      <c r="J1502" s="6" t="b">
        <v>0</v>
      </c>
      <c r="K1502" s="6" t="s">
        <v>27</v>
      </c>
      <c r="L1502" s="6">
        <v>0</v>
      </c>
      <c r="M1502" s="6">
        <v>195</v>
      </c>
      <c r="N1502" s="8" t="str">
        <f t="shared" si="162"/>
        <v>0</v>
      </c>
      <c r="O1502" s="8">
        <f t="shared" si="163"/>
        <v>2340</v>
      </c>
      <c r="P1502" s="8">
        <f t="shared" si="164"/>
        <v>2340</v>
      </c>
      <c r="Q1502" s="8">
        <f t="shared" si="165"/>
        <v>0</v>
      </c>
      <c r="R1502" s="9">
        <f t="shared" si="166"/>
        <v>2340</v>
      </c>
      <c r="S1502" s="10">
        <f t="shared" si="167"/>
        <v>195</v>
      </c>
      <c r="T1502">
        <f t="shared" si="169"/>
        <v>195</v>
      </c>
      <c r="U1502">
        <f t="shared" si="168"/>
        <v>0</v>
      </c>
    </row>
    <row r="1503" spans="1:21" ht="14.25" customHeight="1" x14ac:dyDescent="0.35">
      <c r="A1503" s="6" t="s">
        <v>4608</v>
      </c>
      <c r="B1503" s="6" t="s">
        <v>4609</v>
      </c>
      <c r="C1503" s="6" t="s">
        <v>4610</v>
      </c>
      <c r="D1503" s="6" t="s">
        <v>44</v>
      </c>
      <c r="E1503" s="7" t="s">
        <v>23</v>
      </c>
      <c r="F1503" s="6">
        <v>85044</v>
      </c>
      <c r="G1503" s="6" t="s">
        <v>24</v>
      </c>
      <c r="H1503" s="6" t="s">
        <v>161</v>
      </c>
      <c r="I1503" s="6" t="s">
        <v>26</v>
      </c>
      <c r="J1503" s="6" t="b">
        <v>0</v>
      </c>
      <c r="K1503" s="6" t="s">
        <v>27</v>
      </c>
      <c r="L1503" s="6">
        <v>0</v>
      </c>
      <c r="M1503" s="6">
        <v>195</v>
      </c>
      <c r="N1503" s="8" t="str">
        <f t="shared" si="162"/>
        <v>0</v>
      </c>
      <c r="O1503" s="8">
        <f t="shared" si="163"/>
        <v>2340</v>
      </c>
      <c r="P1503" s="8">
        <f t="shared" si="164"/>
        <v>2340</v>
      </c>
      <c r="Q1503" s="8">
        <f t="shared" si="165"/>
        <v>0</v>
      </c>
      <c r="R1503" s="9">
        <f t="shared" si="166"/>
        <v>2340</v>
      </c>
      <c r="S1503" s="10">
        <f t="shared" si="167"/>
        <v>195</v>
      </c>
      <c r="T1503">
        <f t="shared" si="169"/>
        <v>195</v>
      </c>
      <c r="U1503">
        <f t="shared" si="168"/>
        <v>0</v>
      </c>
    </row>
    <row r="1504" spans="1:21" ht="14.25" customHeight="1" x14ac:dyDescent="0.35">
      <c r="A1504" s="6" t="s">
        <v>4611</v>
      </c>
      <c r="B1504" s="6" t="s">
        <v>4612</v>
      </c>
      <c r="C1504" s="6" t="s">
        <v>4613</v>
      </c>
      <c r="D1504" s="6" t="s">
        <v>22</v>
      </c>
      <c r="E1504" s="7" t="s">
        <v>23</v>
      </c>
      <c r="F1504" s="6">
        <v>85226</v>
      </c>
      <c r="G1504" s="6" t="s">
        <v>24</v>
      </c>
      <c r="H1504" s="6" t="s">
        <v>161</v>
      </c>
      <c r="I1504" s="6" t="s">
        <v>26</v>
      </c>
      <c r="J1504" s="6" t="b">
        <v>0</v>
      </c>
      <c r="K1504" s="6" t="s">
        <v>27</v>
      </c>
      <c r="L1504" s="6">
        <v>0</v>
      </c>
      <c r="M1504" s="6">
        <v>195</v>
      </c>
      <c r="N1504" s="8" t="str">
        <f t="shared" si="162"/>
        <v>0</v>
      </c>
      <c r="O1504" s="8">
        <f t="shared" si="163"/>
        <v>2340</v>
      </c>
      <c r="P1504" s="8">
        <f t="shared" si="164"/>
        <v>2340</v>
      </c>
      <c r="Q1504" s="8">
        <f t="shared" si="165"/>
        <v>0</v>
      </c>
      <c r="R1504" s="9">
        <f t="shared" si="166"/>
        <v>2340</v>
      </c>
      <c r="S1504" s="10">
        <f t="shared" si="167"/>
        <v>195</v>
      </c>
      <c r="T1504">
        <f t="shared" si="169"/>
        <v>195</v>
      </c>
      <c r="U1504">
        <f t="shared" si="168"/>
        <v>0</v>
      </c>
    </row>
    <row r="1505" spans="1:21" ht="14.25" customHeight="1" x14ac:dyDescent="0.35">
      <c r="A1505" s="6" t="s">
        <v>4614</v>
      </c>
      <c r="B1505" s="6" t="s">
        <v>4615</v>
      </c>
      <c r="C1505" s="6" t="s">
        <v>4616</v>
      </c>
      <c r="D1505" s="6" t="s">
        <v>77</v>
      </c>
      <c r="E1505" s="7" t="s">
        <v>23</v>
      </c>
      <c r="F1505" s="6">
        <v>85308</v>
      </c>
      <c r="G1505" s="6" t="s">
        <v>78</v>
      </c>
      <c r="H1505" s="6" t="s">
        <v>79</v>
      </c>
      <c r="I1505" s="6" t="s">
        <v>110</v>
      </c>
      <c r="J1505" s="6" t="b">
        <v>0</v>
      </c>
      <c r="K1505" s="6" t="s">
        <v>27</v>
      </c>
      <c r="L1505" s="6">
        <v>0</v>
      </c>
      <c r="M1505" s="6">
        <v>195</v>
      </c>
      <c r="N1505" s="8" t="str">
        <f t="shared" si="162"/>
        <v>0</v>
      </c>
      <c r="O1505" s="8">
        <f t="shared" si="163"/>
        <v>2340</v>
      </c>
      <c r="P1505" s="8">
        <f t="shared" si="164"/>
        <v>2340</v>
      </c>
      <c r="Q1505" s="8">
        <f t="shared" si="165"/>
        <v>0</v>
      </c>
      <c r="R1505" s="9">
        <f t="shared" si="166"/>
        <v>2340</v>
      </c>
      <c r="S1505" s="10">
        <f t="shared" si="167"/>
        <v>195</v>
      </c>
      <c r="T1505">
        <f t="shared" si="169"/>
        <v>195</v>
      </c>
      <c r="U1505">
        <f t="shared" si="168"/>
        <v>0</v>
      </c>
    </row>
    <row r="1506" spans="1:21" ht="14.25" customHeight="1" x14ac:dyDescent="0.35">
      <c r="A1506" s="6" t="s">
        <v>4617</v>
      </c>
      <c r="B1506" s="6" t="s">
        <v>4618</v>
      </c>
      <c r="C1506" s="6" t="s">
        <v>4619</v>
      </c>
      <c r="D1506" s="6" t="s">
        <v>44</v>
      </c>
      <c r="E1506" s="7" t="s">
        <v>23</v>
      </c>
      <c r="F1506" s="6">
        <v>85037</v>
      </c>
      <c r="G1506" s="6" t="s">
        <v>72</v>
      </c>
      <c r="H1506" s="6" t="s">
        <v>73</v>
      </c>
      <c r="I1506" s="6" t="s">
        <v>26</v>
      </c>
      <c r="J1506" s="6" t="b">
        <v>0</v>
      </c>
      <c r="K1506" s="6" t="s">
        <v>27</v>
      </c>
      <c r="L1506" s="6">
        <v>0</v>
      </c>
      <c r="M1506" s="6">
        <v>195</v>
      </c>
      <c r="N1506" s="8" t="str">
        <f t="shared" si="162"/>
        <v>0</v>
      </c>
      <c r="O1506" s="8">
        <f t="shared" si="163"/>
        <v>2340</v>
      </c>
      <c r="P1506" s="8">
        <f t="shared" si="164"/>
        <v>2340</v>
      </c>
      <c r="Q1506" s="8">
        <f t="shared" si="165"/>
        <v>0</v>
      </c>
      <c r="R1506" s="9">
        <f t="shared" si="166"/>
        <v>2340</v>
      </c>
      <c r="S1506" s="10">
        <f t="shared" si="167"/>
        <v>195</v>
      </c>
      <c r="T1506">
        <f t="shared" si="169"/>
        <v>195</v>
      </c>
      <c r="U1506">
        <f t="shared" si="168"/>
        <v>0</v>
      </c>
    </row>
    <row r="1507" spans="1:21" ht="14.25" customHeight="1" x14ac:dyDescent="0.35">
      <c r="A1507" s="6" t="s">
        <v>4620</v>
      </c>
      <c r="B1507" s="6" t="s">
        <v>4621</v>
      </c>
      <c r="C1507" s="6" t="s">
        <v>4622</v>
      </c>
      <c r="D1507" s="6" t="s">
        <v>224</v>
      </c>
      <c r="E1507" s="7" t="s">
        <v>23</v>
      </c>
      <c r="F1507" s="6">
        <v>85248</v>
      </c>
      <c r="G1507" s="6" t="s">
        <v>125</v>
      </c>
      <c r="H1507" s="6" t="s">
        <v>126</v>
      </c>
      <c r="I1507" s="6" t="s">
        <v>26</v>
      </c>
      <c r="J1507" s="6" t="b">
        <v>0</v>
      </c>
      <c r="K1507" s="6" t="s">
        <v>27</v>
      </c>
      <c r="L1507" s="6">
        <v>0</v>
      </c>
      <c r="M1507" s="6">
        <v>195</v>
      </c>
      <c r="N1507" s="8" t="str">
        <f t="shared" si="162"/>
        <v>0</v>
      </c>
      <c r="O1507" s="8">
        <f t="shared" si="163"/>
        <v>2340</v>
      </c>
      <c r="P1507" s="8">
        <f t="shared" si="164"/>
        <v>2340</v>
      </c>
      <c r="Q1507" s="8">
        <f t="shared" si="165"/>
        <v>0</v>
      </c>
      <c r="R1507" s="9">
        <f t="shared" si="166"/>
        <v>2340</v>
      </c>
      <c r="S1507" s="10">
        <f t="shared" si="167"/>
        <v>195</v>
      </c>
      <c r="T1507">
        <f t="shared" si="169"/>
        <v>195</v>
      </c>
      <c r="U1507">
        <f t="shared" si="168"/>
        <v>0</v>
      </c>
    </row>
    <row r="1508" spans="1:21" ht="14.25" customHeight="1" x14ac:dyDescent="0.35">
      <c r="A1508" s="6" t="s">
        <v>4623</v>
      </c>
      <c r="B1508" s="6" t="s">
        <v>4624</v>
      </c>
      <c r="C1508" s="6" t="s">
        <v>4625</v>
      </c>
      <c r="D1508" s="6" t="s">
        <v>22</v>
      </c>
      <c r="E1508" s="7" t="s">
        <v>23</v>
      </c>
      <c r="F1508" s="6">
        <v>85226</v>
      </c>
      <c r="G1508" s="6" t="s">
        <v>24</v>
      </c>
      <c r="H1508" s="6" t="s">
        <v>161</v>
      </c>
      <c r="I1508" s="6" t="s">
        <v>26</v>
      </c>
      <c r="J1508" s="6" t="b">
        <v>0</v>
      </c>
      <c r="K1508" s="6" t="s">
        <v>27</v>
      </c>
      <c r="L1508" s="6">
        <v>0</v>
      </c>
      <c r="M1508" s="6">
        <v>195</v>
      </c>
      <c r="N1508" s="8" t="str">
        <f t="shared" si="162"/>
        <v>0</v>
      </c>
      <c r="O1508" s="8">
        <f t="shared" si="163"/>
        <v>2340</v>
      </c>
      <c r="P1508" s="8">
        <f t="shared" si="164"/>
        <v>2340</v>
      </c>
      <c r="Q1508" s="8">
        <f t="shared" si="165"/>
        <v>0</v>
      </c>
      <c r="R1508" s="9">
        <f t="shared" si="166"/>
        <v>2340</v>
      </c>
      <c r="S1508" s="10">
        <f t="shared" si="167"/>
        <v>195</v>
      </c>
      <c r="T1508">
        <f t="shared" si="169"/>
        <v>195</v>
      </c>
      <c r="U1508">
        <f t="shared" si="168"/>
        <v>0</v>
      </c>
    </row>
    <row r="1509" spans="1:21" ht="14.25" customHeight="1" x14ac:dyDescent="0.35">
      <c r="A1509" s="6" t="s">
        <v>4626</v>
      </c>
      <c r="B1509" s="6" t="s">
        <v>4627</v>
      </c>
      <c r="C1509" s="6" t="s">
        <v>4628</v>
      </c>
      <c r="D1509" s="6" t="s">
        <v>77</v>
      </c>
      <c r="E1509" s="7" t="s">
        <v>23</v>
      </c>
      <c r="F1509" s="6">
        <v>85303</v>
      </c>
      <c r="G1509" s="6" t="s">
        <v>72</v>
      </c>
      <c r="H1509" s="6" t="s">
        <v>73</v>
      </c>
      <c r="I1509" s="6" t="s">
        <v>26</v>
      </c>
      <c r="J1509" s="6" t="b">
        <v>0</v>
      </c>
      <c r="K1509" s="6" t="s">
        <v>27</v>
      </c>
      <c r="L1509" s="6">
        <v>0</v>
      </c>
      <c r="M1509" s="6">
        <v>195</v>
      </c>
      <c r="N1509" s="8" t="str">
        <f t="shared" si="162"/>
        <v>0</v>
      </c>
      <c r="O1509" s="8">
        <f t="shared" si="163"/>
        <v>2340</v>
      </c>
      <c r="P1509" s="8">
        <f t="shared" si="164"/>
        <v>2340</v>
      </c>
      <c r="Q1509" s="8">
        <f t="shared" si="165"/>
        <v>0</v>
      </c>
      <c r="R1509" s="9">
        <f t="shared" si="166"/>
        <v>2340</v>
      </c>
      <c r="S1509" s="10">
        <f t="shared" si="167"/>
        <v>195</v>
      </c>
      <c r="T1509">
        <f t="shared" si="169"/>
        <v>195</v>
      </c>
      <c r="U1509">
        <f t="shared" si="168"/>
        <v>0</v>
      </c>
    </row>
    <row r="1510" spans="1:21" ht="14.25" customHeight="1" x14ac:dyDescent="0.35">
      <c r="A1510" s="6" t="s">
        <v>4629</v>
      </c>
      <c r="B1510" s="6" t="s">
        <v>4630</v>
      </c>
      <c r="C1510" s="6" t="s">
        <v>4631</v>
      </c>
      <c r="D1510" s="6" t="s">
        <v>77</v>
      </c>
      <c r="E1510" s="7" t="s">
        <v>23</v>
      </c>
      <c r="F1510" s="6">
        <v>85308</v>
      </c>
      <c r="G1510" s="6" t="s">
        <v>78</v>
      </c>
      <c r="H1510" s="6" t="s">
        <v>79</v>
      </c>
      <c r="I1510" s="6" t="s">
        <v>110</v>
      </c>
      <c r="J1510" s="6" t="b">
        <v>0</v>
      </c>
      <c r="K1510" s="6" t="s">
        <v>27</v>
      </c>
      <c r="L1510" s="6">
        <v>0</v>
      </c>
      <c r="M1510" s="6">
        <v>195</v>
      </c>
      <c r="N1510" s="8" t="str">
        <f t="shared" si="162"/>
        <v>0</v>
      </c>
      <c r="O1510" s="8">
        <f t="shared" si="163"/>
        <v>2340</v>
      </c>
      <c r="P1510" s="8">
        <f t="shared" si="164"/>
        <v>2340</v>
      </c>
      <c r="Q1510" s="8">
        <f t="shared" si="165"/>
        <v>0</v>
      </c>
      <c r="R1510" s="9">
        <f t="shared" si="166"/>
        <v>2340</v>
      </c>
      <c r="S1510" s="10">
        <f t="shared" si="167"/>
        <v>195</v>
      </c>
      <c r="T1510">
        <f t="shared" si="169"/>
        <v>195</v>
      </c>
      <c r="U1510">
        <f t="shared" si="168"/>
        <v>0</v>
      </c>
    </row>
    <row r="1511" spans="1:21" ht="14.25" customHeight="1" x14ac:dyDescent="0.35">
      <c r="A1511" s="6" t="s">
        <v>4632</v>
      </c>
      <c r="B1511" s="6" t="s">
        <v>4633</v>
      </c>
      <c r="C1511" s="6" t="s">
        <v>4634</v>
      </c>
      <c r="D1511" s="6" t="s">
        <v>44</v>
      </c>
      <c r="E1511" s="7" t="s">
        <v>23</v>
      </c>
      <c r="F1511" s="6">
        <v>85006</v>
      </c>
      <c r="G1511" s="6" t="s">
        <v>213</v>
      </c>
      <c r="H1511" s="6" t="s">
        <v>365</v>
      </c>
      <c r="I1511" s="6" t="s">
        <v>26</v>
      </c>
      <c r="J1511" s="6" t="b">
        <v>0</v>
      </c>
      <c r="K1511" s="6" t="s">
        <v>27</v>
      </c>
      <c r="L1511" s="6">
        <v>0</v>
      </c>
      <c r="M1511" s="6">
        <v>195</v>
      </c>
      <c r="N1511" s="8" t="str">
        <f t="shared" si="162"/>
        <v>0</v>
      </c>
      <c r="O1511" s="8">
        <f t="shared" si="163"/>
        <v>2340</v>
      </c>
      <c r="P1511" s="8">
        <f t="shared" si="164"/>
        <v>2340</v>
      </c>
      <c r="Q1511" s="8">
        <f t="shared" si="165"/>
        <v>0</v>
      </c>
      <c r="R1511" s="9">
        <f t="shared" si="166"/>
        <v>2340</v>
      </c>
      <c r="S1511" s="10">
        <f t="shared" si="167"/>
        <v>195</v>
      </c>
      <c r="T1511">
        <f t="shared" si="169"/>
        <v>195</v>
      </c>
      <c r="U1511">
        <f t="shared" si="168"/>
        <v>0</v>
      </c>
    </row>
    <row r="1512" spans="1:21" ht="14.25" customHeight="1" x14ac:dyDescent="0.35">
      <c r="A1512" s="6" t="s">
        <v>4635</v>
      </c>
      <c r="B1512" s="6" t="s">
        <v>4636</v>
      </c>
      <c r="C1512" s="6" t="s">
        <v>4637</v>
      </c>
      <c r="D1512" s="6" t="s">
        <v>65</v>
      </c>
      <c r="E1512" s="7" t="s">
        <v>23</v>
      </c>
      <c r="F1512" s="6">
        <v>85210</v>
      </c>
      <c r="G1512" s="6" t="s">
        <v>24</v>
      </c>
      <c r="H1512" s="6" t="s">
        <v>25</v>
      </c>
      <c r="I1512" s="6" t="s">
        <v>26</v>
      </c>
      <c r="J1512" s="6" t="b">
        <v>0</v>
      </c>
      <c r="K1512" s="6" t="s">
        <v>27</v>
      </c>
      <c r="L1512" s="6">
        <v>0</v>
      </c>
      <c r="M1512" s="6">
        <v>195</v>
      </c>
      <c r="N1512" s="8" t="str">
        <f t="shared" si="162"/>
        <v>0</v>
      </c>
      <c r="O1512" s="8">
        <f t="shared" si="163"/>
        <v>2340</v>
      </c>
      <c r="P1512" s="8">
        <f t="shared" si="164"/>
        <v>2340</v>
      </c>
      <c r="Q1512" s="8">
        <f t="shared" si="165"/>
        <v>0</v>
      </c>
      <c r="R1512" s="9">
        <f t="shared" si="166"/>
        <v>2340</v>
      </c>
      <c r="S1512" s="10">
        <f t="shared" si="167"/>
        <v>195</v>
      </c>
      <c r="T1512">
        <f t="shared" si="169"/>
        <v>195</v>
      </c>
      <c r="U1512">
        <f t="shared" si="168"/>
        <v>0</v>
      </c>
    </row>
    <row r="1513" spans="1:21" ht="14.25" customHeight="1" x14ac:dyDescent="0.35">
      <c r="A1513" s="6" t="s">
        <v>4638</v>
      </c>
      <c r="B1513" s="6" t="s">
        <v>4639</v>
      </c>
      <c r="C1513" s="6" t="s">
        <v>4640</v>
      </c>
      <c r="D1513" s="6" t="s">
        <v>248</v>
      </c>
      <c r="E1513" s="7" t="s">
        <v>23</v>
      </c>
      <c r="F1513" s="6">
        <v>85339</v>
      </c>
      <c r="G1513" s="6" t="s">
        <v>213</v>
      </c>
      <c r="H1513" s="6" t="s">
        <v>39</v>
      </c>
      <c r="I1513" s="6" t="s">
        <v>26</v>
      </c>
      <c r="J1513" s="6" t="b">
        <v>0</v>
      </c>
      <c r="K1513" s="6" t="s">
        <v>27</v>
      </c>
      <c r="L1513" s="6">
        <v>0</v>
      </c>
      <c r="M1513" s="6">
        <v>195</v>
      </c>
      <c r="N1513" s="8" t="str">
        <f t="shared" si="162"/>
        <v>0</v>
      </c>
      <c r="O1513" s="8">
        <f t="shared" si="163"/>
        <v>2340</v>
      </c>
      <c r="P1513" s="8">
        <f t="shared" si="164"/>
        <v>2340</v>
      </c>
      <c r="Q1513" s="8">
        <f t="shared" si="165"/>
        <v>0</v>
      </c>
      <c r="R1513" s="9">
        <f t="shared" si="166"/>
        <v>2340</v>
      </c>
      <c r="S1513" s="10">
        <f t="shared" si="167"/>
        <v>195</v>
      </c>
      <c r="T1513">
        <f t="shared" si="169"/>
        <v>195</v>
      </c>
      <c r="U1513">
        <f t="shared" si="168"/>
        <v>0</v>
      </c>
    </row>
    <row r="1514" spans="1:21" ht="14.25" customHeight="1" x14ac:dyDescent="0.35">
      <c r="A1514" s="6" t="s">
        <v>4641</v>
      </c>
      <c r="B1514" s="6" t="s">
        <v>4642</v>
      </c>
      <c r="C1514" s="6" t="s">
        <v>4643</v>
      </c>
      <c r="D1514" s="6" t="s">
        <v>44</v>
      </c>
      <c r="E1514" s="7" t="s">
        <v>23</v>
      </c>
      <c r="F1514" s="6">
        <v>85048</v>
      </c>
      <c r="G1514" s="6" t="s">
        <v>24</v>
      </c>
      <c r="H1514" s="6" t="s">
        <v>161</v>
      </c>
      <c r="I1514" s="6" t="s">
        <v>26</v>
      </c>
      <c r="J1514" s="6" t="b">
        <v>0</v>
      </c>
      <c r="K1514" s="6" t="s">
        <v>27</v>
      </c>
      <c r="L1514" s="6">
        <v>0</v>
      </c>
      <c r="M1514" s="6">
        <v>195</v>
      </c>
      <c r="N1514" s="8" t="str">
        <f t="shared" si="162"/>
        <v>0</v>
      </c>
      <c r="O1514" s="8">
        <f t="shared" si="163"/>
        <v>2340</v>
      </c>
      <c r="P1514" s="8">
        <f t="shared" si="164"/>
        <v>2340</v>
      </c>
      <c r="Q1514" s="8">
        <f t="shared" si="165"/>
        <v>0</v>
      </c>
      <c r="R1514" s="9">
        <f t="shared" si="166"/>
        <v>2340</v>
      </c>
      <c r="S1514" s="10">
        <f t="shared" si="167"/>
        <v>195</v>
      </c>
      <c r="T1514">
        <f t="shared" si="169"/>
        <v>195</v>
      </c>
      <c r="U1514">
        <f t="shared" si="168"/>
        <v>0</v>
      </c>
    </row>
    <row r="1515" spans="1:21" ht="14.25" customHeight="1" x14ac:dyDescent="0.35">
      <c r="A1515" s="6" t="s">
        <v>4644</v>
      </c>
      <c r="B1515" s="6" t="s">
        <v>4645</v>
      </c>
      <c r="C1515" s="6" t="s">
        <v>4646</v>
      </c>
      <c r="D1515" s="6" t="s">
        <v>44</v>
      </c>
      <c r="E1515" s="7" t="s">
        <v>23</v>
      </c>
      <c r="F1515" s="6">
        <v>85012</v>
      </c>
      <c r="G1515" s="6" t="s">
        <v>213</v>
      </c>
      <c r="I1515" s="6" t="s">
        <v>26</v>
      </c>
      <c r="J1515" s="6" t="b">
        <v>0</v>
      </c>
      <c r="K1515" s="6" t="s">
        <v>27</v>
      </c>
      <c r="L1515" s="6">
        <v>0</v>
      </c>
      <c r="M1515" s="6">
        <v>195</v>
      </c>
      <c r="N1515" s="8" t="str">
        <f t="shared" si="162"/>
        <v>0</v>
      </c>
      <c r="O1515" s="8">
        <f t="shared" si="163"/>
        <v>2340</v>
      </c>
      <c r="P1515" s="8">
        <f t="shared" si="164"/>
        <v>2340</v>
      </c>
      <c r="Q1515" s="8">
        <f t="shared" si="165"/>
        <v>0</v>
      </c>
      <c r="R1515" s="9">
        <f t="shared" si="166"/>
        <v>2340</v>
      </c>
      <c r="S1515" s="10">
        <f t="shared" si="167"/>
        <v>195</v>
      </c>
      <c r="T1515">
        <f t="shared" si="169"/>
        <v>195</v>
      </c>
      <c r="U1515">
        <f t="shared" si="168"/>
        <v>0</v>
      </c>
    </row>
    <row r="1516" spans="1:21" ht="14.25" customHeight="1" x14ac:dyDescent="0.35">
      <c r="A1516" s="6" t="s">
        <v>4647</v>
      </c>
      <c r="B1516" s="6" t="s">
        <v>4648</v>
      </c>
      <c r="C1516" s="6" t="s">
        <v>4649</v>
      </c>
      <c r="D1516" s="6" t="s">
        <v>44</v>
      </c>
      <c r="E1516" s="7" t="s">
        <v>23</v>
      </c>
      <c r="F1516" s="6">
        <v>85044</v>
      </c>
      <c r="G1516" s="6" t="s">
        <v>24</v>
      </c>
      <c r="H1516" s="6" t="s">
        <v>161</v>
      </c>
      <c r="I1516" s="6" t="s">
        <v>26</v>
      </c>
      <c r="J1516" s="6" t="b">
        <v>0</v>
      </c>
      <c r="K1516" s="6" t="s">
        <v>27</v>
      </c>
      <c r="L1516" s="6">
        <v>0</v>
      </c>
      <c r="M1516" s="6">
        <v>195</v>
      </c>
      <c r="N1516" s="8" t="str">
        <f t="shared" si="162"/>
        <v>0</v>
      </c>
      <c r="O1516" s="8">
        <f t="shared" si="163"/>
        <v>2340</v>
      </c>
      <c r="P1516" s="8">
        <f t="shared" si="164"/>
        <v>2340</v>
      </c>
      <c r="Q1516" s="8">
        <f t="shared" si="165"/>
        <v>0</v>
      </c>
      <c r="R1516" s="9">
        <f t="shared" si="166"/>
        <v>2340</v>
      </c>
      <c r="S1516" s="10">
        <f t="shared" si="167"/>
        <v>195</v>
      </c>
      <c r="T1516">
        <f t="shared" si="169"/>
        <v>195</v>
      </c>
      <c r="U1516">
        <f t="shared" si="168"/>
        <v>0</v>
      </c>
    </row>
    <row r="1517" spans="1:21" ht="14.25" customHeight="1" x14ac:dyDescent="0.35">
      <c r="A1517" s="6" t="s">
        <v>4650</v>
      </c>
      <c r="B1517" s="6" t="s">
        <v>4651</v>
      </c>
      <c r="C1517" s="6" t="s">
        <v>4652</v>
      </c>
      <c r="D1517" s="6" t="s">
        <v>44</v>
      </c>
      <c r="E1517" s="7" t="s">
        <v>23</v>
      </c>
      <c r="F1517" s="6">
        <v>85020</v>
      </c>
      <c r="G1517" s="6" t="s">
        <v>173</v>
      </c>
      <c r="H1517" s="6" t="s">
        <v>33</v>
      </c>
      <c r="I1517" s="6" t="s">
        <v>61</v>
      </c>
      <c r="J1517" s="6" t="b">
        <v>0</v>
      </c>
      <c r="K1517" s="6" t="s">
        <v>27</v>
      </c>
      <c r="L1517" s="6">
        <v>0</v>
      </c>
      <c r="M1517" s="6">
        <v>195</v>
      </c>
      <c r="N1517" s="8" t="str">
        <f t="shared" si="162"/>
        <v>0</v>
      </c>
      <c r="O1517" s="8">
        <f t="shared" si="163"/>
        <v>2340</v>
      </c>
      <c r="P1517" s="8">
        <f t="shared" si="164"/>
        <v>2340</v>
      </c>
      <c r="Q1517" s="8">
        <f t="shared" si="165"/>
        <v>0</v>
      </c>
      <c r="R1517" s="9">
        <f t="shared" si="166"/>
        <v>2340</v>
      </c>
      <c r="S1517" s="10">
        <f t="shared" si="167"/>
        <v>195</v>
      </c>
      <c r="T1517">
        <f t="shared" si="169"/>
        <v>195</v>
      </c>
      <c r="U1517">
        <f t="shared" si="168"/>
        <v>0</v>
      </c>
    </row>
    <row r="1518" spans="1:21" ht="14.25" customHeight="1" x14ac:dyDescent="0.35">
      <c r="A1518" s="6" t="s">
        <v>4653</v>
      </c>
      <c r="B1518" s="6" t="s">
        <v>4654</v>
      </c>
      <c r="C1518" s="6" t="s">
        <v>4655</v>
      </c>
      <c r="D1518" s="6" t="s">
        <v>31</v>
      </c>
      <c r="E1518" s="7" t="s">
        <v>23</v>
      </c>
      <c r="F1518" s="6">
        <v>85251</v>
      </c>
      <c r="G1518" s="6" t="s">
        <v>49</v>
      </c>
      <c r="H1518" s="6" t="s">
        <v>202</v>
      </c>
      <c r="I1518" s="6" t="s">
        <v>26</v>
      </c>
      <c r="J1518" s="6" t="b">
        <v>0</v>
      </c>
      <c r="K1518" s="6" t="s">
        <v>27</v>
      </c>
      <c r="L1518" s="6">
        <v>0</v>
      </c>
      <c r="M1518" s="6">
        <v>195</v>
      </c>
      <c r="N1518" s="8" t="str">
        <f t="shared" si="162"/>
        <v>0</v>
      </c>
      <c r="O1518" s="8">
        <f t="shared" si="163"/>
        <v>2340</v>
      </c>
      <c r="P1518" s="8">
        <f t="shared" si="164"/>
        <v>2340</v>
      </c>
      <c r="Q1518" s="8">
        <f t="shared" si="165"/>
        <v>0</v>
      </c>
      <c r="R1518" s="9">
        <f t="shared" si="166"/>
        <v>2340</v>
      </c>
      <c r="S1518" s="10">
        <f t="shared" si="167"/>
        <v>195</v>
      </c>
      <c r="T1518">
        <f t="shared" si="169"/>
        <v>195</v>
      </c>
      <c r="U1518">
        <f t="shared" si="168"/>
        <v>0</v>
      </c>
    </row>
    <row r="1519" spans="1:21" ht="14.25" customHeight="1" x14ac:dyDescent="0.35">
      <c r="A1519" s="6" t="s">
        <v>4656</v>
      </c>
      <c r="B1519" s="6" t="s">
        <v>4657</v>
      </c>
      <c r="C1519" s="6" t="s">
        <v>4658</v>
      </c>
      <c r="D1519" s="6" t="s">
        <v>22</v>
      </c>
      <c r="E1519" s="7" t="s">
        <v>23</v>
      </c>
      <c r="F1519" s="6">
        <v>85226</v>
      </c>
      <c r="G1519" s="6" t="s">
        <v>24</v>
      </c>
      <c r="H1519" s="6" t="s">
        <v>161</v>
      </c>
      <c r="I1519" s="6" t="s">
        <v>26</v>
      </c>
      <c r="J1519" s="6" t="b">
        <v>0</v>
      </c>
      <c r="K1519" s="6" t="s">
        <v>27</v>
      </c>
      <c r="L1519" s="6">
        <v>0</v>
      </c>
      <c r="M1519" s="6">
        <v>195</v>
      </c>
      <c r="N1519" s="8" t="str">
        <f t="shared" si="162"/>
        <v>0</v>
      </c>
      <c r="O1519" s="8">
        <f t="shared" si="163"/>
        <v>2340</v>
      </c>
      <c r="P1519" s="8">
        <f t="shared" si="164"/>
        <v>2340</v>
      </c>
      <c r="Q1519" s="8">
        <f t="shared" si="165"/>
        <v>0</v>
      </c>
      <c r="R1519" s="9">
        <f t="shared" si="166"/>
        <v>2340</v>
      </c>
      <c r="S1519" s="10">
        <f t="shared" si="167"/>
        <v>195</v>
      </c>
      <c r="T1519">
        <f t="shared" si="169"/>
        <v>195</v>
      </c>
      <c r="U1519">
        <f t="shared" si="168"/>
        <v>0</v>
      </c>
    </row>
    <row r="1520" spans="1:21" ht="14.25" customHeight="1" x14ac:dyDescent="0.35">
      <c r="A1520" s="6" t="s">
        <v>4659</v>
      </c>
      <c r="B1520" s="6" t="s">
        <v>4660</v>
      </c>
      <c r="C1520" s="6" t="s">
        <v>4661</v>
      </c>
      <c r="D1520" s="6" t="s">
        <v>44</v>
      </c>
      <c r="E1520" s="7" t="s">
        <v>23</v>
      </c>
      <c r="F1520" s="6">
        <v>85042</v>
      </c>
      <c r="G1520" s="6" t="s">
        <v>213</v>
      </c>
      <c r="H1520" s="6" t="s">
        <v>39</v>
      </c>
      <c r="I1520" s="6" t="s">
        <v>26</v>
      </c>
      <c r="J1520" s="6" t="b">
        <v>0</v>
      </c>
      <c r="K1520" s="6" t="s">
        <v>27</v>
      </c>
      <c r="L1520" s="6">
        <v>0</v>
      </c>
      <c r="M1520" s="6">
        <v>195</v>
      </c>
      <c r="N1520" s="8" t="str">
        <f t="shared" si="162"/>
        <v>0</v>
      </c>
      <c r="O1520" s="8">
        <f t="shared" si="163"/>
        <v>2340</v>
      </c>
      <c r="P1520" s="8">
        <f t="shared" si="164"/>
        <v>2340</v>
      </c>
      <c r="Q1520" s="8">
        <f t="shared" si="165"/>
        <v>0</v>
      </c>
      <c r="R1520" s="9">
        <f t="shared" si="166"/>
        <v>2340</v>
      </c>
      <c r="S1520" s="10">
        <f t="shared" si="167"/>
        <v>195</v>
      </c>
      <c r="T1520">
        <f t="shared" si="169"/>
        <v>195</v>
      </c>
      <c r="U1520">
        <f t="shared" si="168"/>
        <v>0</v>
      </c>
    </row>
    <row r="1521" spans="1:21" ht="14.25" customHeight="1" x14ac:dyDescent="0.35">
      <c r="A1521" s="6" t="s">
        <v>4662</v>
      </c>
      <c r="B1521" s="6" t="s">
        <v>4663</v>
      </c>
      <c r="C1521" s="6" t="s">
        <v>4664</v>
      </c>
      <c r="D1521" s="6" t="s">
        <v>31</v>
      </c>
      <c r="E1521" s="7" t="s">
        <v>23</v>
      </c>
      <c r="F1521" s="6">
        <v>85251</v>
      </c>
      <c r="G1521" s="6" t="s">
        <v>49</v>
      </c>
      <c r="H1521" s="6" t="s">
        <v>50</v>
      </c>
      <c r="I1521" s="6" t="s">
        <v>26</v>
      </c>
      <c r="J1521" s="6" t="b">
        <v>0</v>
      </c>
      <c r="K1521" s="6" t="s">
        <v>27</v>
      </c>
      <c r="L1521" s="6">
        <v>0</v>
      </c>
      <c r="M1521" s="6">
        <v>195</v>
      </c>
      <c r="N1521" s="8" t="str">
        <f t="shared" si="162"/>
        <v>0</v>
      </c>
      <c r="O1521" s="8">
        <f t="shared" si="163"/>
        <v>2340</v>
      </c>
      <c r="P1521" s="8">
        <f t="shared" si="164"/>
        <v>2340</v>
      </c>
      <c r="Q1521" s="8">
        <f t="shared" si="165"/>
        <v>0</v>
      </c>
      <c r="R1521" s="9">
        <f t="shared" si="166"/>
        <v>2340</v>
      </c>
      <c r="S1521" s="10">
        <f t="shared" si="167"/>
        <v>195</v>
      </c>
      <c r="T1521">
        <f t="shared" si="169"/>
        <v>195</v>
      </c>
      <c r="U1521">
        <f t="shared" si="168"/>
        <v>0</v>
      </c>
    </row>
    <row r="1522" spans="1:21" ht="14.25" customHeight="1" x14ac:dyDescent="0.35">
      <c r="A1522" s="6" t="s">
        <v>4665</v>
      </c>
      <c r="B1522" s="6" t="s">
        <v>4666</v>
      </c>
      <c r="C1522" s="6" t="s">
        <v>4667</v>
      </c>
      <c r="D1522" s="6" t="s">
        <v>165</v>
      </c>
      <c r="E1522" s="7" t="s">
        <v>23</v>
      </c>
      <c r="F1522" s="6">
        <v>85296</v>
      </c>
      <c r="G1522" s="6" t="s">
        <v>125</v>
      </c>
      <c r="H1522" s="6" t="s">
        <v>1047</v>
      </c>
      <c r="I1522" s="6" t="s">
        <v>57</v>
      </c>
      <c r="J1522" s="6" t="b">
        <v>0</v>
      </c>
      <c r="K1522" s="6" t="s">
        <v>27</v>
      </c>
      <c r="L1522" s="6">
        <v>0</v>
      </c>
      <c r="M1522" s="6">
        <v>195</v>
      </c>
      <c r="N1522" s="8" t="str">
        <f t="shared" si="162"/>
        <v>0</v>
      </c>
      <c r="O1522" s="8">
        <f t="shared" si="163"/>
        <v>2340</v>
      </c>
      <c r="P1522" s="8">
        <f t="shared" si="164"/>
        <v>2340</v>
      </c>
      <c r="Q1522" s="8">
        <f t="shared" si="165"/>
        <v>0</v>
      </c>
      <c r="R1522" s="9">
        <f t="shared" si="166"/>
        <v>2340</v>
      </c>
      <c r="S1522" s="10">
        <f t="shared" si="167"/>
        <v>195</v>
      </c>
      <c r="T1522">
        <f t="shared" si="169"/>
        <v>195</v>
      </c>
      <c r="U1522">
        <f t="shared" si="168"/>
        <v>0</v>
      </c>
    </row>
    <row r="1523" spans="1:21" ht="14.25" customHeight="1" x14ac:dyDescent="0.35">
      <c r="A1523" s="6" t="s">
        <v>4668</v>
      </c>
      <c r="B1523" s="6" t="s">
        <v>4669</v>
      </c>
      <c r="C1523" s="6" t="s">
        <v>4670</v>
      </c>
      <c r="D1523" s="6" t="s">
        <v>65</v>
      </c>
      <c r="E1523" s="7" t="s">
        <v>23</v>
      </c>
      <c r="F1523" s="6">
        <v>85205</v>
      </c>
      <c r="G1523" s="6" t="s">
        <v>66</v>
      </c>
      <c r="I1523" s="6" t="s">
        <v>57</v>
      </c>
      <c r="J1523" s="6" t="b">
        <v>0</v>
      </c>
      <c r="K1523" s="6" t="s">
        <v>27</v>
      </c>
      <c r="L1523" s="6">
        <v>0</v>
      </c>
      <c r="M1523" s="6">
        <v>195</v>
      </c>
      <c r="N1523" s="8" t="str">
        <f t="shared" si="162"/>
        <v>0</v>
      </c>
      <c r="O1523" s="8">
        <f t="shared" si="163"/>
        <v>2340</v>
      </c>
      <c r="P1523" s="8">
        <f t="shared" si="164"/>
        <v>2340</v>
      </c>
      <c r="Q1523" s="8">
        <f t="shared" si="165"/>
        <v>0</v>
      </c>
      <c r="R1523" s="9">
        <f t="shared" si="166"/>
        <v>2340</v>
      </c>
      <c r="S1523" s="10">
        <f t="shared" si="167"/>
        <v>195</v>
      </c>
      <c r="T1523">
        <f t="shared" si="169"/>
        <v>195</v>
      </c>
      <c r="U1523">
        <f t="shared" si="168"/>
        <v>0</v>
      </c>
    </row>
    <row r="1524" spans="1:21" ht="14.25" customHeight="1" x14ac:dyDescent="0.35">
      <c r="A1524" s="6" t="s">
        <v>4671</v>
      </c>
      <c r="B1524" s="6" t="s">
        <v>4672</v>
      </c>
      <c r="C1524" s="6" t="s">
        <v>4673</v>
      </c>
      <c r="D1524" s="6" t="s">
        <v>44</v>
      </c>
      <c r="E1524" s="7" t="s">
        <v>23</v>
      </c>
      <c r="F1524" s="6">
        <v>85022</v>
      </c>
      <c r="G1524" s="6" t="s">
        <v>173</v>
      </c>
      <c r="H1524" s="6" t="s">
        <v>169</v>
      </c>
      <c r="I1524" s="6" t="s">
        <v>26</v>
      </c>
      <c r="J1524" s="6" t="b">
        <v>0</v>
      </c>
      <c r="K1524" s="6" t="s">
        <v>27</v>
      </c>
      <c r="L1524" s="6">
        <v>0</v>
      </c>
      <c r="M1524" s="6">
        <v>195</v>
      </c>
      <c r="N1524" s="8" t="str">
        <f t="shared" si="162"/>
        <v>0</v>
      </c>
      <c r="O1524" s="8">
        <f t="shared" si="163"/>
        <v>2340</v>
      </c>
      <c r="P1524" s="8">
        <f t="shared" si="164"/>
        <v>2340</v>
      </c>
      <c r="Q1524" s="8">
        <f t="shared" si="165"/>
        <v>0</v>
      </c>
      <c r="R1524" s="9">
        <f t="shared" si="166"/>
        <v>2340</v>
      </c>
      <c r="S1524" s="10">
        <f t="shared" si="167"/>
        <v>195</v>
      </c>
      <c r="T1524">
        <f t="shared" si="169"/>
        <v>195</v>
      </c>
      <c r="U1524">
        <f t="shared" si="168"/>
        <v>0</v>
      </c>
    </row>
    <row r="1525" spans="1:21" ht="14.25" customHeight="1" x14ac:dyDescent="0.35">
      <c r="A1525" s="6" t="s">
        <v>4674</v>
      </c>
      <c r="B1525" s="6" t="s">
        <v>4675</v>
      </c>
      <c r="C1525" s="6" t="s">
        <v>4676</v>
      </c>
      <c r="D1525" s="6" t="s">
        <v>44</v>
      </c>
      <c r="E1525" s="7" t="s">
        <v>23</v>
      </c>
      <c r="F1525" s="6">
        <v>85042</v>
      </c>
      <c r="G1525" s="6" t="s">
        <v>213</v>
      </c>
      <c r="H1525" s="6" t="s">
        <v>39</v>
      </c>
      <c r="I1525" s="6" t="s">
        <v>26</v>
      </c>
      <c r="J1525" s="6" t="b">
        <v>0</v>
      </c>
      <c r="K1525" s="6" t="s">
        <v>27</v>
      </c>
      <c r="L1525" s="6">
        <v>0</v>
      </c>
      <c r="M1525" s="6">
        <v>195</v>
      </c>
      <c r="N1525" s="8" t="str">
        <f t="shared" si="162"/>
        <v>0</v>
      </c>
      <c r="O1525" s="8">
        <f t="shared" si="163"/>
        <v>2340</v>
      </c>
      <c r="P1525" s="8">
        <f t="shared" si="164"/>
        <v>2340</v>
      </c>
      <c r="Q1525" s="8">
        <f t="shared" si="165"/>
        <v>0</v>
      </c>
      <c r="R1525" s="9">
        <f t="shared" si="166"/>
        <v>2340</v>
      </c>
      <c r="S1525" s="10">
        <f t="shared" si="167"/>
        <v>195</v>
      </c>
      <c r="T1525">
        <f t="shared" si="169"/>
        <v>195</v>
      </c>
      <c r="U1525">
        <f t="shared" si="168"/>
        <v>0</v>
      </c>
    </row>
    <row r="1526" spans="1:21" ht="14.25" customHeight="1" x14ac:dyDescent="0.35">
      <c r="A1526" s="6" t="s">
        <v>4677</v>
      </c>
      <c r="B1526" s="6" t="s">
        <v>4678</v>
      </c>
      <c r="C1526" s="6" t="s">
        <v>4679</v>
      </c>
      <c r="D1526" s="6" t="s">
        <v>44</v>
      </c>
      <c r="E1526" s="7" t="s">
        <v>23</v>
      </c>
      <c r="F1526" s="6">
        <v>85022</v>
      </c>
      <c r="G1526" s="6" t="s">
        <v>173</v>
      </c>
      <c r="H1526" s="6" t="s">
        <v>79</v>
      </c>
      <c r="I1526" s="6" t="s">
        <v>26</v>
      </c>
      <c r="J1526" s="6" t="b">
        <v>0</v>
      </c>
      <c r="K1526" s="6" t="s">
        <v>27</v>
      </c>
      <c r="L1526" s="6">
        <v>0</v>
      </c>
      <c r="M1526" s="6">
        <v>195</v>
      </c>
      <c r="N1526" s="8" t="str">
        <f t="shared" si="162"/>
        <v>0</v>
      </c>
      <c r="O1526" s="8">
        <f t="shared" si="163"/>
        <v>2340</v>
      </c>
      <c r="P1526" s="8">
        <f t="shared" si="164"/>
        <v>2340</v>
      </c>
      <c r="Q1526" s="8">
        <f t="shared" si="165"/>
        <v>0</v>
      </c>
      <c r="R1526" s="9">
        <f t="shared" si="166"/>
        <v>2340</v>
      </c>
      <c r="S1526" s="10">
        <f t="shared" si="167"/>
        <v>195</v>
      </c>
      <c r="T1526">
        <f t="shared" si="169"/>
        <v>195</v>
      </c>
      <c r="U1526">
        <f t="shared" si="168"/>
        <v>0</v>
      </c>
    </row>
    <row r="1527" spans="1:21" ht="14.25" customHeight="1" x14ac:dyDescent="0.35">
      <c r="A1527" s="6" t="s">
        <v>4680</v>
      </c>
      <c r="B1527" s="6" t="s">
        <v>4681</v>
      </c>
      <c r="C1527" s="6" t="s">
        <v>4682</v>
      </c>
      <c r="D1527" s="6" t="s">
        <v>248</v>
      </c>
      <c r="E1527" s="7" t="s">
        <v>23</v>
      </c>
      <c r="F1527" s="6">
        <v>85339</v>
      </c>
      <c r="G1527" s="6" t="s">
        <v>213</v>
      </c>
      <c r="I1527" s="6" t="s">
        <v>61</v>
      </c>
      <c r="J1527" s="6" t="b">
        <v>0</v>
      </c>
      <c r="K1527" s="6" t="s">
        <v>27</v>
      </c>
      <c r="L1527" s="6">
        <v>0</v>
      </c>
      <c r="M1527" s="6">
        <v>195</v>
      </c>
      <c r="N1527" s="8" t="str">
        <f t="shared" si="162"/>
        <v>0</v>
      </c>
      <c r="O1527" s="8">
        <f t="shared" si="163"/>
        <v>2340</v>
      </c>
      <c r="P1527" s="8">
        <f t="shared" si="164"/>
        <v>2340</v>
      </c>
      <c r="Q1527" s="8">
        <f t="shared" si="165"/>
        <v>0</v>
      </c>
      <c r="R1527" s="9">
        <f t="shared" si="166"/>
        <v>2340</v>
      </c>
      <c r="S1527" s="10">
        <f t="shared" si="167"/>
        <v>195</v>
      </c>
      <c r="T1527">
        <f t="shared" si="169"/>
        <v>195</v>
      </c>
      <c r="U1527">
        <f t="shared" si="168"/>
        <v>0</v>
      </c>
    </row>
    <row r="1528" spans="1:21" ht="14.25" customHeight="1" x14ac:dyDescent="0.35">
      <c r="A1528" s="6" t="s">
        <v>4683</v>
      </c>
      <c r="B1528" s="6" t="s">
        <v>4684</v>
      </c>
      <c r="C1528" s="6" t="s">
        <v>4685</v>
      </c>
      <c r="D1528" s="6" t="s">
        <v>71</v>
      </c>
      <c r="E1528" s="7" t="s">
        <v>23</v>
      </c>
      <c r="F1528" s="6">
        <v>85383</v>
      </c>
      <c r="G1528" s="6" t="s">
        <v>78</v>
      </c>
      <c r="H1528" s="6" t="s">
        <v>281</v>
      </c>
      <c r="I1528" s="6" t="s">
        <v>26</v>
      </c>
      <c r="J1528" s="6" t="b">
        <v>0</v>
      </c>
      <c r="K1528" s="6" t="s">
        <v>27</v>
      </c>
      <c r="L1528" s="6">
        <v>0</v>
      </c>
      <c r="M1528" s="6">
        <v>195</v>
      </c>
      <c r="N1528" s="8" t="str">
        <f t="shared" si="162"/>
        <v>0</v>
      </c>
      <c r="O1528" s="8">
        <f t="shared" si="163"/>
        <v>2340</v>
      </c>
      <c r="P1528" s="8">
        <f t="shared" si="164"/>
        <v>2340</v>
      </c>
      <c r="Q1528" s="8">
        <f t="shared" si="165"/>
        <v>0</v>
      </c>
      <c r="R1528" s="9">
        <f t="shared" si="166"/>
        <v>2340</v>
      </c>
      <c r="S1528" s="10">
        <f t="shared" si="167"/>
        <v>195</v>
      </c>
      <c r="T1528">
        <f t="shared" si="169"/>
        <v>195</v>
      </c>
      <c r="U1528">
        <f t="shared" si="168"/>
        <v>0</v>
      </c>
    </row>
    <row r="1529" spans="1:21" ht="14.25" customHeight="1" x14ac:dyDescent="0.35">
      <c r="A1529" s="6" t="s">
        <v>4686</v>
      </c>
      <c r="B1529" s="6" t="s">
        <v>4687</v>
      </c>
      <c r="C1529" s="6" t="s">
        <v>4688</v>
      </c>
      <c r="D1529" s="6" t="s">
        <v>77</v>
      </c>
      <c r="E1529" s="7" t="s">
        <v>23</v>
      </c>
      <c r="F1529" s="6">
        <v>85303</v>
      </c>
      <c r="G1529" s="6" t="s">
        <v>72</v>
      </c>
      <c r="H1529" s="6" t="s">
        <v>73</v>
      </c>
      <c r="I1529" s="6" t="s">
        <v>26</v>
      </c>
      <c r="J1529" s="6" t="b">
        <v>0</v>
      </c>
      <c r="K1529" s="6" t="s">
        <v>27</v>
      </c>
      <c r="L1529" s="6">
        <v>0</v>
      </c>
      <c r="M1529" s="6">
        <v>195</v>
      </c>
      <c r="N1529" s="8" t="str">
        <f t="shared" si="162"/>
        <v>0</v>
      </c>
      <c r="O1529" s="8">
        <f t="shared" si="163"/>
        <v>2340</v>
      </c>
      <c r="P1529" s="8">
        <f t="shared" si="164"/>
        <v>2340</v>
      </c>
      <c r="Q1529" s="8">
        <f t="shared" si="165"/>
        <v>0</v>
      </c>
      <c r="R1529" s="9">
        <f t="shared" si="166"/>
        <v>2340</v>
      </c>
      <c r="S1529" s="10">
        <f t="shared" si="167"/>
        <v>195</v>
      </c>
      <c r="T1529">
        <f t="shared" si="169"/>
        <v>195</v>
      </c>
      <c r="U1529">
        <f t="shared" si="168"/>
        <v>0</v>
      </c>
    </row>
    <row r="1530" spans="1:21" ht="14.25" customHeight="1" x14ac:dyDescent="0.35">
      <c r="A1530" s="6" t="s">
        <v>4689</v>
      </c>
      <c r="B1530" s="6" t="s">
        <v>4690</v>
      </c>
      <c r="C1530" s="6" t="s">
        <v>4691</v>
      </c>
      <c r="D1530" s="6" t="s">
        <v>44</v>
      </c>
      <c r="E1530" s="7" t="s">
        <v>23</v>
      </c>
      <c r="F1530" s="6">
        <v>85041</v>
      </c>
      <c r="G1530" s="6" t="s">
        <v>213</v>
      </c>
      <c r="I1530" s="6" t="s">
        <v>57</v>
      </c>
      <c r="J1530" s="6" t="b">
        <v>0</v>
      </c>
      <c r="K1530" s="6" t="s">
        <v>27</v>
      </c>
      <c r="L1530" s="6">
        <v>0</v>
      </c>
      <c r="M1530" s="6">
        <v>195</v>
      </c>
      <c r="N1530" s="8" t="str">
        <f t="shared" si="162"/>
        <v>0</v>
      </c>
      <c r="O1530" s="8">
        <f t="shared" si="163"/>
        <v>2340</v>
      </c>
      <c r="P1530" s="8">
        <f t="shared" si="164"/>
        <v>2340</v>
      </c>
      <c r="Q1530" s="8">
        <f t="shared" si="165"/>
        <v>0</v>
      </c>
      <c r="R1530" s="9">
        <f t="shared" si="166"/>
        <v>2340</v>
      </c>
      <c r="S1530" s="10">
        <f t="shared" si="167"/>
        <v>195</v>
      </c>
      <c r="T1530">
        <f t="shared" si="169"/>
        <v>195</v>
      </c>
      <c r="U1530">
        <f t="shared" si="168"/>
        <v>0</v>
      </c>
    </row>
    <row r="1531" spans="1:21" ht="14.25" customHeight="1" x14ac:dyDescent="0.35">
      <c r="A1531" s="6" t="s">
        <v>4692</v>
      </c>
      <c r="B1531" s="6" t="s">
        <v>4693</v>
      </c>
      <c r="C1531" s="6" t="s">
        <v>4694</v>
      </c>
      <c r="D1531" s="6" t="s">
        <v>165</v>
      </c>
      <c r="E1531" s="7" t="s">
        <v>23</v>
      </c>
      <c r="F1531" s="6">
        <v>85298</v>
      </c>
      <c r="G1531" s="6" t="s">
        <v>125</v>
      </c>
      <c r="I1531" s="6" t="s">
        <v>40</v>
      </c>
      <c r="J1531" s="6" t="b">
        <v>0</v>
      </c>
      <c r="K1531" s="6" t="s">
        <v>27</v>
      </c>
      <c r="L1531" s="6">
        <v>0</v>
      </c>
      <c r="M1531" s="6">
        <v>195</v>
      </c>
      <c r="N1531" s="8" t="str">
        <f t="shared" si="162"/>
        <v>0</v>
      </c>
      <c r="O1531" s="8">
        <f t="shared" si="163"/>
        <v>2340</v>
      </c>
      <c r="P1531" s="8">
        <f t="shared" si="164"/>
        <v>2340</v>
      </c>
      <c r="Q1531" s="8">
        <f t="shared" si="165"/>
        <v>0</v>
      </c>
      <c r="R1531" s="9">
        <f t="shared" si="166"/>
        <v>2340</v>
      </c>
      <c r="S1531" s="10">
        <f t="shared" si="167"/>
        <v>195</v>
      </c>
      <c r="T1531">
        <f t="shared" si="169"/>
        <v>195</v>
      </c>
      <c r="U1531">
        <f t="shared" si="168"/>
        <v>0</v>
      </c>
    </row>
    <row r="1532" spans="1:21" ht="14.25" customHeight="1" x14ac:dyDescent="0.35">
      <c r="A1532" s="6" t="s">
        <v>4695</v>
      </c>
      <c r="B1532" s="6" t="s">
        <v>4696</v>
      </c>
      <c r="C1532" s="6" t="s">
        <v>4697</v>
      </c>
      <c r="D1532" s="6" t="s">
        <v>165</v>
      </c>
      <c r="E1532" s="7" t="s">
        <v>23</v>
      </c>
      <c r="F1532" s="6">
        <v>85296</v>
      </c>
      <c r="G1532" s="6" t="s">
        <v>125</v>
      </c>
      <c r="H1532" s="6" t="s">
        <v>1047</v>
      </c>
      <c r="I1532" s="6" t="s">
        <v>26</v>
      </c>
      <c r="J1532" s="6" t="b">
        <v>0</v>
      </c>
      <c r="K1532" s="6" t="s">
        <v>27</v>
      </c>
      <c r="L1532" s="6">
        <v>0</v>
      </c>
      <c r="M1532" s="6">
        <v>195</v>
      </c>
      <c r="N1532" s="8" t="str">
        <f t="shared" si="162"/>
        <v>0</v>
      </c>
      <c r="O1532" s="8">
        <f t="shared" si="163"/>
        <v>2340</v>
      </c>
      <c r="P1532" s="8">
        <f t="shared" si="164"/>
        <v>2340</v>
      </c>
      <c r="Q1532" s="8">
        <f t="shared" si="165"/>
        <v>0</v>
      </c>
      <c r="R1532" s="9">
        <f t="shared" si="166"/>
        <v>2340</v>
      </c>
      <c r="S1532" s="10">
        <f t="shared" si="167"/>
        <v>195</v>
      </c>
      <c r="T1532">
        <f t="shared" si="169"/>
        <v>195</v>
      </c>
      <c r="U1532">
        <f t="shared" si="168"/>
        <v>0</v>
      </c>
    </row>
    <row r="1533" spans="1:21" ht="14.25" customHeight="1" x14ac:dyDescent="0.35">
      <c r="A1533" s="6" t="s">
        <v>4698</v>
      </c>
      <c r="B1533" s="6" t="s">
        <v>4699</v>
      </c>
      <c r="C1533" s="6" t="s">
        <v>4700</v>
      </c>
      <c r="D1533" s="6" t="s">
        <v>77</v>
      </c>
      <c r="E1533" s="7" t="s">
        <v>23</v>
      </c>
      <c r="F1533" s="6">
        <v>85308</v>
      </c>
      <c r="G1533" s="6" t="s">
        <v>72</v>
      </c>
      <c r="H1533" s="6" t="s">
        <v>93</v>
      </c>
      <c r="I1533" s="6" t="s">
        <v>26</v>
      </c>
      <c r="J1533" s="6" t="b">
        <v>0</v>
      </c>
      <c r="K1533" s="6" t="s">
        <v>27</v>
      </c>
      <c r="L1533" s="6">
        <v>0</v>
      </c>
      <c r="M1533" s="6">
        <v>195</v>
      </c>
      <c r="N1533" s="8" t="str">
        <f t="shared" si="162"/>
        <v>0</v>
      </c>
      <c r="O1533" s="8">
        <f t="shared" si="163"/>
        <v>2340</v>
      </c>
      <c r="P1533" s="8">
        <f t="shared" si="164"/>
        <v>2340</v>
      </c>
      <c r="Q1533" s="8">
        <f t="shared" si="165"/>
        <v>0</v>
      </c>
      <c r="R1533" s="9">
        <f t="shared" si="166"/>
        <v>2340</v>
      </c>
      <c r="S1533" s="10">
        <f t="shared" si="167"/>
        <v>195</v>
      </c>
      <c r="T1533">
        <f t="shared" si="169"/>
        <v>195</v>
      </c>
      <c r="U1533">
        <f t="shared" si="168"/>
        <v>0</v>
      </c>
    </row>
    <row r="1534" spans="1:21" ht="14.25" customHeight="1" x14ac:dyDescent="0.35">
      <c r="A1534" s="6" t="s">
        <v>4701</v>
      </c>
      <c r="B1534" s="6" t="s">
        <v>4702</v>
      </c>
      <c r="C1534" s="6" t="s">
        <v>4703</v>
      </c>
      <c r="D1534" s="6" t="s">
        <v>267</v>
      </c>
      <c r="E1534" s="7" t="s">
        <v>23</v>
      </c>
      <c r="F1534" s="6">
        <v>85378</v>
      </c>
      <c r="G1534" s="6" t="s">
        <v>78</v>
      </c>
      <c r="H1534" s="6" t="s">
        <v>281</v>
      </c>
      <c r="I1534" s="6" t="s">
        <v>26</v>
      </c>
      <c r="J1534" s="6" t="b">
        <v>0</v>
      </c>
      <c r="K1534" s="6" t="s">
        <v>27</v>
      </c>
      <c r="L1534" s="6">
        <v>0</v>
      </c>
      <c r="M1534" s="6">
        <v>195</v>
      </c>
      <c r="N1534" s="8" t="str">
        <f t="shared" si="162"/>
        <v>0</v>
      </c>
      <c r="O1534" s="8">
        <f t="shared" si="163"/>
        <v>2340</v>
      </c>
      <c r="P1534" s="8">
        <f t="shared" si="164"/>
        <v>2340</v>
      </c>
      <c r="Q1534" s="8">
        <f t="shared" si="165"/>
        <v>0</v>
      </c>
      <c r="R1534" s="9">
        <f t="shared" si="166"/>
        <v>2340</v>
      </c>
      <c r="S1534" s="10">
        <f t="shared" si="167"/>
        <v>195</v>
      </c>
      <c r="T1534">
        <f t="shared" si="169"/>
        <v>195</v>
      </c>
      <c r="U1534">
        <f t="shared" si="168"/>
        <v>0</v>
      </c>
    </row>
    <row r="1535" spans="1:21" ht="14.25" customHeight="1" x14ac:dyDescent="0.35">
      <c r="A1535" s="6" t="s">
        <v>4704</v>
      </c>
      <c r="B1535" s="6" t="s">
        <v>4705</v>
      </c>
      <c r="C1535" s="6" t="s">
        <v>4706</v>
      </c>
      <c r="D1535" s="6" t="s">
        <v>31</v>
      </c>
      <c r="E1535" s="7" t="s">
        <v>23</v>
      </c>
      <c r="F1535" s="6">
        <v>85254</v>
      </c>
      <c r="G1535" s="6" t="s">
        <v>45</v>
      </c>
      <c r="H1535" s="6" t="s">
        <v>79</v>
      </c>
      <c r="I1535" s="6" t="s">
        <v>1423</v>
      </c>
      <c r="J1535" s="6" t="b">
        <v>0</v>
      </c>
      <c r="K1535" s="6" t="s">
        <v>27</v>
      </c>
      <c r="L1535" s="6">
        <v>0</v>
      </c>
      <c r="M1535" s="6">
        <v>195</v>
      </c>
      <c r="N1535" s="8" t="str">
        <f t="shared" si="162"/>
        <v>0</v>
      </c>
      <c r="O1535" s="8">
        <f t="shared" si="163"/>
        <v>2340</v>
      </c>
      <c r="P1535" s="8">
        <f t="shared" si="164"/>
        <v>2340</v>
      </c>
      <c r="Q1535" s="8">
        <f t="shared" si="165"/>
        <v>0</v>
      </c>
      <c r="R1535" s="9">
        <f t="shared" si="166"/>
        <v>2340</v>
      </c>
      <c r="S1535" s="10">
        <f t="shared" si="167"/>
        <v>195</v>
      </c>
      <c r="T1535">
        <f t="shared" si="169"/>
        <v>195</v>
      </c>
      <c r="U1535">
        <f t="shared" si="168"/>
        <v>0</v>
      </c>
    </row>
    <row r="1536" spans="1:21" ht="14.25" customHeight="1" x14ac:dyDescent="0.35">
      <c r="A1536" s="6" t="s">
        <v>4707</v>
      </c>
      <c r="B1536" s="6" t="s">
        <v>4708</v>
      </c>
      <c r="C1536" s="6" t="s">
        <v>4709</v>
      </c>
      <c r="D1536" s="6" t="s">
        <v>31</v>
      </c>
      <c r="E1536" s="7" t="s">
        <v>23</v>
      </c>
      <c r="F1536" s="6">
        <v>85254</v>
      </c>
      <c r="G1536" s="6" t="s">
        <v>45</v>
      </c>
      <c r="H1536" s="6" t="s">
        <v>291</v>
      </c>
      <c r="I1536" s="6" t="s">
        <v>57</v>
      </c>
      <c r="J1536" s="6" t="b">
        <v>0</v>
      </c>
      <c r="K1536" s="6" t="s">
        <v>27</v>
      </c>
      <c r="L1536" s="6">
        <v>0</v>
      </c>
      <c r="M1536" s="6">
        <v>195</v>
      </c>
      <c r="N1536" s="8" t="str">
        <f t="shared" si="162"/>
        <v>0</v>
      </c>
      <c r="O1536" s="8">
        <f t="shared" si="163"/>
        <v>2340</v>
      </c>
      <c r="P1536" s="8">
        <f t="shared" si="164"/>
        <v>2340</v>
      </c>
      <c r="Q1536" s="8">
        <f t="shared" si="165"/>
        <v>0</v>
      </c>
      <c r="R1536" s="9">
        <f t="shared" si="166"/>
        <v>2340</v>
      </c>
      <c r="S1536" s="10">
        <f t="shared" si="167"/>
        <v>195</v>
      </c>
      <c r="T1536">
        <f t="shared" si="169"/>
        <v>195</v>
      </c>
      <c r="U1536">
        <f t="shared" si="168"/>
        <v>0</v>
      </c>
    </row>
    <row r="1537" spans="1:21" ht="14.25" customHeight="1" x14ac:dyDescent="0.35">
      <c r="A1537" s="6" t="s">
        <v>4710</v>
      </c>
      <c r="B1537" s="6" t="s">
        <v>4711</v>
      </c>
      <c r="C1537" s="6" t="s">
        <v>4712</v>
      </c>
      <c r="D1537" s="6" t="s">
        <v>77</v>
      </c>
      <c r="E1537" s="7" t="s">
        <v>23</v>
      </c>
      <c r="F1537" s="6">
        <v>85304</v>
      </c>
      <c r="G1537" s="6" t="s">
        <v>72</v>
      </c>
      <c r="H1537" s="6" t="s">
        <v>93</v>
      </c>
      <c r="I1537" s="6" t="s">
        <v>26</v>
      </c>
      <c r="J1537" s="6" t="b">
        <v>0</v>
      </c>
      <c r="K1537" s="6" t="s">
        <v>27</v>
      </c>
      <c r="L1537" s="6">
        <v>0</v>
      </c>
      <c r="M1537" s="6">
        <v>195</v>
      </c>
      <c r="N1537" s="8" t="str">
        <f t="shared" si="162"/>
        <v>0</v>
      </c>
      <c r="O1537" s="8">
        <f t="shared" si="163"/>
        <v>2340</v>
      </c>
      <c r="P1537" s="8">
        <f t="shared" si="164"/>
        <v>2340</v>
      </c>
      <c r="Q1537" s="8">
        <f t="shared" si="165"/>
        <v>0</v>
      </c>
      <c r="R1537" s="9">
        <f t="shared" si="166"/>
        <v>2340</v>
      </c>
      <c r="S1537" s="10">
        <f t="shared" si="167"/>
        <v>195</v>
      </c>
      <c r="T1537">
        <f t="shared" si="169"/>
        <v>195</v>
      </c>
      <c r="U1537">
        <f t="shared" si="168"/>
        <v>0</v>
      </c>
    </row>
    <row r="1538" spans="1:21" ht="14.25" customHeight="1" x14ac:dyDescent="0.35">
      <c r="A1538" s="6" t="s">
        <v>4713</v>
      </c>
      <c r="B1538" s="6" t="s">
        <v>4714</v>
      </c>
      <c r="C1538" s="6" t="s">
        <v>4715</v>
      </c>
      <c r="D1538" s="6" t="s">
        <v>165</v>
      </c>
      <c r="E1538" s="7" t="s">
        <v>23</v>
      </c>
      <c r="F1538" s="6">
        <v>85234</v>
      </c>
      <c r="G1538" s="6" t="s">
        <v>125</v>
      </c>
      <c r="H1538" s="6" t="s">
        <v>225</v>
      </c>
      <c r="I1538" s="6" t="s">
        <v>26</v>
      </c>
      <c r="J1538" s="6" t="b">
        <v>0</v>
      </c>
      <c r="K1538" s="6" t="s">
        <v>27</v>
      </c>
      <c r="L1538" s="6">
        <v>0</v>
      </c>
      <c r="M1538" s="6">
        <v>195</v>
      </c>
      <c r="N1538" s="8" t="str">
        <f t="shared" ref="N1538:N1601" si="170">IF(J1538=TRUE, 6.39*12, "0")</f>
        <v>0</v>
      </c>
      <c r="O1538" s="8">
        <f t="shared" ref="O1538:O1601" si="171">L1538+(M1538*12)+N1538</f>
        <v>2340</v>
      </c>
      <c r="P1538" s="8">
        <f t="shared" ref="P1538:P1601" si="172">IF(OR(K1538="Check",K1538="ACH"), O1538*0.97, O1538)</f>
        <v>2340</v>
      </c>
      <c r="Q1538" s="8">
        <f t="shared" ref="Q1538:Q1601" si="173">P1538-O1538</f>
        <v>0</v>
      </c>
      <c r="R1538" s="9">
        <f t="shared" ref="R1538:R1601" si="174">O1538-Q1538</f>
        <v>2340</v>
      </c>
      <c r="S1538" s="10">
        <f t="shared" ref="S1538:S1601" si="175">R1538/12</f>
        <v>195</v>
      </c>
      <c r="T1538">
        <f t="shared" si="169"/>
        <v>195</v>
      </c>
      <c r="U1538">
        <f t="shared" si="168"/>
        <v>0</v>
      </c>
    </row>
    <row r="1539" spans="1:21" ht="14.25" customHeight="1" x14ac:dyDescent="0.35">
      <c r="A1539" s="6" t="s">
        <v>4716</v>
      </c>
      <c r="B1539" s="6" t="s">
        <v>4717</v>
      </c>
      <c r="C1539" s="6" t="s">
        <v>4718</v>
      </c>
      <c r="D1539" s="6" t="s">
        <v>65</v>
      </c>
      <c r="E1539" s="7" t="s">
        <v>23</v>
      </c>
      <c r="F1539" s="6">
        <v>85205</v>
      </c>
      <c r="G1539" s="6" t="s">
        <v>66</v>
      </c>
      <c r="H1539" s="6" t="s">
        <v>67</v>
      </c>
      <c r="I1539" s="6" t="s">
        <v>26</v>
      </c>
      <c r="J1539" s="6" t="b">
        <v>0</v>
      </c>
      <c r="K1539" s="6" t="s">
        <v>27</v>
      </c>
      <c r="L1539" s="6">
        <v>0</v>
      </c>
      <c r="M1539" s="6">
        <v>195</v>
      </c>
      <c r="N1539" s="8" t="str">
        <f t="shared" si="170"/>
        <v>0</v>
      </c>
      <c r="O1539" s="8">
        <f t="shared" si="171"/>
        <v>2340</v>
      </c>
      <c r="P1539" s="8">
        <f t="shared" si="172"/>
        <v>2340</v>
      </c>
      <c r="Q1539" s="8">
        <f t="shared" si="173"/>
        <v>0</v>
      </c>
      <c r="R1539" s="9">
        <f t="shared" si="174"/>
        <v>2340</v>
      </c>
      <c r="S1539" s="10">
        <f t="shared" si="175"/>
        <v>195</v>
      </c>
      <c r="T1539">
        <f t="shared" si="169"/>
        <v>195</v>
      </c>
      <c r="U1539">
        <f t="shared" si="168"/>
        <v>0</v>
      </c>
    </row>
    <row r="1540" spans="1:21" ht="14.25" customHeight="1" x14ac:dyDescent="0.35">
      <c r="A1540" s="6" t="s">
        <v>4719</v>
      </c>
      <c r="B1540" s="6" t="s">
        <v>4720</v>
      </c>
      <c r="C1540" s="6" t="s">
        <v>4721</v>
      </c>
      <c r="D1540" s="6" t="s">
        <v>454</v>
      </c>
      <c r="E1540" s="7" t="s">
        <v>23</v>
      </c>
      <c r="F1540" s="6">
        <v>85395</v>
      </c>
      <c r="G1540" s="6" t="s">
        <v>38</v>
      </c>
      <c r="H1540" s="6" t="s">
        <v>378</v>
      </c>
      <c r="I1540" s="6" t="s">
        <v>110</v>
      </c>
      <c r="J1540" s="6" t="b">
        <v>0</v>
      </c>
      <c r="K1540" s="6" t="s">
        <v>27</v>
      </c>
      <c r="L1540" s="6">
        <v>0</v>
      </c>
      <c r="M1540" s="6">
        <v>195</v>
      </c>
      <c r="N1540" s="8" t="str">
        <f t="shared" si="170"/>
        <v>0</v>
      </c>
      <c r="O1540" s="8">
        <f t="shared" si="171"/>
        <v>2340</v>
      </c>
      <c r="P1540" s="8">
        <f t="shared" si="172"/>
        <v>2340</v>
      </c>
      <c r="Q1540" s="8">
        <f t="shared" si="173"/>
        <v>0</v>
      </c>
      <c r="R1540" s="9">
        <f t="shared" si="174"/>
        <v>2340</v>
      </c>
      <c r="S1540" s="10">
        <f t="shared" si="175"/>
        <v>195</v>
      </c>
      <c r="T1540">
        <f t="shared" si="169"/>
        <v>195</v>
      </c>
      <c r="U1540">
        <f t="shared" ref="U1540:U1603" si="176">SUM(T1540-M1540)</f>
        <v>0</v>
      </c>
    </row>
    <row r="1541" spans="1:21" ht="14.25" customHeight="1" x14ac:dyDescent="0.35">
      <c r="A1541" s="6" t="s">
        <v>4722</v>
      </c>
      <c r="B1541" s="6" t="s">
        <v>4723</v>
      </c>
      <c r="C1541" s="6" t="s">
        <v>4724</v>
      </c>
      <c r="D1541" s="6" t="s">
        <v>363</v>
      </c>
      <c r="E1541" s="7" t="s">
        <v>23</v>
      </c>
      <c r="F1541" s="6">
        <v>85284</v>
      </c>
      <c r="G1541" s="6" t="s">
        <v>24</v>
      </c>
      <c r="H1541" s="6" t="s">
        <v>365</v>
      </c>
      <c r="I1541" s="6" t="s">
        <v>26</v>
      </c>
      <c r="J1541" s="6" t="b">
        <v>0</v>
      </c>
      <c r="K1541" s="6" t="s">
        <v>27</v>
      </c>
      <c r="L1541" s="6">
        <v>0</v>
      </c>
      <c r="M1541" s="6">
        <v>195</v>
      </c>
      <c r="N1541" s="8" t="str">
        <f t="shared" si="170"/>
        <v>0</v>
      </c>
      <c r="O1541" s="8">
        <f t="shared" si="171"/>
        <v>2340</v>
      </c>
      <c r="P1541" s="8">
        <f t="shared" si="172"/>
        <v>2340</v>
      </c>
      <c r="Q1541" s="8">
        <f t="shared" si="173"/>
        <v>0</v>
      </c>
      <c r="R1541" s="9">
        <f t="shared" si="174"/>
        <v>2340</v>
      </c>
      <c r="S1541" s="10">
        <f t="shared" si="175"/>
        <v>195</v>
      </c>
      <c r="T1541">
        <f t="shared" si="169"/>
        <v>195</v>
      </c>
      <c r="U1541">
        <f t="shared" si="176"/>
        <v>0</v>
      </c>
    </row>
    <row r="1542" spans="1:21" ht="14.25" customHeight="1" x14ac:dyDescent="0.35">
      <c r="A1542" s="6" t="s">
        <v>4725</v>
      </c>
      <c r="B1542" s="6" t="s">
        <v>4726</v>
      </c>
      <c r="C1542" s="6" t="s">
        <v>4727</v>
      </c>
      <c r="D1542" s="6" t="s">
        <v>22</v>
      </c>
      <c r="E1542" s="7" t="s">
        <v>23</v>
      </c>
      <c r="F1542" s="6">
        <v>85226</v>
      </c>
      <c r="G1542" s="6" t="s">
        <v>24</v>
      </c>
      <c r="H1542" s="6" t="s">
        <v>161</v>
      </c>
      <c r="I1542" s="6" t="s">
        <v>26</v>
      </c>
      <c r="J1542" s="6" t="b">
        <v>0</v>
      </c>
      <c r="K1542" s="6" t="s">
        <v>27</v>
      </c>
      <c r="L1542" s="6">
        <v>0</v>
      </c>
      <c r="M1542" s="6">
        <v>195</v>
      </c>
      <c r="N1542" s="8" t="str">
        <f t="shared" si="170"/>
        <v>0</v>
      </c>
      <c r="O1542" s="8">
        <f t="shared" si="171"/>
        <v>2340</v>
      </c>
      <c r="P1542" s="8">
        <f t="shared" si="172"/>
        <v>2340</v>
      </c>
      <c r="Q1542" s="8">
        <f t="shared" si="173"/>
        <v>0</v>
      </c>
      <c r="R1542" s="9">
        <f t="shared" si="174"/>
        <v>2340</v>
      </c>
      <c r="S1542" s="10">
        <f t="shared" si="175"/>
        <v>195</v>
      </c>
      <c r="T1542">
        <f t="shared" si="169"/>
        <v>195</v>
      </c>
      <c r="U1542">
        <f t="shared" si="176"/>
        <v>0</v>
      </c>
    </row>
    <row r="1543" spans="1:21" ht="14.25" customHeight="1" x14ac:dyDescent="0.35">
      <c r="A1543" s="6" t="s">
        <v>4728</v>
      </c>
      <c r="B1543" s="6" t="s">
        <v>4729</v>
      </c>
      <c r="C1543" s="6" t="s">
        <v>4730</v>
      </c>
      <c r="D1543" s="6" t="s">
        <v>614</v>
      </c>
      <c r="E1543" s="7" t="s">
        <v>23</v>
      </c>
      <c r="F1543" s="6">
        <v>85268</v>
      </c>
      <c r="G1543" s="6" t="s">
        <v>45</v>
      </c>
      <c r="H1543" s="6" t="s">
        <v>50</v>
      </c>
      <c r="I1543" s="6" t="s">
        <v>26</v>
      </c>
      <c r="J1543" s="6" t="b">
        <v>0</v>
      </c>
      <c r="K1543" s="6" t="s">
        <v>27</v>
      </c>
      <c r="L1543" s="6">
        <v>0</v>
      </c>
      <c r="M1543" s="6">
        <v>195</v>
      </c>
      <c r="N1543" s="8" t="str">
        <f t="shared" si="170"/>
        <v>0</v>
      </c>
      <c r="O1543" s="8">
        <f t="shared" si="171"/>
        <v>2340</v>
      </c>
      <c r="P1543" s="8">
        <f t="shared" si="172"/>
        <v>2340</v>
      </c>
      <c r="Q1543" s="8">
        <f t="shared" si="173"/>
        <v>0</v>
      </c>
      <c r="R1543" s="9">
        <f t="shared" si="174"/>
        <v>2340</v>
      </c>
      <c r="S1543" s="10">
        <f t="shared" si="175"/>
        <v>195</v>
      </c>
      <c r="T1543">
        <f t="shared" si="169"/>
        <v>195</v>
      </c>
      <c r="U1543">
        <f t="shared" si="176"/>
        <v>0</v>
      </c>
    </row>
    <row r="1544" spans="1:21" ht="14.25" customHeight="1" x14ac:dyDescent="0.35">
      <c r="A1544" s="6" t="s">
        <v>4731</v>
      </c>
      <c r="B1544" s="6" t="s">
        <v>4732</v>
      </c>
      <c r="C1544" s="6" t="s">
        <v>4733</v>
      </c>
      <c r="D1544" s="6" t="s">
        <v>44</v>
      </c>
      <c r="E1544" s="7" t="s">
        <v>23</v>
      </c>
      <c r="F1544" s="6">
        <v>85023</v>
      </c>
      <c r="G1544" s="6" t="s">
        <v>72</v>
      </c>
      <c r="H1544" s="6" t="s">
        <v>93</v>
      </c>
      <c r="I1544" s="6" t="s">
        <v>26</v>
      </c>
      <c r="J1544" s="6" t="b">
        <v>0</v>
      </c>
      <c r="K1544" s="6" t="s">
        <v>27</v>
      </c>
      <c r="L1544" s="6">
        <v>0</v>
      </c>
      <c r="M1544" s="6">
        <v>195</v>
      </c>
      <c r="N1544" s="8" t="str">
        <f t="shared" si="170"/>
        <v>0</v>
      </c>
      <c r="O1544" s="8">
        <f t="shared" si="171"/>
        <v>2340</v>
      </c>
      <c r="P1544" s="8">
        <f t="shared" si="172"/>
        <v>2340</v>
      </c>
      <c r="Q1544" s="8">
        <f t="shared" si="173"/>
        <v>0</v>
      </c>
      <c r="R1544" s="9">
        <f t="shared" si="174"/>
        <v>2340</v>
      </c>
      <c r="S1544" s="10">
        <f t="shared" si="175"/>
        <v>195</v>
      </c>
      <c r="T1544">
        <f t="shared" si="169"/>
        <v>195</v>
      </c>
      <c r="U1544">
        <f t="shared" si="176"/>
        <v>0</v>
      </c>
    </row>
    <row r="1545" spans="1:21" ht="14.25" customHeight="1" x14ac:dyDescent="0.35">
      <c r="A1545" s="6" t="s">
        <v>4734</v>
      </c>
      <c r="B1545" s="6" t="s">
        <v>4735</v>
      </c>
      <c r="C1545" s="6" t="s">
        <v>4736</v>
      </c>
      <c r="D1545" s="6" t="s">
        <v>31</v>
      </c>
      <c r="E1545" s="7" t="s">
        <v>23</v>
      </c>
      <c r="F1545" s="6">
        <v>85254</v>
      </c>
      <c r="G1545" s="6" t="s">
        <v>45</v>
      </c>
      <c r="H1545" s="6" t="s">
        <v>169</v>
      </c>
      <c r="I1545" s="6" t="s">
        <v>26</v>
      </c>
      <c r="J1545" s="6" t="b">
        <v>0</v>
      </c>
      <c r="K1545" s="6" t="s">
        <v>27</v>
      </c>
      <c r="L1545" s="6">
        <v>0</v>
      </c>
      <c r="M1545" s="6">
        <v>195</v>
      </c>
      <c r="N1545" s="8" t="str">
        <f t="shared" si="170"/>
        <v>0</v>
      </c>
      <c r="O1545" s="8">
        <f t="shared" si="171"/>
        <v>2340</v>
      </c>
      <c r="P1545" s="8">
        <f t="shared" si="172"/>
        <v>2340</v>
      </c>
      <c r="Q1545" s="8">
        <f t="shared" si="173"/>
        <v>0</v>
      </c>
      <c r="R1545" s="9">
        <f t="shared" si="174"/>
        <v>2340</v>
      </c>
      <c r="S1545" s="10">
        <f t="shared" si="175"/>
        <v>195</v>
      </c>
      <c r="T1545">
        <f t="shared" si="169"/>
        <v>195</v>
      </c>
      <c r="U1545">
        <f t="shared" si="176"/>
        <v>0</v>
      </c>
    </row>
    <row r="1546" spans="1:21" ht="14.25" customHeight="1" x14ac:dyDescent="0.35">
      <c r="A1546" s="6" t="s">
        <v>4737</v>
      </c>
      <c r="B1546" s="6" t="s">
        <v>4738</v>
      </c>
      <c r="C1546" s="6" t="s">
        <v>4739</v>
      </c>
      <c r="D1546" s="6" t="s">
        <v>44</v>
      </c>
      <c r="E1546" s="7" t="s">
        <v>23</v>
      </c>
      <c r="F1546" s="6">
        <v>85050</v>
      </c>
      <c r="G1546" s="6" t="s">
        <v>173</v>
      </c>
      <c r="H1546" s="6" t="s">
        <v>169</v>
      </c>
      <c r="I1546" s="6" t="s">
        <v>26</v>
      </c>
      <c r="J1546" s="6" t="b">
        <v>0</v>
      </c>
      <c r="K1546" s="6" t="s">
        <v>27</v>
      </c>
      <c r="L1546" s="6">
        <v>0</v>
      </c>
      <c r="M1546" s="6">
        <v>195</v>
      </c>
      <c r="N1546" s="8" t="str">
        <f t="shared" si="170"/>
        <v>0</v>
      </c>
      <c r="O1546" s="8">
        <f t="shared" si="171"/>
        <v>2340</v>
      </c>
      <c r="P1546" s="8">
        <f t="shared" si="172"/>
        <v>2340</v>
      </c>
      <c r="Q1546" s="8">
        <f t="shared" si="173"/>
        <v>0</v>
      </c>
      <c r="R1546" s="9">
        <f t="shared" si="174"/>
        <v>2340</v>
      </c>
      <c r="S1546" s="10">
        <f t="shared" si="175"/>
        <v>195</v>
      </c>
      <c r="T1546">
        <f t="shared" ref="T1546:T1609" si="177">M1546</f>
        <v>195</v>
      </c>
      <c r="U1546">
        <f t="shared" si="176"/>
        <v>0</v>
      </c>
    </row>
    <row r="1547" spans="1:21" ht="14.25" customHeight="1" x14ac:dyDescent="0.35">
      <c r="A1547" s="6" t="s">
        <v>4740</v>
      </c>
      <c r="B1547" s="6" t="s">
        <v>4741</v>
      </c>
      <c r="C1547" s="6" t="s">
        <v>4742</v>
      </c>
      <c r="D1547" s="6" t="s">
        <v>165</v>
      </c>
      <c r="E1547" s="7" t="s">
        <v>23</v>
      </c>
      <c r="F1547" s="6">
        <v>85298</v>
      </c>
      <c r="G1547" s="6" t="s">
        <v>125</v>
      </c>
      <c r="H1547" s="6" t="s">
        <v>126</v>
      </c>
      <c r="I1547" s="6" t="s">
        <v>26</v>
      </c>
      <c r="J1547" s="6" t="b">
        <v>0</v>
      </c>
      <c r="K1547" s="6" t="s">
        <v>27</v>
      </c>
      <c r="L1547" s="6">
        <v>0</v>
      </c>
      <c r="M1547" s="6">
        <v>195</v>
      </c>
      <c r="N1547" s="8" t="str">
        <f t="shared" si="170"/>
        <v>0</v>
      </c>
      <c r="O1547" s="8">
        <f t="shared" si="171"/>
        <v>2340</v>
      </c>
      <c r="P1547" s="8">
        <f t="shared" si="172"/>
        <v>2340</v>
      </c>
      <c r="Q1547" s="8">
        <f t="shared" si="173"/>
        <v>0</v>
      </c>
      <c r="R1547" s="9">
        <f t="shared" si="174"/>
        <v>2340</v>
      </c>
      <c r="S1547" s="10">
        <f t="shared" si="175"/>
        <v>195</v>
      </c>
      <c r="T1547">
        <f t="shared" si="177"/>
        <v>195</v>
      </c>
      <c r="U1547">
        <f t="shared" si="176"/>
        <v>0</v>
      </c>
    </row>
    <row r="1548" spans="1:21" ht="14.25" customHeight="1" x14ac:dyDescent="0.35">
      <c r="A1548" s="6" t="s">
        <v>4743</v>
      </c>
      <c r="B1548" s="6" t="s">
        <v>4744</v>
      </c>
      <c r="C1548" s="6" t="s">
        <v>4745</v>
      </c>
      <c r="D1548" s="6" t="s">
        <v>31</v>
      </c>
      <c r="E1548" s="7" t="s">
        <v>23</v>
      </c>
      <c r="F1548" s="6">
        <v>85254</v>
      </c>
      <c r="G1548" s="6" t="s">
        <v>45</v>
      </c>
      <c r="H1548" s="6" t="s">
        <v>169</v>
      </c>
      <c r="I1548" s="6" t="s">
        <v>26</v>
      </c>
      <c r="J1548" s="6" t="b">
        <v>0</v>
      </c>
      <c r="K1548" s="6" t="s">
        <v>27</v>
      </c>
      <c r="L1548" s="6">
        <v>0</v>
      </c>
      <c r="M1548" s="6">
        <v>195</v>
      </c>
      <c r="N1548" s="8" t="str">
        <f t="shared" si="170"/>
        <v>0</v>
      </c>
      <c r="O1548" s="8">
        <f t="shared" si="171"/>
        <v>2340</v>
      </c>
      <c r="P1548" s="8">
        <f t="shared" si="172"/>
        <v>2340</v>
      </c>
      <c r="Q1548" s="8">
        <f t="shared" si="173"/>
        <v>0</v>
      </c>
      <c r="R1548" s="9">
        <f t="shared" si="174"/>
        <v>2340</v>
      </c>
      <c r="S1548" s="10">
        <f t="shared" si="175"/>
        <v>195</v>
      </c>
      <c r="T1548">
        <f t="shared" si="177"/>
        <v>195</v>
      </c>
      <c r="U1548">
        <f t="shared" si="176"/>
        <v>0</v>
      </c>
    </row>
    <row r="1549" spans="1:21" ht="14.25" customHeight="1" x14ac:dyDescent="0.35">
      <c r="A1549" s="6" t="s">
        <v>4746</v>
      </c>
      <c r="B1549" s="6" t="s">
        <v>4747</v>
      </c>
      <c r="C1549" s="6" t="s">
        <v>4748</v>
      </c>
      <c r="D1549" s="6" t="s">
        <v>165</v>
      </c>
      <c r="E1549" s="7" t="s">
        <v>23</v>
      </c>
      <c r="F1549" s="6">
        <v>85296</v>
      </c>
      <c r="G1549" s="6" t="s">
        <v>125</v>
      </c>
      <c r="H1549" s="6" t="s">
        <v>180</v>
      </c>
      <c r="I1549" s="6" t="s">
        <v>26</v>
      </c>
      <c r="J1549" s="6" t="b">
        <v>0</v>
      </c>
      <c r="K1549" s="6" t="s">
        <v>27</v>
      </c>
      <c r="L1549" s="6">
        <v>0</v>
      </c>
      <c r="M1549" s="6">
        <v>195</v>
      </c>
      <c r="N1549" s="8" t="str">
        <f t="shared" si="170"/>
        <v>0</v>
      </c>
      <c r="O1549" s="8">
        <f t="shared" si="171"/>
        <v>2340</v>
      </c>
      <c r="P1549" s="8">
        <f t="shared" si="172"/>
        <v>2340</v>
      </c>
      <c r="Q1549" s="8">
        <f t="shared" si="173"/>
        <v>0</v>
      </c>
      <c r="R1549" s="9">
        <f t="shared" si="174"/>
        <v>2340</v>
      </c>
      <c r="S1549" s="10">
        <f t="shared" si="175"/>
        <v>195</v>
      </c>
      <c r="T1549">
        <f t="shared" si="177"/>
        <v>195</v>
      </c>
      <c r="U1549">
        <f t="shared" si="176"/>
        <v>0</v>
      </c>
    </row>
    <row r="1550" spans="1:21" ht="14.25" customHeight="1" x14ac:dyDescent="0.35">
      <c r="A1550" s="6" t="s">
        <v>4749</v>
      </c>
      <c r="B1550" s="6" t="s">
        <v>4750</v>
      </c>
      <c r="C1550" s="6" t="s">
        <v>4751</v>
      </c>
      <c r="D1550" s="6" t="s">
        <v>31</v>
      </c>
      <c r="E1550" s="7" t="s">
        <v>23</v>
      </c>
      <c r="F1550" s="6">
        <v>85257</v>
      </c>
      <c r="G1550" s="6" t="s">
        <v>49</v>
      </c>
      <c r="H1550" s="6" t="s">
        <v>202</v>
      </c>
      <c r="I1550" s="6" t="s">
        <v>26</v>
      </c>
      <c r="J1550" s="6" t="b">
        <v>0</v>
      </c>
      <c r="K1550" s="6" t="s">
        <v>27</v>
      </c>
      <c r="L1550" s="6">
        <v>0</v>
      </c>
      <c r="M1550" s="6">
        <v>195</v>
      </c>
      <c r="N1550" s="8" t="str">
        <f t="shared" si="170"/>
        <v>0</v>
      </c>
      <c r="O1550" s="8">
        <f t="shared" si="171"/>
        <v>2340</v>
      </c>
      <c r="P1550" s="8">
        <f t="shared" si="172"/>
        <v>2340</v>
      </c>
      <c r="Q1550" s="8">
        <f t="shared" si="173"/>
        <v>0</v>
      </c>
      <c r="R1550" s="9">
        <f t="shared" si="174"/>
        <v>2340</v>
      </c>
      <c r="S1550" s="10">
        <f t="shared" si="175"/>
        <v>195</v>
      </c>
      <c r="T1550">
        <f t="shared" si="177"/>
        <v>195</v>
      </c>
      <c r="U1550">
        <f t="shared" si="176"/>
        <v>0</v>
      </c>
    </row>
    <row r="1551" spans="1:21" ht="14.25" customHeight="1" x14ac:dyDescent="0.35">
      <c r="A1551" s="6" t="s">
        <v>4752</v>
      </c>
      <c r="B1551" s="6" t="s">
        <v>4753</v>
      </c>
      <c r="C1551" s="6" t="s">
        <v>4754</v>
      </c>
      <c r="D1551" s="6" t="s">
        <v>65</v>
      </c>
      <c r="E1551" s="7" t="s">
        <v>23</v>
      </c>
      <c r="F1551" s="6">
        <v>85210</v>
      </c>
      <c r="G1551" s="6" t="s">
        <v>24</v>
      </c>
      <c r="I1551" s="6" t="s">
        <v>40</v>
      </c>
      <c r="J1551" s="6" t="b">
        <v>0</v>
      </c>
      <c r="K1551" s="6" t="s">
        <v>27</v>
      </c>
      <c r="L1551" s="6">
        <v>0</v>
      </c>
      <c r="M1551" s="6">
        <v>195</v>
      </c>
      <c r="N1551" s="8" t="str">
        <f t="shared" si="170"/>
        <v>0</v>
      </c>
      <c r="O1551" s="8">
        <f t="shared" si="171"/>
        <v>2340</v>
      </c>
      <c r="P1551" s="8">
        <f t="shared" si="172"/>
        <v>2340</v>
      </c>
      <c r="Q1551" s="8">
        <f t="shared" si="173"/>
        <v>0</v>
      </c>
      <c r="R1551" s="9">
        <f t="shared" si="174"/>
        <v>2340</v>
      </c>
      <c r="S1551" s="10">
        <f t="shared" si="175"/>
        <v>195</v>
      </c>
      <c r="T1551">
        <f t="shared" si="177"/>
        <v>195</v>
      </c>
      <c r="U1551">
        <f t="shared" si="176"/>
        <v>0</v>
      </c>
    </row>
    <row r="1552" spans="1:21" ht="14.25" customHeight="1" x14ac:dyDescent="0.35">
      <c r="A1552" s="6" t="s">
        <v>4755</v>
      </c>
      <c r="B1552" s="6" t="s">
        <v>4756</v>
      </c>
      <c r="C1552" s="6" t="s">
        <v>4757</v>
      </c>
      <c r="D1552" s="6" t="s">
        <v>241</v>
      </c>
      <c r="E1552" s="7" t="s">
        <v>23</v>
      </c>
      <c r="F1552" s="6">
        <v>85331</v>
      </c>
      <c r="G1552" s="6" t="s">
        <v>32</v>
      </c>
      <c r="H1552" s="6" t="s">
        <v>50</v>
      </c>
      <c r="I1552" s="6" t="s">
        <v>1423</v>
      </c>
      <c r="J1552" s="6" t="b">
        <v>0</v>
      </c>
      <c r="K1552" s="6" t="s">
        <v>27</v>
      </c>
      <c r="L1552" s="6">
        <v>0</v>
      </c>
      <c r="M1552" s="6">
        <v>195</v>
      </c>
      <c r="N1552" s="8" t="str">
        <f t="shared" si="170"/>
        <v>0</v>
      </c>
      <c r="O1552" s="8">
        <f t="shared" si="171"/>
        <v>2340</v>
      </c>
      <c r="P1552" s="8">
        <f t="shared" si="172"/>
        <v>2340</v>
      </c>
      <c r="Q1552" s="8">
        <f t="shared" si="173"/>
        <v>0</v>
      </c>
      <c r="R1552" s="9">
        <f t="shared" si="174"/>
        <v>2340</v>
      </c>
      <c r="S1552" s="10">
        <f t="shared" si="175"/>
        <v>195</v>
      </c>
      <c r="T1552">
        <f t="shared" si="177"/>
        <v>195</v>
      </c>
      <c r="U1552">
        <f t="shared" si="176"/>
        <v>0</v>
      </c>
    </row>
    <row r="1553" spans="1:21" ht="14.25" customHeight="1" x14ac:dyDescent="0.35">
      <c r="A1553" s="6" t="s">
        <v>4758</v>
      </c>
      <c r="B1553" s="6" t="s">
        <v>4759</v>
      </c>
      <c r="C1553" s="6" t="s">
        <v>4760</v>
      </c>
      <c r="D1553" s="6" t="s">
        <v>363</v>
      </c>
      <c r="E1553" s="7" t="s">
        <v>23</v>
      </c>
      <c r="F1553" s="6">
        <v>85283</v>
      </c>
      <c r="G1553" s="6" t="s">
        <v>364</v>
      </c>
      <c r="I1553" s="6" t="s">
        <v>57</v>
      </c>
      <c r="J1553" s="6" t="b">
        <v>0</v>
      </c>
      <c r="K1553" s="6" t="s">
        <v>27</v>
      </c>
      <c r="L1553" s="6">
        <v>0</v>
      </c>
      <c r="M1553" s="6">
        <v>195</v>
      </c>
      <c r="N1553" s="8" t="str">
        <f t="shared" si="170"/>
        <v>0</v>
      </c>
      <c r="O1553" s="8">
        <f t="shared" si="171"/>
        <v>2340</v>
      </c>
      <c r="P1553" s="8">
        <f t="shared" si="172"/>
        <v>2340</v>
      </c>
      <c r="Q1553" s="8">
        <f t="shared" si="173"/>
        <v>0</v>
      </c>
      <c r="R1553" s="9">
        <f t="shared" si="174"/>
        <v>2340</v>
      </c>
      <c r="S1553" s="10">
        <f t="shared" si="175"/>
        <v>195</v>
      </c>
      <c r="T1553">
        <f t="shared" si="177"/>
        <v>195</v>
      </c>
      <c r="U1553">
        <f t="shared" si="176"/>
        <v>0</v>
      </c>
    </row>
    <row r="1554" spans="1:21" ht="14.25" customHeight="1" x14ac:dyDescent="0.35">
      <c r="A1554" s="6" t="s">
        <v>4761</v>
      </c>
      <c r="B1554" s="6" t="s">
        <v>4762</v>
      </c>
      <c r="C1554" s="6" t="s">
        <v>4763</v>
      </c>
      <c r="D1554" s="6" t="s">
        <v>65</v>
      </c>
      <c r="E1554" s="7" t="s">
        <v>23</v>
      </c>
      <c r="F1554" s="6">
        <v>85204</v>
      </c>
      <c r="G1554" s="6" t="s">
        <v>125</v>
      </c>
      <c r="H1554" s="6" t="s">
        <v>225</v>
      </c>
      <c r="I1554" s="6" t="s">
        <v>26</v>
      </c>
      <c r="J1554" s="6" t="b">
        <v>0</v>
      </c>
      <c r="K1554" s="6" t="s">
        <v>27</v>
      </c>
      <c r="L1554" s="6">
        <v>0</v>
      </c>
      <c r="M1554" s="6">
        <v>195</v>
      </c>
      <c r="N1554" s="8" t="str">
        <f t="shared" si="170"/>
        <v>0</v>
      </c>
      <c r="O1554" s="8">
        <f t="shared" si="171"/>
        <v>2340</v>
      </c>
      <c r="P1554" s="8">
        <f t="shared" si="172"/>
        <v>2340</v>
      </c>
      <c r="Q1554" s="8">
        <f t="shared" si="173"/>
        <v>0</v>
      </c>
      <c r="R1554" s="9">
        <f t="shared" si="174"/>
        <v>2340</v>
      </c>
      <c r="S1554" s="10">
        <f t="shared" si="175"/>
        <v>195</v>
      </c>
      <c r="T1554">
        <f t="shared" si="177"/>
        <v>195</v>
      </c>
      <c r="U1554">
        <f t="shared" si="176"/>
        <v>0</v>
      </c>
    </row>
    <row r="1555" spans="1:21" ht="14.25" customHeight="1" x14ac:dyDescent="0.35">
      <c r="A1555" s="6" t="s">
        <v>4764</v>
      </c>
      <c r="B1555" s="6" t="s">
        <v>4765</v>
      </c>
      <c r="C1555" s="6" t="s">
        <v>4766</v>
      </c>
      <c r="D1555" s="6" t="s">
        <v>31</v>
      </c>
      <c r="E1555" s="7" t="s">
        <v>23</v>
      </c>
      <c r="F1555" s="6">
        <v>85266</v>
      </c>
      <c r="G1555" s="6" t="s">
        <v>32</v>
      </c>
      <c r="H1555" s="6" t="s">
        <v>50</v>
      </c>
      <c r="I1555" s="6" t="s">
        <v>40</v>
      </c>
      <c r="J1555" s="6" t="b">
        <v>0</v>
      </c>
      <c r="K1555" s="6" t="s">
        <v>27</v>
      </c>
      <c r="L1555" s="6">
        <v>0</v>
      </c>
      <c r="M1555" s="6">
        <v>195</v>
      </c>
      <c r="N1555" s="8" t="str">
        <f t="shared" si="170"/>
        <v>0</v>
      </c>
      <c r="O1555" s="8">
        <f t="shared" si="171"/>
        <v>2340</v>
      </c>
      <c r="P1555" s="8">
        <f t="shared" si="172"/>
        <v>2340</v>
      </c>
      <c r="Q1555" s="8">
        <f t="shared" si="173"/>
        <v>0</v>
      </c>
      <c r="R1555" s="9">
        <f t="shared" si="174"/>
        <v>2340</v>
      </c>
      <c r="S1555" s="10">
        <f t="shared" si="175"/>
        <v>195</v>
      </c>
      <c r="T1555">
        <f t="shared" si="177"/>
        <v>195</v>
      </c>
      <c r="U1555">
        <f t="shared" si="176"/>
        <v>0</v>
      </c>
    </row>
    <row r="1556" spans="1:21" ht="14.25" customHeight="1" x14ac:dyDescent="0.35">
      <c r="A1556" s="6" t="s">
        <v>4767</v>
      </c>
      <c r="B1556" s="6" t="s">
        <v>4768</v>
      </c>
      <c r="C1556" s="6" t="s">
        <v>4769</v>
      </c>
      <c r="D1556" s="6" t="s">
        <v>44</v>
      </c>
      <c r="E1556" s="7" t="s">
        <v>23</v>
      </c>
      <c r="F1556" s="6">
        <v>85054</v>
      </c>
      <c r="G1556" s="6" t="s">
        <v>32</v>
      </c>
      <c r="H1556" s="6" t="s">
        <v>169</v>
      </c>
      <c r="I1556" s="6" t="s">
        <v>26</v>
      </c>
      <c r="J1556" s="6" t="b">
        <v>0</v>
      </c>
      <c r="K1556" s="6" t="s">
        <v>27</v>
      </c>
      <c r="L1556" s="6">
        <v>0</v>
      </c>
      <c r="M1556" s="6">
        <v>195</v>
      </c>
      <c r="N1556" s="8" t="str">
        <f t="shared" si="170"/>
        <v>0</v>
      </c>
      <c r="O1556" s="8">
        <f t="shared" si="171"/>
        <v>2340</v>
      </c>
      <c r="P1556" s="8">
        <f t="shared" si="172"/>
        <v>2340</v>
      </c>
      <c r="Q1556" s="8">
        <f t="shared" si="173"/>
        <v>0</v>
      </c>
      <c r="R1556" s="9">
        <f t="shared" si="174"/>
        <v>2340</v>
      </c>
      <c r="S1556" s="10">
        <f t="shared" si="175"/>
        <v>195</v>
      </c>
      <c r="T1556">
        <f t="shared" si="177"/>
        <v>195</v>
      </c>
      <c r="U1556">
        <f t="shared" si="176"/>
        <v>0</v>
      </c>
    </row>
    <row r="1557" spans="1:21" ht="14.25" customHeight="1" x14ac:dyDescent="0.35">
      <c r="A1557" s="6" t="s">
        <v>4770</v>
      </c>
      <c r="B1557" s="6" t="s">
        <v>4771</v>
      </c>
      <c r="C1557" s="6" t="s">
        <v>4772</v>
      </c>
      <c r="D1557" s="6" t="s">
        <v>44</v>
      </c>
      <c r="E1557" s="7" t="s">
        <v>23</v>
      </c>
      <c r="F1557" s="6">
        <v>85020</v>
      </c>
      <c r="G1557" s="6" t="s">
        <v>173</v>
      </c>
      <c r="H1557" s="6" t="s">
        <v>33</v>
      </c>
      <c r="I1557" s="6" t="s">
        <v>61</v>
      </c>
      <c r="J1557" s="6" t="b">
        <v>0</v>
      </c>
      <c r="K1557" s="6" t="s">
        <v>27</v>
      </c>
      <c r="L1557" s="6">
        <v>0</v>
      </c>
      <c r="M1557" s="6">
        <v>195</v>
      </c>
      <c r="N1557" s="8" t="str">
        <f t="shared" si="170"/>
        <v>0</v>
      </c>
      <c r="O1557" s="8">
        <f t="shared" si="171"/>
        <v>2340</v>
      </c>
      <c r="P1557" s="8">
        <f t="shared" si="172"/>
        <v>2340</v>
      </c>
      <c r="Q1557" s="8">
        <f t="shared" si="173"/>
        <v>0</v>
      </c>
      <c r="R1557" s="9">
        <f t="shared" si="174"/>
        <v>2340</v>
      </c>
      <c r="S1557" s="10">
        <f t="shared" si="175"/>
        <v>195</v>
      </c>
      <c r="T1557">
        <f t="shared" si="177"/>
        <v>195</v>
      </c>
      <c r="U1557">
        <f t="shared" si="176"/>
        <v>0</v>
      </c>
    </row>
    <row r="1558" spans="1:21" ht="14.25" customHeight="1" x14ac:dyDescent="0.35">
      <c r="A1558" s="6" t="s">
        <v>4773</v>
      </c>
      <c r="B1558" s="6" t="s">
        <v>4774</v>
      </c>
      <c r="C1558" s="6" t="s">
        <v>4775</v>
      </c>
      <c r="D1558" s="6" t="s">
        <v>44</v>
      </c>
      <c r="E1558" s="7" t="s">
        <v>23</v>
      </c>
      <c r="F1558" s="6">
        <v>85029</v>
      </c>
      <c r="G1558" s="6" t="s">
        <v>72</v>
      </c>
      <c r="H1558" s="6" t="s">
        <v>93</v>
      </c>
      <c r="I1558" s="6" t="s">
        <v>26</v>
      </c>
      <c r="J1558" s="6" t="b">
        <v>0</v>
      </c>
      <c r="K1558" s="6" t="s">
        <v>27</v>
      </c>
      <c r="L1558" s="6">
        <v>0</v>
      </c>
      <c r="M1558" s="6">
        <v>195</v>
      </c>
      <c r="N1558" s="8" t="str">
        <f t="shared" si="170"/>
        <v>0</v>
      </c>
      <c r="O1558" s="8">
        <f t="shared" si="171"/>
        <v>2340</v>
      </c>
      <c r="P1558" s="8">
        <f t="shared" si="172"/>
        <v>2340</v>
      </c>
      <c r="Q1558" s="8">
        <f t="shared" si="173"/>
        <v>0</v>
      </c>
      <c r="R1558" s="9">
        <f t="shared" si="174"/>
        <v>2340</v>
      </c>
      <c r="S1558" s="10">
        <f t="shared" si="175"/>
        <v>195</v>
      </c>
      <c r="T1558">
        <f t="shared" si="177"/>
        <v>195</v>
      </c>
      <c r="U1558">
        <f t="shared" si="176"/>
        <v>0</v>
      </c>
    </row>
    <row r="1559" spans="1:21" ht="14.25" customHeight="1" x14ac:dyDescent="0.35">
      <c r="A1559" s="6" t="s">
        <v>4776</v>
      </c>
      <c r="B1559" s="6" t="s">
        <v>4777</v>
      </c>
      <c r="C1559" s="6" t="s">
        <v>4778</v>
      </c>
      <c r="D1559" s="6" t="s">
        <v>165</v>
      </c>
      <c r="E1559" s="7" t="s">
        <v>23</v>
      </c>
      <c r="F1559" s="6">
        <v>85234</v>
      </c>
      <c r="G1559" s="6" t="s">
        <v>125</v>
      </c>
      <c r="H1559" s="6" t="s">
        <v>225</v>
      </c>
      <c r="I1559" s="6" t="s">
        <v>26</v>
      </c>
      <c r="J1559" s="6" t="b">
        <v>0</v>
      </c>
      <c r="K1559" s="6" t="s">
        <v>27</v>
      </c>
      <c r="L1559" s="6">
        <v>0</v>
      </c>
      <c r="M1559" s="6">
        <v>195</v>
      </c>
      <c r="N1559" s="8" t="str">
        <f t="shared" si="170"/>
        <v>0</v>
      </c>
      <c r="O1559" s="8">
        <f t="shared" si="171"/>
        <v>2340</v>
      </c>
      <c r="P1559" s="8">
        <f t="shared" si="172"/>
        <v>2340</v>
      </c>
      <c r="Q1559" s="8">
        <f t="shared" si="173"/>
        <v>0</v>
      </c>
      <c r="R1559" s="9">
        <f t="shared" si="174"/>
        <v>2340</v>
      </c>
      <c r="S1559" s="10">
        <f t="shared" si="175"/>
        <v>195</v>
      </c>
      <c r="T1559">
        <f t="shared" si="177"/>
        <v>195</v>
      </c>
      <c r="U1559">
        <f t="shared" si="176"/>
        <v>0</v>
      </c>
    </row>
    <row r="1560" spans="1:21" ht="14.25" customHeight="1" x14ac:dyDescent="0.35">
      <c r="A1560" s="6" t="s">
        <v>4779</v>
      </c>
      <c r="B1560" s="6" t="s">
        <v>4780</v>
      </c>
      <c r="C1560" s="6" t="s">
        <v>4781</v>
      </c>
      <c r="D1560" s="6" t="s">
        <v>77</v>
      </c>
      <c r="E1560" s="7" t="s">
        <v>23</v>
      </c>
      <c r="F1560" s="6">
        <v>85308</v>
      </c>
      <c r="G1560" s="6" t="s">
        <v>78</v>
      </c>
      <c r="H1560" s="6" t="s">
        <v>79</v>
      </c>
      <c r="I1560" s="6" t="s">
        <v>26</v>
      </c>
      <c r="J1560" s="6" t="b">
        <v>0</v>
      </c>
      <c r="K1560" s="6" t="s">
        <v>27</v>
      </c>
      <c r="L1560" s="6">
        <v>0</v>
      </c>
      <c r="M1560" s="6">
        <v>195</v>
      </c>
      <c r="N1560" s="8" t="str">
        <f t="shared" si="170"/>
        <v>0</v>
      </c>
      <c r="O1560" s="8">
        <f t="shared" si="171"/>
        <v>2340</v>
      </c>
      <c r="P1560" s="8">
        <f t="shared" si="172"/>
        <v>2340</v>
      </c>
      <c r="Q1560" s="8">
        <f t="shared" si="173"/>
        <v>0</v>
      </c>
      <c r="R1560" s="9">
        <f t="shared" si="174"/>
        <v>2340</v>
      </c>
      <c r="S1560" s="10">
        <f t="shared" si="175"/>
        <v>195</v>
      </c>
      <c r="T1560">
        <f t="shared" si="177"/>
        <v>195</v>
      </c>
      <c r="U1560">
        <f t="shared" si="176"/>
        <v>0</v>
      </c>
    </row>
    <row r="1561" spans="1:21" ht="14.25" customHeight="1" x14ac:dyDescent="0.35">
      <c r="A1561" s="6" t="s">
        <v>4782</v>
      </c>
      <c r="B1561" s="6" t="s">
        <v>4783</v>
      </c>
      <c r="C1561" s="6" t="s">
        <v>4784</v>
      </c>
      <c r="D1561" s="6" t="s">
        <v>248</v>
      </c>
      <c r="E1561" s="7" t="s">
        <v>23</v>
      </c>
      <c r="F1561" s="6">
        <v>85339</v>
      </c>
      <c r="G1561" s="6" t="s">
        <v>213</v>
      </c>
      <c r="H1561" s="6" t="s">
        <v>39</v>
      </c>
      <c r="I1561" s="6" t="s">
        <v>26</v>
      </c>
      <c r="J1561" s="6" t="b">
        <v>0</v>
      </c>
      <c r="K1561" s="6" t="s">
        <v>27</v>
      </c>
      <c r="L1561" s="6">
        <v>0</v>
      </c>
      <c r="M1561" s="6">
        <v>195</v>
      </c>
      <c r="N1561" s="8" t="str">
        <f t="shared" si="170"/>
        <v>0</v>
      </c>
      <c r="O1561" s="8">
        <f t="shared" si="171"/>
        <v>2340</v>
      </c>
      <c r="P1561" s="8">
        <f t="shared" si="172"/>
        <v>2340</v>
      </c>
      <c r="Q1561" s="8">
        <f t="shared" si="173"/>
        <v>0</v>
      </c>
      <c r="R1561" s="9">
        <f t="shared" si="174"/>
        <v>2340</v>
      </c>
      <c r="S1561" s="10">
        <f t="shared" si="175"/>
        <v>195</v>
      </c>
      <c r="T1561">
        <f t="shared" si="177"/>
        <v>195</v>
      </c>
      <c r="U1561">
        <f t="shared" si="176"/>
        <v>0</v>
      </c>
    </row>
    <row r="1562" spans="1:21" ht="14.25" customHeight="1" x14ac:dyDescent="0.35">
      <c r="A1562" s="6" t="s">
        <v>4785</v>
      </c>
      <c r="B1562" s="6" t="s">
        <v>4786</v>
      </c>
      <c r="C1562" s="6" t="s">
        <v>4787</v>
      </c>
      <c r="D1562" s="6" t="s">
        <v>77</v>
      </c>
      <c r="E1562" s="7" t="s">
        <v>23</v>
      </c>
      <c r="F1562" s="6">
        <v>85308</v>
      </c>
      <c r="G1562" s="6" t="s">
        <v>78</v>
      </c>
      <c r="H1562" s="6" t="s">
        <v>268</v>
      </c>
      <c r="I1562" s="6" t="s">
        <v>110</v>
      </c>
      <c r="J1562" s="6" t="b">
        <v>0</v>
      </c>
      <c r="K1562" s="6" t="s">
        <v>27</v>
      </c>
      <c r="L1562" s="6">
        <v>0</v>
      </c>
      <c r="M1562" s="6">
        <v>195</v>
      </c>
      <c r="N1562" s="8" t="str">
        <f t="shared" si="170"/>
        <v>0</v>
      </c>
      <c r="O1562" s="8">
        <f t="shared" si="171"/>
        <v>2340</v>
      </c>
      <c r="P1562" s="8">
        <f t="shared" si="172"/>
        <v>2340</v>
      </c>
      <c r="Q1562" s="8">
        <f t="shared" si="173"/>
        <v>0</v>
      </c>
      <c r="R1562" s="9">
        <f t="shared" si="174"/>
        <v>2340</v>
      </c>
      <c r="S1562" s="10">
        <f t="shared" si="175"/>
        <v>195</v>
      </c>
      <c r="T1562">
        <f t="shared" si="177"/>
        <v>195</v>
      </c>
      <c r="U1562">
        <f t="shared" si="176"/>
        <v>0</v>
      </c>
    </row>
    <row r="1563" spans="1:21" ht="14.25" customHeight="1" x14ac:dyDescent="0.35">
      <c r="A1563" s="6" t="s">
        <v>4788</v>
      </c>
      <c r="B1563" s="6" t="s">
        <v>4789</v>
      </c>
      <c r="C1563" s="6" t="s">
        <v>4790</v>
      </c>
      <c r="D1563" s="6" t="s">
        <v>206</v>
      </c>
      <c r="E1563" s="7" t="s">
        <v>23</v>
      </c>
      <c r="F1563" s="6">
        <v>85119</v>
      </c>
      <c r="G1563" s="6" t="s">
        <v>66</v>
      </c>
      <c r="H1563" s="6" t="s">
        <v>67</v>
      </c>
      <c r="I1563" s="6" t="s">
        <v>26</v>
      </c>
      <c r="J1563" s="6" t="b">
        <v>0</v>
      </c>
      <c r="K1563" s="6" t="s">
        <v>27</v>
      </c>
      <c r="L1563" s="6">
        <v>0</v>
      </c>
      <c r="M1563" s="6">
        <v>195</v>
      </c>
      <c r="N1563" s="8" t="str">
        <f t="shared" si="170"/>
        <v>0</v>
      </c>
      <c r="O1563" s="8">
        <f t="shared" si="171"/>
        <v>2340</v>
      </c>
      <c r="P1563" s="8">
        <f t="shared" si="172"/>
        <v>2340</v>
      </c>
      <c r="Q1563" s="8">
        <f t="shared" si="173"/>
        <v>0</v>
      </c>
      <c r="R1563" s="9">
        <f t="shared" si="174"/>
        <v>2340</v>
      </c>
      <c r="S1563" s="10">
        <f t="shared" si="175"/>
        <v>195</v>
      </c>
      <c r="T1563">
        <f t="shared" si="177"/>
        <v>195</v>
      </c>
      <c r="U1563">
        <f t="shared" si="176"/>
        <v>0</v>
      </c>
    </row>
    <row r="1564" spans="1:21" ht="14.25" customHeight="1" x14ac:dyDescent="0.35">
      <c r="A1564" s="6" t="s">
        <v>4791</v>
      </c>
      <c r="B1564" s="6" t="s">
        <v>4792</v>
      </c>
      <c r="C1564" s="6" t="s">
        <v>4793</v>
      </c>
      <c r="D1564" s="6" t="s">
        <v>165</v>
      </c>
      <c r="E1564" s="7" t="s">
        <v>23</v>
      </c>
      <c r="F1564" s="6">
        <v>85298</v>
      </c>
      <c r="G1564" s="6" t="s">
        <v>125</v>
      </c>
      <c r="I1564" s="6" t="s">
        <v>26</v>
      </c>
      <c r="J1564" s="6" t="b">
        <v>0</v>
      </c>
      <c r="K1564" s="6" t="s">
        <v>27</v>
      </c>
      <c r="L1564" s="6">
        <v>0</v>
      </c>
      <c r="M1564" s="6">
        <v>195</v>
      </c>
      <c r="N1564" s="8" t="str">
        <f t="shared" si="170"/>
        <v>0</v>
      </c>
      <c r="O1564" s="8">
        <f t="shared" si="171"/>
        <v>2340</v>
      </c>
      <c r="P1564" s="8">
        <f t="shared" si="172"/>
        <v>2340</v>
      </c>
      <c r="Q1564" s="8">
        <f t="shared" si="173"/>
        <v>0</v>
      </c>
      <c r="R1564" s="9">
        <f t="shared" si="174"/>
        <v>2340</v>
      </c>
      <c r="S1564" s="10">
        <f t="shared" si="175"/>
        <v>195</v>
      </c>
      <c r="T1564">
        <f t="shared" si="177"/>
        <v>195</v>
      </c>
      <c r="U1564">
        <f t="shared" si="176"/>
        <v>0</v>
      </c>
    </row>
    <row r="1565" spans="1:21" ht="14.25" customHeight="1" x14ac:dyDescent="0.35">
      <c r="A1565" s="6" t="s">
        <v>4794</v>
      </c>
      <c r="B1565" s="6" t="s">
        <v>4795</v>
      </c>
      <c r="C1565" s="6" t="s">
        <v>4796</v>
      </c>
      <c r="D1565" s="6" t="s">
        <v>31</v>
      </c>
      <c r="E1565" s="7" t="s">
        <v>23</v>
      </c>
      <c r="F1565" s="6">
        <v>85259</v>
      </c>
      <c r="G1565" s="6" t="s">
        <v>45</v>
      </c>
      <c r="H1565" s="6" t="s">
        <v>169</v>
      </c>
      <c r="I1565" s="6" t="s">
        <v>26</v>
      </c>
      <c r="J1565" s="6" t="b">
        <v>0</v>
      </c>
      <c r="K1565" s="6" t="s">
        <v>27</v>
      </c>
      <c r="L1565" s="6">
        <v>0</v>
      </c>
      <c r="M1565" s="6">
        <v>195</v>
      </c>
      <c r="N1565" s="8" t="str">
        <f t="shared" si="170"/>
        <v>0</v>
      </c>
      <c r="O1565" s="8">
        <f t="shared" si="171"/>
        <v>2340</v>
      </c>
      <c r="P1565" s="8">
        <f t="shared" si="172"/>
        <v>2340</v>
      </c>
      <c r="Q1565" s="8">
        <f t="shared" si="173"/>
        <v>0</v>
      </c>
      <c r="R1565" s="9">
        <f t="shared" si="174"/>
        <v>2340</v>
      </c>
      <c r="S1565" s="10">
        <f t="shared" si="175"/>
        <v>195</v>
      </c>
      <c r="T1565">
        <f t="shared" si="177"/>
        <v>195</v>
      </c>
      <c r="U1565">
        <f t="shared" si="176"/>
        <v>0</v>
      </c>
    </row>
    <row r="1566" spans="1:21" ht="14.25" customHeight="1" x14ac:dyDescent="0.35">
      <c r="A1566" s="6" t="s">
        <v>4797</v>
      </c>
      <c r="B1566" s="6" t="s">
        <v>4798</v>
      </c>
      <c r="C1566" s="6" t="s">
        <v>4799</v>
      </c>
      <c r="D1566" s="6" t="s">
        <v>363</v>
      </c>
      <c r="E1566" s="7" t="s">
        <v>23</v>
      </c>
      <c r="F1566" s="6">
        <v>85284</v>
      </c>
      <c r="G1566" s="6" t="s">
        <v>24</v>
      </c>
      <c r="H1566" s="6" t="s">
        <v>25</v>
      </c>
      <c r="I1566" s="6" t="s">
        <v>26</v>
      </c>
      <c r="J1566" s="6" t="b">
        <v>0</v>
      </c>
      <c r="K1566" s="6" t="s">
        <v>27</v>
      </c>
      <c r="L1566" s="6">
        <v>0</v>
      </c>
      <c r="M1566" s="6">
        <v>195</v>
      </c>
      <c r="N1566" s="8" t="str">
        <f t="shared" si="170"/>
        <v>0</v>
      </c>
      <c r="O1566" s="8">
        <f t="shared" si="171"/>
        <v>2340</v>
      </c>
      <c r="P1566" s="8">
        <f t="shared" si="172"/>
        <v>2340</v>
      </c>
      <c r="Q1566" s="8">
        <f t="shared" si="173"/>
        <v>0</v>
      </c>
      <c r="R1566" s="9">
        <f t="shared" si="174"/>
        <v>2340</v>
      </c>
      <c r="S1566" s="10">
        <f t="shared" si="175"/>
        <v>195</v>
      </c>
      <c r="T1566">
        <f t="shared" si="177"/>
        <v>195</v>
      </c>
      <c r="U1566">
        <f t="shared" si="176"/>
        <v>0</v>
      </c>
    </row>
    <row r="1567" spans="1:21" ht="14.25" customHeight="1" x14ac:dyDescent="0.35">
      <c r="A1567" s="6" t="s">
        <v>4800</v>
      </c>
      <c r="B1567" s="6" t="s">
        <v>4801</v>
      </c>
      <c r="C1567" s="6" t="s">
        <v>4802</v>
      </c>
      <c r="D1567" s="6" t="s">
        <v>31</v>
      </c>
      <c r="E1567" s="7" t="s">
        <v>23</v>
      </c>
      <c r="F1567" s="6">
        <v>85254</v>
      </c>
      <c r="G1567" s="6" t="s">
        <v>45</v>
      </c>
      <c r="H1567" s="6" t="s">
        <v>291</v>
      </c>
      <c r="I1567" s="6" t="s">
        <v>26</v>
      </c>
      <c r="J1567" s="6" t="b">
        <v>0</v>
      </c>
      <c r="K1567" s="6" t="s">
        <v>27</v>
      </c>
      <c r="L1567" s="6">
        <v>0</v>
      </c>
      <c r="M1567" s="6">
        <v>195</v>
      </c>
      <c r="N1567" s="8" t="str">
        <f t="shared" si="170"/>
        <v>0</v>
      </c>
      <c r="O1567" s="8">
        <f t="shared" si="171"/>
        <v>2340</v>
      </c>
      <c r="P1567" s="8">
        <f t="shared" si="172"/>
        <v>2340</v>
      </c>
      <c r="Q1567" s="8">
        <f t="shared" si="173"/>
        <v>0</v>
      </c>
      <c r="R1567" s="9">
        <f t="shared" si="174"/>
        <v>2340</v>
      </c>
      <c r="S1567" s="10">
        <f t="shared" si="175"/>
        <v>195</v>
      </c>
      <c r="T1567">
        <f t="shared" si="177"/>
        <v>195</v>
      </c>
      <c r="U1567">
        <f t="shared" si="176"/>
        <v>0</v>
      </c>
    </row>
    <row r="1568" spans="1:21" ht="14.25" customHeight="1" x14ac:dyDescent="0.35">
      <c r="A1568" s="6" t="s">
        <v>4803</v>
      </c>
      <c r="B1568" s="6" t="s">
        <v>4804</v>
      </c>
      <c r="C1568" s="6" t="s">
        <v>4805</v>
      </c>
      <c r="D1568" s="6" t="s">
        <v>65</v>
      </c>
      <c r="E1568" s="7" t="s">
        <v>23</v>
      </c>
      <c r="F1568" s="6">
        <v>85209</v>
      </c>
      <c r="G1568" s="6" t="s">
        <v>125</v>
      </c>
      <c r="H1568" s="6" t="s">
        <v>180</v>
      </c>
      <c r="I1568" s="6" t="s">
        <v>26</v>
      </c>
      <c r="J1568" s="6" t="b">
        <v>0</v>
      </c>
      <c r="K1568" s="6" t="s">
        <v>27</v>
      </c>
      <c r="L1568" s="6">
        <v>0</v>
      </c>
      <c r="M1568" s="6">
        <v>195</v>
      </c>
      <c r="N1568" s="8" t="str">
        <f t="shared" si="170"/>
        <v>0</v>
      </c>
      <c r="O1568" s="8">
        <f t="shared" si="171"/>
        <v>2340</v>
      </c>
      <c r="P1568" s="8">
        <f t="shared" si="172"/>
        <v>2340</v>
      </c>
      <c r="Q1568" s="8">
        <f t="shared" si="173"/>
        <v>0</v>
      </c>
      <c r="R1568" s="9">
        <f t="shared" si="174"/>
        <v>2340</v>
      </c>
      <c r="S1568" s="10">
        <f t="shared" si="175"/>
        <v>195</v>
      </c>
      <c r="T1568">
        <f t="shared" si="177"/>
        <v>195</v>
      </c>
      <c r="U1568">
        <f t="shared" si="176"/>
        <v>0</v>
      </c>
    </row>
    <row r="1569" spans="1:21" ht="14.25" customHeight="1" x14ac:dyDescent="0.35">
      <c r="A1569" s="6" t="s">
        <v>4806</v>
      </c>
      <c r="B1569" s="6" t="s">
        <v>4807</v>
      </c>
      <c r="C1569" s="6" t="s">
        <v>4808</v>
      </c>
      <c r="D1569" s="6" t="s">
        <v>44</v>
      </c>
      <c r="E1569" s="7" t="s">
        <v>23</v>
      </c>
      <c r="F1569" s="6">
        <v>85027</v>
      </c>
      <c r="G1569" s="6" t="s">
        <v>78</v>
      </c>
      <c r="H1569" s="6" t="s">
        <v>268</v>
      </c>
      <c r="I1569" s="6" t="s">
        <v>110</v>
      </c>
      <c r="J1569" s="6" t="b">
        <v>0</v>
      </c>
      <c r="K1569" s="6" t="s">
        <v>27</v>
      </c>
      <c r="L1569" s="6">
        <v>0</v>
      </c>
      <c r="M1569" s="6">
        <v>195</v>
      </c>
      <c r="N1569" s="8" t="str">
        <f t="shared" si="170"/>
        <v>0</v>
      </c>
      <c r="O1569" s="8">
        <f t="shared" si="171"/>
        <v>2340</v>
      </c>
      <c r="P1569" s="8">
        <f t="shared" si="172"/>
        <v>2340</v>
      </c>
      <c r="Q1569" s="8">
        <f t="shared" si="173"/>
        <v>0</v>
      </c>
      <c r="R1569" s="9">
        <f t="shared" si="174"/>
        <v>2340</v>
      </c>
      <c r="S1569" s="10">
        <f t="shared" si="175"/>
        <v>195</v>
      </c>
      <c r="T1569">
        <f t="shared" si="177"/>
        <v>195</v>
      </c>
      <c r="U1569">
        <f t="shared" si="176"/>
        <v>0</v>
      </c>
    </row>
    <row r="1570" spans="1:21" ht="14.25" customHeight="1" x14ac:dyDescent="0.35">
      <c r="A1570" s="6" t="s">
        <v>4809</v>
      </c>
      <c r="B1570" s="6" t="s">
        <v>4810</v>
      </c>
      <c r="C1570" s="6" t="s">
        <v>4811</v>
      </c>
      <c r="D1570" s="6" t="s">
        <v>22</v>
      </c>
      <c r="E1570" s="7" t="s">
        <v>23</v>
      </c>
      <c r="F1570" s="6">
        <v>85225</v>
      </c>
      <c r="G1570" s="6" t="s">
        <v>24</v>
      </c>
      <c r="H1570" s="6" t="s">
        <v>25</v>
      </c>
      <c r="I1570" s="6" t="s">
        <v>26</v>
      </c>
      <c r="J1570" s="6" t="b">
        <v>0</v>
      </c>
      <c r="K1570" s="6" t="s">
        <v>27</v>
      </c>
      <c r="L1570" s="6">
        <v>0</v>
      </c>
      <c r="M1570" s="6">
        <v>195</v>
      </c>
      <c r="N1570" s="8" t="str">
        <f t="shared" si="170"/>
        <v>0</v>
      </c>
      <c r="O1570" s="8">
        <f t="shared" si="171"/>
        <v>2340</v>
      </c>
      <c r="P1570" s="8">
        <f t="shared" si="172"/>
        <v>2340</v>
      </c>
      <c r="Q1570" s="8">
        <f t="shared" si="173"/>
        <v>0</v>
      </c>
      <c r="R1570" s="9">
        <f t="shared" si="174"/>
        <v>2340</v>
      </c>
      <c r="S1570" s="10">
        <f t="shared" si="175"/>
        <v>195</v>
      </c>
      <c r="T1570">
        <f t="shared" si="177"/>
        <v>195</v>
      </c>
      <c r="U1570">
        <f t="shared" si="176"/>
        <v>0</v>
      </c>
    </row>
    <row r="1571" spans="1:21" ht="14.25" customHeight="1" x14ac:dyDescent="0.35">
      <c r="A1571" s="6" t="s">
        <v>4812</v>
      </c>
      <c r="B1571" s="6" t="s">
        <v>4813</v>
      </c>
      <c r="C1571" s="6" t="s">
        <v>4814</v>
      </c>
      <c r="D1571" s="6" t="s">
        <v>22</v>
      </c>
      <c r="E1571" s="7" t="s">
        <v>23</v>
      </c>
      <c r="F1571" s="6">
        <v>85226</v>
      </c>
      <c r="G1571" s="6" t="s">
        <v>24</v>
      </c>
      <c r="H1571" s="6" t="s">
        <v>161</v>
      </c>
      <c r="I1571" s="6" t="s">
        <v>26</v>
      </c>
      <c r="J1571" s="6" t="b">
        <v>0</v>
      </c>
      <c r="K1571" s="6" t="s">
        <v>27</v>
      </c>
      <c r="L1571" s="6">
        <v>0</v>
      </c>
      <c r="M1571" s="6">
        <v>195</v>
      </c>
      <c r="N1571" s="8" t="str">
        <f t="shared" si="170"/>
        <v>0</v>
      </c>
      <c r="O1571" s="8">
        <f t="shared" si="171"/>
        <v>2340</v>
      </c>
      <c r="P1571" s="8">
        <f t="shared" si="172"/>
        <v>2340</v>
      </c>
      <c r="Q1571" s="8">
        <f t="shared" si="173"/>
        <v>0</v>
      </c>
      <c r="R1571" s="9">
        <f t="shared" si="174"/>
        <v>2340</v>
      </c>
      <c r="S1571" s="10">
        <f t="shared" si="175"/>
        <v>195</v>
      </c>
      <c r="T1571">
        <f t="shared" si="177"/>
        <v>195</v>
      </c>
      <c r="U1571">
        <f t="shared" si="176"/>
        <v>0</v>
      </c>
    </row>
    <row r="1572" spans="1:21" ht="14.25" customHeight="1" x14ac:dyDescent="0.35">
      <c r="A1572" s="6" t="s">
        <v>4815</v>
      </c>
      <c r="B1572" s="6" t="s">
        <v>4816</v>
      </c>
      <c r="C1572" s="6" t="s">
        <v>4817</v>
      </c>
      <c r="D1572" s="6" t="s">
        <v>44</v>
      </c>
      <c r="E1572" s="7" t="s">
        <v>23</v>
      </c>
      <c r="F1572" s="6">
        <v>85015</v>
      </c>
      <c r="G1572" s="6" t="s">
        <v>213</v>
      </c>
      <c r="H1572" s="6" t="s">
        <v>202</v>
      </c>
      <c r="I1572" s="6" t="s">
        <v>26</v>
      </c>
      <c r="J1572" s="6" t="b">
        <v>0</v>
      </c>
      <c r="K1572" s="6" t="s">
        <v>27</v>
      </c>
      <c r="L1572" s="6">
        <v>0</v>
      </c>
      <c r="M1572" s="6">
        <v>195</v>
      </c>
      <c r="N1572" s="8" t="str">
        <f t="shared" si="170"/>
        <v>0</v>
      </c>
      <c r="O1572" s="8">
        <f t="shared" si="171"/>
        <v>2340</v>
      </c>
      <c r="P1572" s="8">
        <f t="shared" si="172"/>
        <v>2340</v>
      </c>
      <c r="Q1572" s="8">
        <f t="shared" si="173"/>
        <v>0</v>
      </c>
      <c r="R1572" s="9">
        <f t="shared" si="174"/>
        <v>2340</v>
      </c>
      <c r="S1572" s="10">
        <f t="shared" si="175"/>
        <v>195</v>
      </c>
      <c r="T1572">
        <f t="shared" si="177"/>
        <v>195</v>
      </c>
      <c r="U1572">
        <f t="shared" si="176"/>
        <v>0</v>
      </c>
    </row>
    <row r="1573" spans="1:21" ht="14.25" customHeight="1" x14ac:dyDescent="0.35">
      <c r="A1573" s="6" t="s">
        <v>4818</v>
      </c>
      <c r="B1573" s="6" t="s">
        <v>4819</v>
      </c>
      <c r="C1573" s="6" t="s">
        <v>4820</v>
      </c>
      <c r="D1573" s="6" t="s">
        <v>44</v>
      </c>
      <c r="E1573" s="7" t="s">
        <v>23</v>
      </c>
      <c r="F1573" s="6">
        <v>85007</v>
      </c>
      <c r="G1573" s="6" t="s">
        <v>213</v>
      </c>
      <c r="H1573" s="6" t="s">
        <v>202</v>
      </c>
      <c r="I1573" s="6" t="s">
        <v>26</v>
      </c>
      <c r="J1573" s="6" t="b">
        <v>0</v>
      </c>
      <c r="K1573" s="6" t="s">
        <v>27</v>
      </c>
      <c r="L1573" s="6">
        <v>0</v>
      </c>
      <c r="M1573" s="6">
        <v>195</v>
      </c>
      <c r="N1573" s="8" t="str">
        <f t="shared" si="170"/>
        <v>0</v>
      </c>
      <c r="O1573" s="8">
        <f t="shared" si="171"/>
        <v>2340</v>
      </c>
      <c r="P1573" s="8">
        <f t="shared" si="172"/>
        <v>2340</v>
      </c>
      <c r="Q1573" s="8">
        <f t="shared" si="173"/>
        <v>0</v>
      </c>
      <c r="R1573" s="9">
        <f t="shared" si="174"/>
        <v>2340</v>
      </c>
      <c r="S1573" s="10">
        <f t="shared" si="175"/>
        <v>195</v>
      </c>
      <c r="T1573">
        <f t="shared" si="177"/>
        <v>195</v>
      </c>
      <c r="U1573">
        <f t="shared" si="176"/>
        <v>0</v>
      </c>
    </row>
    <row r="1574" spans="1:21" ht="14.25" customHeight="1" x14ac:dyDescent="0.35">
      <c r="A1574" s="6" t="s">
        <v>4821</v>
      </c>
      <c r="B1574" s="6" t="s">
        <v>4822</v>
      </c>
      <c r="C1574" s="6" t="s">
        <v>4823</v>
      </c>
      <c r="D1574" s="6" t="s">
        <v>165</v>
      </c>
      <c r="E1574" s="7" t="s">
        <v>23</v>
      </c>
      <c r="F1574" s="6">
        <v>85234</v>
      </c>
      <c r="G1574" s="6" t="s">
        <v>125</v>
      </c>
      <c r="I1574" s="6" t="s">
        <v>26</v>
      </c>
      <c r="J1574" s="6" t="b">
        <v>0</v>
      </c>
      <c r="K1574" s="6" t="s">
        <v>27</v>
      </c>
      <c r="L1574" s="6">
        <v>0</v>
      </c>
      <c r="M1574" s="6">
        <v>195</v>
      </c>
      <c r="N1574" s="8" t="str">
        <f t="shared" si="170"/>
        <v>0</v>
      </c>
      <c r="O1574" s="8">
        <f t="shared" si="171"/>
        <v>2340</v>
      </c>
      <c r="P1574" s="8">
        <f t="shared" si="172"/>
        <v>2340</v>
      </c>
      <c r="Q1574" s="8">
        <f t="shared" si="173"/>
        <v>0</v>
      </c>
      <c r="R1574" s="9">
        <f t="shared" si="174"/>
        <v>2340</v>
      </c>
      <c r="S1574" s="10">
        <f t="shared" si="175"/>
        <v>195</v>
      </c>
      <c r="T1574">
        <f t="shared" si="177"/>
        <v>195</v>
      </c>
      <c r="U1574">
        <f t="shared" si="176"/>
        <v>0</v>
      </c>
    </row>
    <row r="1575" spans="1:21" ht="14.25" customHeight="1" x14ac:dyDescent="0.35">
      <c r="A1575" s="6" t="s">
        <v>4824</v>
      </c>
      <c r="B1575" s="6" t="s">
        <v>4825</v>
      </c>
      <c r="C1575" s="6" t="s">
        <v>4826</v>
      </c>
      <c r="D1575" s="6" t="s">
        <v>44</v>
      </c>
      <c r="E1575" s="7" t="s">
        <v>23</v>
      </c>
      <c r="F1575" s="6">
        <v>85042</v>
      </c>
      <c r="G1575" s="6" t="s">
        <v>213</v>
      </c>
      <c r="I1575" s="6" t="s">
        <v>26</v>
      </c>
      <c r="J1575" s="6" t="b">
        <v>0</v>
      </c>
      <c r="K1575" s="6" t="s">
        <v>27</v>
      </c>
      <c r="L1575" s="6">
        <v>0</v>
      </c>
      <c r="M1575" s="6">
        <v>195</v>
      </c>
      <c r="N1575" s="8" t="str">
        <f t="shared" si="170"/>
        <v>0</v>
      </c>
      <c r="O1575" s="8">
        <f t="shared" si="171"/>
        <v>2340</v>
      </c>
      <c r="P1575" s="8">
        <f t="shared" si="172"/>
        <v>2340</v>
      </c>
      <c r="Q1575" s="8">
        <f t="shared" si="173"/>
        <v>0</v>
      </c>
      <c r="R1575" s="9">
        <f t="shared" si="174"/>
        <v>2340</v>
      </c>
      <c r="S1575" s="10">
        <f t="shared" si="175"/>
        <v>195</v>
      </c>
      <c r="T1575">
        <f t="shared" si="177"/>
        <v>195</v>
      </c>
      <c r="U1575">
        <f t="shared" si="176"/>
        <v>0</v>
      </c>
    </row>
    <row r="1576" spans="1:21" ht="14.25" customHeight="1" x14ac:dyDescent="0.35">
      <c r="A1576" s="6" t="s">
        <v>4827</v>
      </c>
      <c r="B1576" s="6" t="s">
        <v>4828</v>
      </c>
      <c r="C1576" s="6" t="s">
        <v>4829</v>
      </c>
      <c r="D1576" s="6" t="s">
        <v>44</v>
      </c>
      <c r="E1576" s="7" t="s">
        <v>23</v>
      </c>
      <c r="F1576" s="6">
        <v>85029</v>
      </c>
      <c r="G1576" s="6" t="s">
        <v>72</v>
      </c>
      <c r="H1576" s="6" t="s">
        <v>93</v>
      </c>
      <c r="I1576" s="6" t="s">
        <v>26</v>
      </c>
      <c r="J1576" s="6" t="b">
        <v>0</v>
      </c>
      <c r="K1576" s="6" t="s">
        <v>27</v>
      </c>
      <c r="L1576" s="6">
        <v>0</v>
      </c>
      <c r="M1576" s="6">
        <v>195</v>
      </c>
      <c r="N1576" s="8" t="str">
        <f t="shared" si="170"/>
        <v>0</v>
      </c>
      <c r="O1576" s="8">
        <f t="shared" si="171"/>
        <v>2340</v>
      </c>
      <c r="P1576" s="8">
        <f t="shared" si="172"/>
        <v>2340</v>
      </c>
      <c r="Q1576" s="8">
        <f t="shared" si="173"/>
        <v>0</v>
      </c>
      <c r="R1576" s="9">
        <f t="shared" si="174"/>
        <v>2340</v>
      </c>
      <c r="S1576" s="10">
        <f t="shared" si="175"/>
        <v>195</v>
      </c>
      <c r="T1576">
        <f t="shared" si="177"/>
        <v>195</v>
      </c>
      <c r="U1576">
        <f t="shared" si="176"/>
        <v>0</v>
      </c>
    </row>
    <row r="1577" spans="1:21" ht="14.25" customHeight="1" x14ac:dyDescent="0.35">
      <c r="A1577" s="6" t="s">
        <v>4830</v>
      </c>
      <c r="B1577" s="6" t="s">
        <v>4831</v>
      </c>
      <c r="C1577" s="6" t="s">
        <v>4832</v>
      </c>
      <c r="D1577" s="6" t="s">
        <v>44</v>
      </c>
      <c r="E1577" s="7" t="s">
        <v>23</v>
      </c>
      <c r="F1577" s="6">
        <v>85020</v>
      </c>
      <c r="G1577" s="6" t="s">
        <v>173</v>
      </c>
      <c r="H1577" s="6" t="s">
        <v>202</v>
      </c>
      <c r="I1577" s="6" t="s">
        <v>40</v>
      </c>
      <c r="J1577" s="6" t="b">
        <v>0</v>
      </c>
      <c r="K1577" s="6" t="s">
        <v>27</v>
      </c>
      <c r="L1577" s="6">
        <v>0</v>
      </c>
      <c r="M1577" s="6">
        <v>195</v>
      </c>
      <c r="N1577" s="8" t="str">
        <f t="shared" si="170"/>
        <v>0</v>
      </c>
      <c r="O1577" s="8">
        <f t="shared" si="171"/>
        <v>2340</v>
      </c>
      <c r="P1577" s="8">
        <f t="shared" si="172"/>
        <v>2340</v>
      </c>
      <c r="Q1577" s="8">
        <f t="shared" si="173"/>
        <v>0</v>
      </c>
      <c r="R1577" s="9">
        <f t="shared" si="174"/>
        <v>2340</v>
      </c>
      <c r="S1577" s="10">
        <f t="shared" si="175"/>
        <v>195</v>
      </c>
      <c r="T1577">
        <f t="shared" si="177"/>
        <v>195</v>
      </c>
      <c r="U1577">
        <f t="shared" si="176"/>
        <v>0</v>
      </c>
    </row>
    <row r="1578" spans="1:21" ht="14.25" customHeight="1" x14ac:dyDescent="0.35">
      <c r="A1578" s="6" t="s">
        <v>4833</v>
      </c>
      <c r="B1578" s="6" t="s">
        <v>4834</v>
      </c>
      <c r="C1578" s="6" t="s">
        <v>4835</v>
      </c>
      <c r="D1578" s="6" t="s">
        <v>22</v>
      </c>
      <c r="E1578" s="7" t="s">
        <v>23</v>
      </c>
      <c r="F1578" s="6">
        <v>85249</v>
      </c>
      <c r="G1578" s="6" t="s">
        <v>125</v>
      </c>
      <c r="H1578" s="6" t="s">
        <v>225</v>
      </c>
      <c r="I1578" s="6" t="s">
        <v>26</v>
      </c>
      <c r="J1578" s="6" t="b">
        <v>0</v>
      </c>
      <c r="K1578" s="6" t="s">
        <v>27</v>
      </c>
      <c r="L1578" s="6">
        <v>0</v>
      </c>
      <c r="M1578" s="6">
        <v>195</v>
      </c>
      <c r="N1578" s="8" t="str">
        <f t="shared" si="170"/>
        <v>0</v>
      </c>
      <c r="O1578" s="8">
        <f t="shared" si="171"/>
        <v>2340</v>
      </c>
      <c r="P1578" s="8">
        <f t="shared" si="172"/>
        <v>2340</v>
      </c>
      <c r="Q1578" s="8">
        <f t="shared" si="173"/>
        <v>0</v>
      </c>
      <c r="R1578" s="9">
        <f t="shared" si="174"/>
        <v>2340</v>
      </c>
      <c r="S1578" s="10">
        <f t="shared" si="175"/>
        <v>195</v>
      </c>
      <c r="T1578">
        <f t="shared" si="177"/>
        <v>195</v>
      </c>
      <c r="U1578">
        <f t="shared" si="176"/>
        <v>0</v>
      </c>
    </row>
    <row r="1579" spans="1:21" ht="14.25" customHeight="1" x14ac:dyDescent="0.35">
      <c r="A1579" s="6" t="s">
        <v>4836</v>
      </c>
      <c r="B1579" s="6" t="s">
        <v>4837</v>
      </c>
      <c r="C1579" s="6" t="s">
        <v>4838</v>
      </c>
      <c r="D1579" s="6" t="s">
        <v>31</v>
      </c>
      <c r="E1579" s="7" t="s">
        <v>23</v>
      </c>
      <c r="F1579" s="6">
        <v>85255</v>
      </c>
      <c r="G1579" s="6" t="s">
        <v>32</v>
      </c>
      <c r="H1579" s="6" t="s">
        <v>33</v>
      </c>
      <c r="I1579" s="6" t="s">
        <v>26</v>
      </c>
      <c r="J1579" s="6" t="b">
        <v>0</v>
      </c>
      <c r="K1579" s="6" t="s">
        <v>27</v>
      </c>
      <c r="L1579" s="6">
        <v>0</v>
      </c>
      <c r="M1579" s="6">
        <v>195</v>
      </c>
      <c r="N1579" s="8" t="str">
        <f t="shared" si="170"/>
        <v>0</v>
      </c>
      <c r="O1579" s="8">
        <f t="shared" si="171"/>
        <v>2340</v>
      </c>
      <c r="P1579" s="8">
        <f t="shared" si="172"/>
        <v>2340</v>
      </c>
      <c r="Q1579" s="8">
        <f t="shared" si="173"/>
        <v>0</v>
      </c>
      <c r="R1579" s="9">
        <f t="shared" si="174"/>
        <v>2340</v>
      </c>
      <c r="S1579" s="10">
        <f t="shared" si="175"/>
        <v>195</v>
      </c>
      <c r="T1579">
        <f t="shared" si="177"/>
        <v>195</v>
      </c>
      <c r="U1579">
        <f t="shared" si="176"/>
        <v>0</v>
      </c>
    </row>
    <row r="1580" spans="1:21" ht="14.25" customHeight="1" x14ac:dyDescent="0.35">
      <c r="A1580" s="6" t="s">
        <v>4839</v>
      </c>
      <c r="B1580" s="6" t="s">
        <v>4840</v>
      </c>
      <c r="C1580" s="6" t="s">
        <v>4841</v>
      </c>
      <c r="D1580" s="6" t="s">
        <v>71</v>
      </c>
      <c r="E1580" s="7" t="s">
        <v>23</v>
      </c>
      <c r="F1580" s="6">
        <v>85383</v>
      </c>
      <c r="G1580" s="6" t="s">
        <v>78</v>
      </c>
      <c r="I1580" s="6" t="s">
        <v>26</v>
      </c>
      <c r="J1580" s="6" t="b">
        <v>0</v>
      </c>
      <c r="K1580" s="6" t="s">
        <v>27</v>
      </c>
      <c r="L1580" s="6">
        <v>0</v>
      </c>
      <c r="M1580" s="6">
        <v>195</v>
      </c>
      <c r="N1580" s="8" t="str">
        <f t="shared" si="170"/>
        <v>0</v>
      </c>
      <c r="O1580" s="8">
        <f t="shared" si="171"/>
        <v>2340</v>
      </c>
      <c r="P1580" s="8">
        <f t="shared" si="172"/>
        <v>2340</v>
      </c>
      <c r="Q1580" s="8">
        <f t="shared" si="173"/>
        <v>0</v>
      </c>
      <c r="R1580" s="9">
        <f t="shared" si="174"/>
        <v>2340</v>
      </c>
      <c r="S1580" s="10">
        <f t="shared" si="175"/>
        <v>195</v>
      </c>
      <c r="T1580">
        <f t="shared" si="177"/>
        <v>195</v>
      </c>
      <c r="U1580">
        <f t="shared" si="176"/>
        <v>0</v>
      </c>
    </row>
    <row r="1581" spans="1:21" ht="14.25" customHeight="1" x14ac:dyDescent="0.35">
      <c r="A1581" s="6" t="s">
        <v>4842</v>
      </c>
      <c r="B1581" s="6" t="s">
        <v>4843</v>
      </c>
      <c r="C1581" s="6" t="s">
        <v>4844</v>
      </c>
      <c r="D1581" s="6" t="s">
        <v>71</v>
      </c>
      <c r="E1581" s="7" t="s">
        <v>23</v>
      </c>
      <c r="F1581" s="6">
        <v>85345</v>
      </c>
      <c r="G1581" s="6" t="s">
        <v>72</v>
      </c>
      <c r="H1581" s="6" t="s">
        <v>73</v>
      </c>
      <c r="I1581" s="6" t="s">
        <v>26</v>
      </c>
      <c r="J1581" s="6" t="b">
        <v>0</v>
      </c>
      <c r="K1581" s="6" t="s">
        <v>27</v>
      </c>
      <c r="L1581" s="6">
        <v>0</v>
      </c>
      <c r="M1581" s="6">
        <v>195</v>
      </c>
      <c r="N1581" s="8" t="str">
        <f t="shared" si="170"/>
        <v>0</v>
      </c>
      <c r="O1581" s="8">
        <f t="shared" si="171"/>
        <v>2340</v>
      </c>
      <c r="P1581" s="8">
        <f t="shared" si="172"/>
        <v>2340</v>
      </c>
      <c r="Q1581" s="8">
        <f t="shared" si="173"/>
        <v>0</v>
      </c>
      <c r="R1581" s="9">
        <f t="shared" si="174"/>
        <v>2340</v>
      </c>
      <c r="S1581" s="10">
        <f t="shared" si="175"/>
        <v>195</v>
      </c>
      <c r="T1581">
        <f t="shared" si="177"/>
        <v>195</v>
      </c>
      <c r="U1581">
        <f t="shared" si="176"/>
        <v>0</v>
      </c>
    </row>
    <row r="1582" spans="1:21" ht="14.25" customHeight="1" x14ac:dyDescent="0.35">
      <c r="A1582" s="6" t="s">
        <v>4845</v>
      </c>
      <c r="B1582" s="6" t="s">
        <v>4846</v>
      </c>
      <c r="C1582" s="6" t="s">
        <v>4847</v>
      </c>
      <c r="D1582" s="6" t="s">
        <v>31</v>
      </c>
      <c r="E1582" s="7" t="s">
        <v>23</v>
      </c>
      <c r="F1582" s="6">
        <v>85255</v>
      </c>
      <c r="G1582" s="6" t="s">
        <v>32</v>
      </c>
      <c r="I1582" s="6" t="s">
        <v>110</v>
      </c>
      <c r="J1582" s="6" t="b">
        <v>0</v>
      </c>
      <c r="K1582" s="6" t="s">
        <v>27</v>
      </c>
      <c r="L1582" s="6">
        <v>0</v>
      </c>
      <c r="M1582" s="6">
        <v>195</v>
      </c>
      <c r="N1582" s="8" t="str">
        <f t="shared" si="170"/>
        <v>0</v>
      </c>
      <c r="O1582" s="8">
        <f t="shared" si="171"/>
        <v>2340</v>
      </c>
      <c r="P1582" s="8">
        <f t="shared" si="172"/>
        <v>2340</v>
      </c>
      <c r="Q1582" s="8">
        <f t="shared" si="173"/>
        <v>0</v>
      </c>
      <c r="R1582" s="9">
        <f t="shared" si="174"/>
        <v>2340</v>
      </c>
      <c r="S1582" s="10">
        <f t="shared" si="175"/>
        <v>195</v>
      </c>
      <c r="T1582">
        <f t="shared" si="177"/>
        <v>195</v>
      </c>
      <c r="U1582">
        <f t="shared" si="176"/>
        <v>0</v>
      </c>
    </row>
    <row r="1583" spans="1:21" ht="14.25" customHeight="1" x14ac:dyDescent="0.35">
      <c r="A1583" s="6" t="s">
        <v>4848</v>
      </c>
      <c r="B1583" s="6" t="s">
        <v>4849</v>
      </c>
      <c r="C1583" s="6" t="s">
        <v>4850</v>
      </c>
      <c r="D1583" s="6" t="s">
        <v>482</v>
      </c>
      <c r="E1583" s="7" t="s">
        <v>23</v>
      </c>
      <c r="F1583" s="6">
        <v>85396</v>
      </c>
      <c r="G1583" s="6" t="s">
        <v>38</v>
      </c>
      <c r="H1583" s="6" t="s">
        <v>378</v>
      </c>
      <c r="I1583" s="6" t="s">
        <v>26</v>
      </c>
      <c r="J1583" s="6" t="b">
        <v>0</v>
      </c>
      <c r="K1583" s="6" t="s">
        <v>27</v>
      </c>
      <c r="L1583" s="6">
        <v>0</v>
      </c>
      <c r="M1583" s="6">
        <v>195</v>
      </c>
      <c r="N1583" s="8" t="str">
        <f t="shared" si="170"/>
        <v>0</v>
      </c>
      <c r="O1583" s="8">
        <f t="shared" si="171"/>
        <v>2340</v>
      </c>
      <c r="P1583" s="8">
        <f t="shared" si="172"/>
        <v>2340</v>
      </c>
      <c r="Q1583" s="8">
        <f t="shared" si="173"/>
        <v>0</v>
      </c>
      <c r="R1583" s="9">
        <f t="shared" si="174"/>
        <v>2340</v>
      </c>
      <c r="S1583" s="10">
        <f t="shared" si="175"/>
        <v>195</v>
      </c>
      <c r="T1583">
        <f t="shared" si="177"/>
        <v>195</v>
      </c>
      <c r="U1583">
        <f t="shared" si="176"/>
        <v>0</v>
      </c>
    </row>
    <row r="1584" spans="1:21" ht="14.25" customHeight="1" x14ac:dyDescent="0.35">
      <c r="A1584" s="6" t="s">
        <v>4851</v>
      </c>
      <c r="B1584" s="6" t="s">
        <v>4852</v>
      </c>
      <c r="C1584" s="6" t="s">
        <v>4853</v>
      </c>
      <c r="D1584" s="6" t="s">
        <v>165</v>
      </c>
      <c r="E1584" s="7" t="s">
        <v>23</v>
      </c>
      <c r="F1584" s="6">
        <v>85296</v>
      </c>
      <c r="G1584" s="6" t="s">
        <v>125</v>
      </c>
      <c r="H1584" s="6" t="s">
        <v>180</v>
      </c>
      <c r="I1584" s="6" t="s">
        <v>26</v>
      </c>
      <c r="J1584" s="6" t="b">
        <v>0</v>
      </c>
      <c r="K1584" s="6" t="s">
        <v>27</v>
      </c>
      <c r="L1584" s="6">
        <v>0</v>
      </c>
      <c r="M1584" s="6">
        <v>195</v>
      </c>
      <c r="N1584" s="8" t="str">
        <f t="shared" si="170"/>
        <v>0</v>
      </c>
      <c r="O1584" s="8">
        <f t="shared" si="171"/>
        <v>2340</v>
      </c>
      <c r="P1584" s="8">
        <f t="shared" si="172"/>
        <v>2340</v>
      </c>
      <c r="Q1584" s="8">
        <f t="shared" si="173"/>
        <v>0</v>
      </c>
      <c r="R1584" s="9">
        <f t="shared" si="174"/>
        <v>2340</v>
      </c>
      <c r="S1584" s="10">
        <f t="shared" si="175"/>
        <v>195</v>
      </c>
      <c r="T1584">
        <f t="shared" si="177"/>
        <v>195</v>
      </c>
      <c r="U1584">
        <f t="shared" si="176"/>
        <v>0</v>
      </c>
    </row>
    <row r="1585" spans="1:21" ht="14.25" customHeight="1" x14ac:dyDescent="0.35">
      <c r="A1585" s="6" t="s">
        <v>4854</v>
      </c>
      <c r="B1585" s="6" t="s">
        <v>4855</v>
      </c>
      <c r="C1585" s="6" t="s">
        <v>4856</v>
      </c>
      <c r="D1585" s="6" t="s">
        <v>165</v>
      </c>
      <c r="E1585" s="7" t="s">
        <v>23</v>
      </c>
      <c r="F1585" s="6">
        <v>85298</v>
      </c>
      <c r="G1585" s="6" t="s">
        <v>125</v>
      </c>
      <c r="H1585" s="6" t="s">
        <v>126</v>
      </c>
      <c r="I1585" s="6" t="s">
        <v>26</v>
      </c>
      <c r="J1585" s="6" t="b">
        <v>0</v>
      </c>
      <c r="K1585" s="6" t="s">
        <v>27</v>
      </c>
      <c r="L1585" s="6">
        <v>0</v>
      </c>
      <c r="M1585" s="6">
        <v>195</v>
      </c>
      <c r="N1585" s="8" t="str">
        <f t="shared" si="170"/>
        <v>0</v>
      </c>
      <c r="O1585" s="8">
        <f t="shared" si="171"/>
        <v>2340</v>
      </c>
      <c r="P1585" s="8">
        <f t="shared" si="172"/>
        <v>2340</v>
      </c>
      <c r="Q1585" s="8">
        <f t="shared" si="173"/>
        <v>0</v>
      </c>
      <c r="R1585" s="9">
        <f t="shared" si="174"/>
        <v>2340</v>
      </c>
      <c r="S1585" s="10">
        <f t="shared" si="175"/>
        <v>195</v>
      </c>
      <c r="T1585">
        <f t="shared" si="177"/>
        <v>195</v>
      </c>
      <c r="U1585">
        <f t="shared" si="176"/>
        <v>0</v>
      </c>
    </row>
    <row r="1586" spans="1:21" ht="14.25" customHeight="1" x14ac:dyDescent="0.35">
      <c r="A1586" s="6" t="s">
        <v>4857</v>
      </c>
      <c r="B1586" s="6" t="s">
        <v>4858</v>
      </c>
      <c r="C1586" s="6" t="s">
        <v>4859</v>
      </c>
      <c r="D1586" s="6" t="s">
        <v>31</v>
      </c>
      <c r="E1586" s="7" t="s">
        <v>23</v>
      </c>
      <c r="F1586" s="6">
        <v>85254</v>
      </c>
      <c r="G1586" s="6" t="s">
        <v>45</v>
      </c>
      <c r="I1586" s="6" t="s">
        <v>26</v>
      </c>
      <c r="J1586" s="6" t="b">
        <v>0</v>
      </c>
      <c r="K1586" s="6" t="s">
        <v>27</v>
      </c>
      <c r="L1586" s="6">
        <v>0</v>
      </c>
      <c r="M1586" s="6">
        <v>195</v>
      </c>
      <c r="N1586" s="8" t="str">
        <f t="shared" si="170"/>
        <v>0</v>
      </c>
      <c r="O1586" s="8">
        <f t="shared" si="171"/>
        <v>2340</v>
      </c>
      <c r="P1586" s="8">
        <f t="shared" si="172"/>
        <v>2340</v>
      </c>
      <c r="Q1586" s="8">
        <f t="shared" si="173"/>
        <v>0</v>
      </c>
      <c r="R1586" s="9">
        <f t="shared" si="174"/>
        <v>2340</v>
      </c>
      <c r="S1586" s="10">
        <f t="shared" si="175"/>
        <v>195</v>
      </c>
      <c r="T1586">
        <f t="shared" si="177"/>
        <v>195</v>
      </c>
      <c r="U1586">
        <f t="shared" si="176"/>
        <v>0</v>
      </c>
    </row>
    <row r="1587" spans="1:21" ht="14.25" customHeight="1" x14ac:dyDescent="0.35">
      <c r="A1587" s="6" t="s">
        <v>4860</v>
      </c>
      <c r="B1587" s="6" t="s">
        <v>4861</v>
      </c>
      <c r="C1587" s="6" t="s">
        <v>4862</v>
      </c>
      <c r="D1587" s="6" t="s">
        <v>44</v>
      </c>
      <c r="E1587" s="7" t="s">
        <v>23</v>
      </c>
      <c r="F1587" s="6">
        <v>85014</v>
      </c>
      <c r="G1587" s="6" t="s">
        <v>49</v>
      </c>
      <c r="H1587" s="6" t="s">
        <v>202</v>
      </c>
      <c r="I1587" s="6" t="s">
        <v>26</v>
      </c>
      <c r="J1587" s="6" t="b">
        <v>0</v>
      </c>
      <c r="K1587" s="6" t="s">
        <v>27</v>
      </c>
      <c r="L1587" s="6">
        <v>0</v>
      </c>
      <c r="M1587" s="6">
        <v>195</v>
      </c>
      <c r="N1587" s="8" t="str">
        <f t="shared" si="170"/>
        <v>0</v>
      </c>
      <c r="O1587" s="8">
        <f t="shared" si="171"/>
        <v>2340</v>
      </c>
      <c r="P1587" s="8">
        <f t="shared" si="172"/>
        <v>2340</v>
      </c>
      <c r="Q1587" s="8">
        <f t="shared" si="173"/>
        <v>0</v>
      </c>
      <c r="R1587" s="9">
        <f t="shared" si="174"/>
        <v>2340</v>
      </c>
      <c r="S1587" s="10">
        <f t="shared" si="175"/>
        <v>195</v>
      </c>
      <c r="T1587">
        <f t="shared" si="177"/>
        <v>195</v>
      </c>
      <c r="U1587">
        <f t="shared" si="176"/>
        <v>0</v>
      </c>
    </row>
    <row r="1588" spans="1:21" ht="14.25" customHeight="1" x14ac:dyDescent="0.35">
      <c r="A1588" s="6" t="s">
        <v>4863</v>
      </c>
      <c r="B1588" s="6" t="s">
        <v>4864</v>
      </c>
      <c r="C1588" s="6" t="s">
        <v>4865</v>
      </c>
      <c r="D1588" s="6" t="s">
        <v>44</v>
      </c>
      <c r="E1588" s="7" t="s">
        <v>23</v>
      </c>
      <c r="F1588" s="6">
        <v>85003</v>
      </c>
      <c r="G1588" s="6" t="s">
        <v>213</v>
      </c>
      <c r="H1588" s="6" t="s">
        <v>202</v>
      </c>
      <c r="I1588" s="6" t="s">
        <v>26</v>
      </c>
      <c r="J1588" s="6" t="b">
        <v>0</v>
      </c>
      <c r="K1588" s="6" t="s">
        <v>27</v>
      </c>
      <c r="L1588" s="6">
        <v>0</v>
      </c>
      <c r="M1588" s="6">
        <v>195</v>
      </c>
      <c r="N1588" s="8" t="str">
        <f t="shared" si="170"/>
        <v>0</v>
      </c>
      <c r="O1588" s="8">
        <f t="shared" si="171"/>
        <v>2340</v>
      </c>
      <c r="P1588" s="8">
        <f t="shared" si="172"/>
        <v>2340</v>
      </c>
      <c r="Q1588" s="8">
        <f t="shared" si="173"/>
        <v>0</v>
      </c>
      <c r="R1588" s="9">
        <f t="shared" si="174"/>
        <v>2340</v>
      </c>
      <c r="S1588" s="10">
        <f t="shared" si="175"/>
        <v>195</v>
      </c>
      <c r="T1588">
        <f t="shared" si="177"/>
        <v>195</v>
      </c>
      <c r="U1588">
        <f t="shared" si="176"/>
        <v>0</v>
      </c>
    </row>
    <row r="1589" spans="1:21" ht="14.25" customHeight="1" x14ac:dyDescent="0.35">
      <c r="A1589" s="6" t="s">
        <v>4866</v>
      </c>
      <c r="B1589" s="6" t="s">
        <v>4867</v>
      </c>
      <c r="C1589" s="6" t="s">
        <v>4868</v>
      </c>
      <c r="D1589" s="6" t="s">
        <v>31</v>
      </c>
      <c r="E1589" s="7" t="s">
        <v>23</v>
      </c>
      <c r="F1589" s="6">
        <v>85251</v>
      </c>
      <c r="G1589" s="6" t="s">
        <v>49</v>
      </c>
      <c r="H1589" s="6" t="s">
        <v>202</v>
      </c>
      <c r="I1589" s="6" t="s">
        <v>26</v>
      </c>
      <c r="J1589" s="6" t="b">
        <v>0</v>
      </c>
      <c r="K1589" s="6" t="s">
        <v>27</v>
      </c>
      <c r="L1589" s="6">
        <v>0</v>
      </c>
      <c r="M1589" s="6">
        <v>195</v>
      </c>
      <c r="N1589" s="8" t="str">
        <f t="shared" si="170"/>
        <v>0</v>
      </c>
      <c r="O1589" s="8">
        <f t="shared" si="171"/>
        <v>2340</v>
      </c>
      <c r="P1589" s="8">
        <f t="shared" si="172"/>
        <v>2340</v>
      </c>
      <c r="Q1589" s="8">
        <f t="shared" si="173"/>
        <v>0</v>
      </c>
      <c r="R1589" s="9">
        <f t="shared" si="174"/>
        <v>2340</v>
      </c>
      <c r="S1589" s="10">
        <f t="shared" si="175"/>
        <v>195</v>
      </c>
      <c r="T1589">
        <f t="shared" si="177"/>
        <v>195</v>
      </c>
      <c r="U1589">
        <f t="shared" si="176"/>
        <v>0</v>
      </c>
    </row>
    <row r="1590" spans="1:21" ht="14.25" customHeight="1" x14ac:dyDescent="0.35">
      <c r="A1590" s="6" t="s">
        <v>4869</v>
      </c>
      <c r="B1590" s="6" t="s">
        <v>4870</v>
      </c>
      <c r="C1590" s="6" t="s">
        <v>4871</v>
      </c>
      <c r="D1590" s="6" t="s">
        <v>65</v>
      </c>
      <c r="E1590" s="7" t="s">
        <v>23</v>
      </c>
      <c r="F1590" s="6">
        <v>85212</v>
      </c>
      <c r="G1590" s="6" t="s">
        <v>125</v>
      </c>
      <c r="H1590" s="6" t="s">
        <v>180</v>
      </c>
      <c r="I1590" s="6" t="s">
        <v>61</v>
      </c>
      <c r="J1590" s="6" t="b">
        <v>0</v>
      </c>
      <c r="K1590" s="6" t="s">
        <v>27</v>
      </c>
      <c r="L1590" s="6">
        <v>0</v>
      </c>
      <c r="M1590" s="6">
        <v>195</v>
      </c>
      <c r="N1590" s="8" t="str">
        <f t="shared" si="170"/>
        <v>0</v>
      </c>
      <c r="O1590" s="8">
        <f t="shared" si="171"/>
        <v>2340</v>
      </c>
      <c r="P1590" s="8">
        <f t="shared" si="172"/>
        <v>2340</v>
      </c>
      <c r="Q1590" s="8">
        <f t="shared" si="173"/>
        <v>0</v>
      </c>
      <c r="R1590" s="9">
        <f t="shared" si="174"/>
        <v>2340</v>
      </c>
      <c r="S1590" s="10">
        <f t="shared" si="175"/>
        <v>195</v>
      </c>
      <c r="T1590">
        <f t="shared" si="177"/>
        <v>195</v>
      </c>
      <c r="U1590">
        <f t="shared" si="176"/>
        <v>0</v>
      </c>
    </row>
    <row r="1591" spans="1:21" ht="14.25" customHeight="1" x14ac:dyDescent="0.35">
      <c r="A1591" s="6" t="s">
        <v>4872</v>
      </c>
      <c r="B1591" s="6" t="s">
        <v>4873</v>
      </c>
      <c r="C1591" s="6" t="s">
        <v>4874</v>
      </c>
      <c r="D1591" s="6" t="s">
        <v>165</v>
      </c>
      <c r="E1591" s="7" t="s">
        <v>23</v>
      </c>
      <c r="F1591" s="6">
        <v>85296</v>
      </c>
      <c r="G1591" s="6" t="s">
        <v>125</v>
      </c>
      <c r="H1591" s="6" t="s">
        <v>225</v>
      </c>
      <c r="I1591" s="6" t="s">
        <v>110</v>
      </c>
      <c r="J1591" s="6" t="b">
        <v>0</v>
      </c>
      <c r="K1591" s="6" t="s">
        <v>27</v>
      </c>
      <c r="L1591" s="6">
        <v>0</v>
      </c>
      <c r="M1591" s="6">
        <v>195</v>
      </c>
      <c r="N1591" s="8" t="str">
        <f t="shared" si="170"/>
        <v>0</v>
      </c>
      <c r="O1591" s="8">
        <f t="shared" si="171"/>
        <v>2340</v>
      </c>
      <c r="P1591" s="8">
        <f t="shared" si="172"/>
        <v>2340</v>
      </c>
      <c r="Q1591" s="8">
        <f t="shared" si="173"/>
        <v>0</v>
      </c>
      <c r="R1591" s="9">
        <f t="shared" si="174"/>
        <v>2340</v>
      </c>
      <c r="S1591" s="10">
        <f t="shared" si="175"/>
        <v>195</v>
      </c>
      <c r="T1591">
        <f t="shared" si="177"/>
        <v>195</v>
      </c>
      <c r="U1591">
        <f t="shared" si="176"/>
        <v>0</v>
      </c>
    </row>
    <row r="1592" spans="1:21" ht="14.25" customHeight="1" x14ac:dyDescent="0.35">
      <c r="A1592" s="6" t="s">
        <v>4875</v>
      </c>
      <c r="B1592" s="6" t="s">
        <v>4876</v>
      </c>
      <c r="C1592" s="6" t="s">
        <v>4877</v>
      </c>
      <c r="D1592" s="6" t="s">
        <v>430</v>
      </c>
      <c r="E1592" s="7" t="s">
        <v>23</v>
      </c>
      <c r="F1592" s="6">
        <v>85253</v>
      </c>
      <c r="G1592" s="6" t="s">
        <v>49</v>
      </c>
      <c r="I1592" s="6" t="s">
        <v>61</v>
      </c>
      <c r="J1592" s="6" t="b">
        <v>0</v>
      </c>
      <c r="K1592" s="6" t="s">
        <v>27</v>
      </c>
      <c r="L1592" s="6">
        <v>0</v>
      </c>
      <c r="M1592" s="6">
        <v>195</v>
      </c>
      <c r="N1592" s="8" t="str">
        <f t="shared" si="170"/>
        <v>0</v>
      </c>
      <c r="O1592" s="8">
        <f t="shared" si="171"/>
        <v>2340</v>
      </c>
      <c r="P1592" s="8">
        <f t="shared" si="172"/>
        <v>2340</v>
      </c>
      <c r="Q1592" s="8">
        <f t="shared" si="173"/>
        <v>0</v>
      </c>
      <c r="R1592" s="9">
        <f t="shared" si="174"/>
        <v>2340</v>
      </c>
      <c r="S1592" s="10">
        <f t="shared" si="175"/>
        <v>195</v>
      </c>
      <c r="T1592">
        <f t="shared" si="177"/>
        <v>195</v>
      </c>
      <c r="U1592">
        <f t="shared" si="176"/>
        <v>0</v>
      </c>
    </row>
    <row r="1593" spans="1:21" ht="14.25" customHeight="1" x14ac:dyDescent="0.35">
      <c r="A1593" s="6" t="s">
        <v>4878</v>
      </c>
      <c r="B1593" s="6" t="s">
        <v>4879</v>
      </c>
      <c r="C1593" s="6" t="s">
        <v>4880</v>
      </c>
      <c r="D1593" s="6" t="s">
        <v>98</v>
      </c>
      <c r="E1593" s="7" t="s">
        <v>23</v>
      </c>
      <c r="F1593" s="6">
        <v>85122</v>
      </c>
      <c r="G1593" s="6" t="s">
        <v>87</v>
      </c>
      <c r="H1593" s="6" t="s">
        <v>88</v>
      </c>
      <c r="I1593" s="6" t="s">
        <v>110</v>
      </c>
      <c r="J1593" s="6" t="b">
        <v>0</v>
      </c>
      <c r="K1593" s="6" t="s">
        <v>27</v>
      </c>
      <c r="L1593" s="6">
        <v>0</v>
      </c>
      <c r="M1593" s="6">
        <v>195</v>
      </c>
      <c r="N1593" s="8" t="str">
        <f t="shared" si="170"/>
        <v>0</v>
      </c>
      <c r="O1593" s="8">
        <f t="shared" si="171"/>
        <v>2340</v>
      </c>
      <c r="P1593" s="8">
        <f t="shared" si="172"/>
        <v>2340</v>
      </c>
      <c r="Q1593" s="8">
        <f t="shared" si="173"/>
        <v>0</v>
      </c>
      <c r="R1593" s="9">
        <f t="shared" si="174"/>
        <v>2340</v>
      </c>
      <c r="S1593" s="10">
        <f t="shared" si="175"/>
        <v>195</v>
      </c>
      <c r="T1593">
        <f t="shared" si="177"/>
        <v>195</v>
      </c>
      <c r="U1593">
        <f t="shared" si="176"/>
        <v>0</v>
      </c>
    </row>
    <row r="1594" spans="1:21" ht="14.25" customHeight="1" x14ac:dyDescent="0.35">
      <c r="A1594" s="6" t="s">
        <v>4881</v>
      </c>
      <c r="B1594" s="6" t="s">
        <v>4882</v>
      </c>
      <c r="C1594" s="6" t="s">
        <v>4883</v>
      </c>
      <c r="D1594" s="6" t="s">
        <v>31</v>
      </c>
      <c r="E1594" s="7" t="s">
        <v>23</v>
      </c>
      <c r="F1594" s="6">
        <v>85257</v>
      </c>
      <c r="G1594" s="6" t="s">
        <v>49</v>
      </c>
      <c r="H1594" s="6" t="s">
        <v>202</v>
      </c>
      <c r="I1594" s="6" t="s">
        <v>26</v>
      </c>
      <c r="J1594" s="6" t="b">
        <v>0</v>
      </c>
      <c r="K1594" s="6" t="s">
        <v>27</v>
      </c>
      <c r="L1594" s="6">
        <v>0</v>
      </c>
      <c r="M1594" s="6">
        <v>195</v>
      </c>
      <c r="N1594" s="8" t="str">
        <f t="shared" si="170"/>
        <v>0</v>
      </c>
      <c r="O1594" s="8">
        <f t="shared" si="171"/>
        <v>2340</v>
      </c>
      <c r="P1594" s="8">
        <f t="shared" si="172"/>
        <v>2340</v>
      </c>
      <c r="Q1594" s="8">
        <f t="shared" si="173"/>
        <v>0</v>
      </c>
      <c r="R1594" s="9">
        <f t="shared" si="174"/>
        <v>2340</v>
      </c>
      <c r="S1594" s="10">
        <f t="shared" si="175"/>
        <v>195</v>
      </c>
      <c r="T1594">
        <f t="shared" si="177"/>
        <v>195</v>
      </c>
      <c r="U1594">
        <f t="shared" si="176"/>
        <v>0</v>
      </c>
    </row>
    <row r="1595" spans="1:21" ht="14.25" customHeight="1" x14ac:dyDescent="0.35">
      <c r="A1595" s="6" t="s">
        <v>4884</v>
      </c>
      <c r="B1595" s="6" t="s">
        <v>4885</v>
      </c>
      <c r="C1595" s="6" t="s">
        <v>4886</v>
      </c>
      <c r="D1595" s="6" t="s">
        <v>44</v>
      </c>
      <c r="E1595" s="7" t="s">
        <v>23</v>
      </c>
      <c r="F1595" s="6">
        <v>85018</v>
      </c>
      <c r="G1595" s="6" t="s">
        <v>49</v>
      </c>
      <c r="H1595" s="6" t="s">
        <v>202</v>
      </c>
      <c r="I1595" s="6" t="s">
        <v>26</v>
      </c>
      <c r="J1595" s="6" t="b">
        <v>0</v>
      </c>
      <c r="K1595" s="6" t="s">
        <v>27</v>
      </c>
      <c r="L1595" s="6">
        <v>0</v>
      </c>
      <c r="M1595" s="6">
        <v>195</v>
      </c>
      <c r="N1595" s="8" t="str">
        <f t="shared" si="170"/>
        <v>0</v>
      </c>
      <c r="O1595" s="8">
        <f t="shared" si="171"/>
        <v>2340</v>
      </c>
      <c r="P1595" s="8">
        <f t="shared" si="172"/>
        <v>2340</v>
      </c>
      <c r="Q1595" s="8">
        <f t="shared" si="173"/>
        <v>0</v>
      </c>
      <c r="R1595" s="9">
        <f t="shared" si="174"/>
        <v>2340</v>
      </c>
      <c r="S1595" s="10">
        <f t="shared" si="175"/>
        <v>195</v>
      </c>
      <c r="T1595">
        <f t="shared" si="177"/>
        <v>195</v>
      </c>
      <c r="U1595">
        <f t="shared" si="176"/>
        <v>0</v>
      </c>
    </row>
    <row r="1596" spans="1:21" ht="14.25" customHeight="1" x14ac:dyDescent="0.35">
      <c r="A1596" s="6" t="s">
        <v>4887</v>
      </c>
      <c r="B1596" s="6" t="s">
        <v>4888</v>
      </c>
      <c r="C1596" s="6" t="s">
        <v>4889</v>
      </c>
      <c r="D1596" s="6" t="s">
        <v>31</v>
      </c>
      <c r="E1596" s="7" t="s">
        <v>23</v>
      </c>
      <c r="F1596" s="6">
        <v>85254</v>
      </c>
      <c r="G1596" s="6" t="s">
        <v>45</v>
      </c>
      <c r="H1596" s="6" t="s">
        <v>291</v>
      </c>
      <c r="I1596" s="6" t="s">
        <v>26</v>
      </c>
      <c r="J1596" s="6" t="b">
        <v>0</v>
      </c>
      <c r="K1596" s="6" t="s">
        <v>27</v>
      </c>
      <c r="L1596" s="6">
        <v>0</v>
      </c>
      <c r="M1596" s="6">
        <v>195</v>
      </c>
      <c r="N1596" s="8" t="str">
        <f t="shared" si="170"/>
        <v>0</v>
      </c>
      <c r="O1596" s="8">
        <f t="shared" si="171"/>
        <v>2340</v>
      </c>
      <c r="P1596" s="8">
        <f t="shared" si="172"/>
        <v>2340</v>
      </c>
      <c r="Q1596" s="8">
        <f t="shared" si="173"/>
        <v>0</v>
      </c>
      <c r="R1596" s="9">
        <f t="shared" si="174"/>
        <v>2340</v>
      </c>
      <c r="S1596" s="10">
        <f t="shared" si="175"/>
        <v>195</v>
      </c>
      <c r="T1596">
        <f t="shared" si="177"/>
        <v>195</v>
      </c>
      <c r="U1596">
        <f t="shared" si="176"/>
        <v>0</v>
      </c>
    </row>
    <row r="1597" spans="1:21" ht="14.25" customHeight="1" x14ac:dyDescent="0.35">
      <c r="A1597" s="6" t="s">
        <v>4890</v>
      </c>
      <c r="B1597" s="6" t="s">
        <v>4891</v>
      </c>
      <c r="C1597" s="6" t="s">
        <v>4892</v>
      </c>
      <c r="D1597" s="6" t="s">
        <v>44</v>
      </c>
      <c r="E1597" s="7" t="s">
        <v>23</v>
      </c>
      <c r="F1597" s="6">
        <v>85037</v>
      </c>
      <c r="G1597" s="6" t="s">
        <v>38</v>
      </c>
      <c r="H1597" s="6" t="s">
        <v>378</v>
      </c>
      <c r="I1597" s="6" t="s">
        <v>61</v>
      </c>
      <c r="J1597" s="6" t="b">
        <v>0</v>
      </c>
      <c r="K1597" s="6" t="s">
        <v>27</v>
      </c>
      <c r="L1597" s="6">
        <v>0</v>
      </c>
      <c r="M1597" s="6">
        <v>195</v>
      </c>
      <c r="N1597" s="8" t="str">
        <f t="shared" si="170"/>
        <v>0</v>
      </c>
      <c r="O1597" s="8">
        <f t="shared" si="171"/>
        <v>2340</v>
      </c>
      <c r="P1597" s="8">
        <f t="shared" si="172"/>
        <v>2340</v>
      </c>
      <c r="Q1597" s="8">
        <f t="shared" si="173"/>
        <v>0</v>
      </c>
      <c r="R1597" s="9">
        <f t="shared" si="174"/>
        <v>2340</v>
      </c>
      <c r="S1597" s="10">
        <f t="shared" si="175"/>
        <v>195</v>
      </c>
      <c r="T1597">
        <f t="shared" si="177"/>
        <v>195</v>
      </c>
      <c r="U1597">
        <f t="shared" si="176"/>
        <v>0</v>
      </c>
    </row>
    <row r="1598" spans="1:21" ht="14.25" customHeight="1" x14ac:dyDescent="0.35">
      <c r="A1598" s="6" t="s">
        <v>4893</v>
      </c>
      <c r="B1598" s="6" t="s">
        <v>4894</v>
      </c>
      <c r="C1598" s="6" t="s">
        <v>4895</v>
      </c>
      <c r="D1598" s="6" t="s">
        <v>77</v>
      </c>
      <c r="E1598" s="7" t="s">
        <v>23</v>
      </c>
      <c r="F1598" s="6">
        <v>85304</v>
      </c>
      <c r="G1598" s="6" t="s">
        <v>72</v>
      </c>
      <c r="H1598" s="6" t="s">
        <v>93</v>
      </c>
      <c r="I1598" s="6" t="s">
        <v>26</v>
      </c>
      <c r="J1598" s="6" t="b">
        <v>0</v>
      </c>
      <c r="K1598" s="6" t="s">
        <v>27</v>
      </c>
      <c r="L1598" s="6">
        <v>0</v>
      </c>
      <c r="M1598" s="6">
        <v>195</v>
      </c>
      <c r="N1598" s="8" t="str">
        <f t="shared" si="170"/>
        <v>0</v>
      </c>
      <c r="O1598" s="8">
        <f t="shared" si="171"/>
        <v>2340</v>
      </c>
      <c r="P1598" s="8">
        <f t="shared" si="172"/>
        <v>2340</v>
      </c>
      <c r="Q1598" s="8">
        <f t="shared" si="173"/>
        <v>0</v>
      </c>
      <c r="R1598" s="9">
        <f t="shared" si="174"/>
        <v>2340</v>
      </c>
      <c r="S1598" s="10">
        <f t="shared" si="175"/>
        <v>195</v>
      </c>
      <c r="T1598">
        <f t="shared" si="177"/>
        <v>195</v>
      </c>
      <c r="U1598">
        <f t="shared" si="176"/>
        <v>0</v>
      </c>
    </row>
    <row r="1599" spans="1:21" ht="14.25" customHeight="1" x14ac:dyDescent="0.35">
      <c r="A1599" s="6" t="s">
        <v>4896</v>
      </c>
      <c r="B1599" s="6" t="s">
        <v>4897</v>
      </c>
      <c r="C1599" s="6" t="s">
        <v>4898</v>
      </c>
      <c r="D1599" s="6" t="s">
        <v>22</v>
      </c>
      <c r="E1599" s="7" t="s">
        <v>23</v>
      </c>
      <c r="F1599" s="6">
        <v>85286</v>
      </c>
      <c r="G1599" s="6" t="s">
        <v>125</v>
      </c>
      <c r="H1599" s="6" t="s">
        <v>126</v>
      </c>
      <c r="I1599" s="6" t="s">
        <v>26</v>
      </c>
      <c r="J1599" s="6" t="b">
        <v>0</v>
      </c>
      <c r="K1599" s="6" t="s">
        <v>27</v>
      </c>
      <c r="L1599" s="6">
        <v>0</v>
      </c>
      <c r="M1599" s="6">
        <v>195</v>
      </c>
      <c r="N1599" s="8" t="str">
        <f t="shared" si="170"/>
        <v>0</v>
      </c>
      <c r="O1599" s="8">
        <f t="shared" si="171"/>
        <v>2340</v>
      </c>
      <c r="P1599" s="8">
        <f t="shared" si="172"/>
        <v>2340</v>
      </c>
      <c r="Q1599" s="8">
        <f t="shared" si="173"/>
        <v>0</v>
      </c>
      <c r="R1599" s="9">
        <f t="shared" si="174"/>
        <v>2340</v>
      </c>
      <c r="S1599" s="10">
        <f t="shared" si="175"/>
        <v>195</v>
      </c>
      <c r="T1599">
        <f t="shared" si="177"/>
        <v>195</v>
      </c>
      <c r="U1599">
        <f t="shared" si="176"/>
        <v>0</v>
      </c>
    </row>
    <row r="1600" spans="1:21" ht="14.25" customHeight="1" x14ac:dyDescent="0.35">
      <c r="A1600" s="6" t="s">
        <v>4899</v>
      </c>
      <c r="B1600" s="6" t="s">
        <v>4900</v>
      </c>
      <c r="C1600" s="6" t="s">
        <v>4901</v>
      </c>
      <c r="D1600" s="6" t="s">
        <v>77</v>
      </c>
      <c r="E1600" s="7" t="s">
        <v>23</v>
      </c>
      <c r="F1600" s="6">
        <v>85310</v>
      </c>
      <c r="G1600" s="6" t="s">
        <v>78</v>
      </c>
      <c r="H1600" s="6" t="s">
        <v>268</v>
      </c>
      <c r="I1600" s="6" t="s">
        <v>110</v>
      </c>
      <c r="J1600" s="6" t="b">
        <v>0</v>
      </c>
      <c r="K1600" s="6" t="s">
        <v>27</v>
      </c>
      <c r="L1600" s="6">
        <v>0</v>
      </c>
      <c r="M1600" s="6">
        <v>195</v>
      </c>
      <c r="N1600" s="8" t="str">
        <f t="shared" si="170"/>
        <v>0</v>
      </c>
      <c r="O1600" s="8">
        <f t="shared" si="171"/>
        <v>2340</v>
      </c>
      <c r="P1600" s="8">
        <f t="shared" si="172"/>
        <v>2340</v>
      </c>
      <c r="Q1600" s="8">
        <f t="shared" si="173"/>
        <v>0</v>
      </c>
      <c r="R1600" s="9">
        <f t="shared" si="174"/>
        <v>2340</v>
      </c>
      <c r="S1600" s="10">
        <f t="shared" si="175"/>
        <v>195</v>
      </c>
      <c r="T1600">
        <f t="shared" si="177"/>
        <v>195</v>
      </c>
      <c r="U1600">
        <f t="shared" si="176"/>
        <v>0</v>
      </c>
    </row>
    <row r="1601" spans="1:21" ht="14.25" customHeight="1" x14ac:dyDescent="0.35">
      <c r="A1601" s="6" t="s">
        <v>4902</v>
      </c>
      <c r="B1601" s="6" t="s">
        <v>4903</v>
      </c>
      <c r="C1601" s="6" t="s">
        <v>4904</v>
      </c>
      <c r="D1601" s="6" t="s">
        <v>44</v>
      </c>
      <c r="E1601" s="7" t="s">
        <v>23</v>
      </c>
      <c r="F1601" s="6">
        <v>85050</v>
      </c>
      <c r="G1601" s="6" t="s">
        <v>32</v>
      </c>
      <c r="H1601" s="6" t="s">
        <v>169</v>
      </c>
      <c r="I1601" s="6" t="s">
        <v>26</v>
      </c>
      <c r="J1601" s="6" t="b">
        <v>0</v>
      </c>
      <c r="K1601" s="6" t="s">
        <v>27</v>
      </c>
      <c r="L1601" s="6">
        <v>40</v>
      </c>
      <c r="M1601" s="6">
        <v>195</v>
      </c>
      <c r="N1601" s="8" t="str">
        <f t="shared" si="170"/>
        <v>0</v>
      </c>
      <c r="O1601" s="8">
        <f t="shared" si="171"/>
        <v>2380</v>
      </c>
      <c r="P1601" s="8">
        <f t="shared" si="172"/>
        <v>2380</v>
      </c>
      <c r="Q1601" s="8">
        <f t="shared" si="173"/>
        <v>0</v>
      </c>
      <c r="R1601" s="9">
        <f t="shared" si="174"/>
        <v>2380</v>
      </c>
      <c r="S1601" s="10">
        <f t="shared" si="175"/>
        <v>198.33333333333334</v>
      </c>
      <c r="T1601">
        <f t="shared" si="177"/>
        <v>195</v>
      </c>
      <c r="U1601">
        <f t="shared" si="176"/>
        <v>0</v>
      </c>
    </row>
    <row r="1602" spans="1:21" ht="14.25" customHeight="1" x14ac:dyDescent="0.35">
      <c r="A1602" s="6" t="s">
        <v>4914</v>
      </c>
      <c r="B1602" s="6" t="s">
        <v>4915</v>
      </c>
      <c r="C1602" s="6" t="s">
        <v>4916</v>
      </c>
      <c r="D1602" s="6" t="s">
        <v>44</v>
      </c>
      <c r="E1602" s="7" t="s">
        <v>23</v>
      </c>
      <c r="F1602" s="6">
        <v>85007</v>
      </c>
      <c r="G1602" s="6" t="s">
        <v>213</v>
      </c>
      <c r="H1602" s="6" t="s">
        <v>202</v>
      </c>
      <c r="I1602" s="6" t="s">
        <v>26</v>
      </c>
      <c r="J1602" s="6" t="b">
        <v>0</v>
      </c>
      <c r="K1602" s="6" t="s">
        <v>89</v>
      </c>
      <c r="L1602" s="6">
        <v>0</v>
      </c>
      <c r="M1602" s="6">
        <v>195</v>
      </c>
      <c r="N1602" s="8" t="str">
        <f t="shared" ref="N1602:N1652" si="178">IF(J1602=TRUE, 6.39*12, "0")</f>
        <v>0</v>
      </c>
      <c r="O1602" s="8">
        <f t="shared" ref="O1602:O1665" si="179">L1602+(M1602*12)+N1602</f>
        <v>2340</v>
      </c>
      <c r="P1602" s="8">
        <f t="shared" ref="P1602:P1665" si="180">IF(OR(K1602="Check",K1602="ACH"), O1602*0.97, O1602)</f>
        <v>2269.7999999999997</v>
      </c>
      <c r="Q1602" s="8">
        <f t="shared" ref="Q1602:Q1665" si="181">P1602-O1602</f>
        <v>-70.200000000000273</v>
      </c>
      <c r="R1602" s="9">
        <f t="shared" ref="R1602:R1665" si="182">O1602-Q1602</f>
        <v>2410.2000000000003</v>
      </c>
      <c r="S1602" s="10">
        <f t="shared" ref="S1602:S1665" si="183">R1602/12</f>
        <v>200.85000000000002</v>
      </c>
      <c r="T1602">
        <f t="shared" si="177"/>
        <v>195</v>
      </c>
      <c r="U1602">
        <f t="shared" si="176"/>
        <v>0</v>
      </c>
    </row>
    <row r="1603" spans="1:21" ht="14.25" customHeight="1" x14ac:dyDescent="0.35">
      <c r="A1603" s="6" t="s">
        <v>4917</v>
      </c>
      <c r="B1603" s="6" t="s">
        <v>4918</v>
      </c>
      <c r="C1603" s="6" t="s">
        <v>4919</v>
      </c>
      <c r="D1603" s="6" t="s">
        <v>44</v>
      </c>
      <c r="E1603" s="7" t="s">
        <v>23</v>
      </c>
      <c r="F1603" s="6">
        <v>85023</v>
      </c>
      <c r="G1603" s="6" t="s">
        <v>173</v>
      </c>
      <c r="H1603" s="6" t="s">
        <v>79</v>
      </c>
      <c r="I1603" s="6" t="s">
        <v>26</v>
      </c>
      <c r="J1603" s="6" t="b">
        <v>0</v>
      </c>
      <c r="K1603" s="6" t="s">
        <v>89</v>
      </c>
      <c r="L1603" s="6">
        <v>0</v>
      </c>
      <c r="M1603" s="6">
        <v>195</v>
      </c>
      <c r="N1603" s="8" t="str">
        <f t="shared" si="178"/>
        <v>0</v>
      </c>
      <c r="O1603" s="8">
        <f t="shared" si="179"/>
        <v>2340</v>
      </c>
      <c r="P1603" s="8">
        <f t="shared" si="180"/>
        <v>2269.7999999999997</v>
      </c>
      <c r="Q1603" s="8">
        <f t="shared" si="181"/>
        <v>-70.200000000000273</v>
      </c>
      <c r="R1603" s="9">
        <f t="shared" si="182"/>
        <v>2410.2000000000003</v>
      </c>
      <c r="S1603" s="10">
        <f t="shared" si="183"/>
        <v>200.85000000000002</v>
      </c>
      <c r="T1603">
        <f t="shared" si="177"/>
        <v>195</v>
      </c>
      <c r="U1603">
        <f t="shared" si="176"/>
        <v>0</v>
      </c>
    </row>
    <row r="1604" spans="1:21" ht="14.25" customHeight="1" x14ac:dyDescent="0.35">
      <c r="A1604" s="6" t="s">
        <v>4920</v>
      </c>
      <c r="B1604" s="6" t="s">
        <v>4921</v>
      </c>
      <c r="C1604" s="6" t="s">
        <v>4922</v>
      </c>
      <c r="D1604" s="6" t="s">
        <v>614</v>
      </c>
      <c r="E1604" s="7" t="s">
        <v>23</v>
      </c>
      <c r="F1604" s="6">
        <v>85268</v>
      </c>
      <c r="G1604" s="6" t="s">
        <v>45</v>
      </c>
      <c r="H1604" s="6" t="s">
        <v>50</v>
      </c>
      <c r="I1604" s="6" t="s">
        <v>26</v>
      </c>
      <c r="J1604" s="6" t="b">
        <v>0</v>
      </c>
      <c r="K1604" s="6" t="s">
        <v>89</v>
      </c>
      <c r="L1604" s="6">
        <v>0</v>
      </c>
      <c r="M1604" s="6">
        <v>195</v>
      </c>
      <c r="N1604" s="8" t="str">
        <f t="shared" si="178"/>
        <v>0</v>
      </c>
      <c r="O1604" s="8">
        <f t="shared" si="179"/>
        <v>2340</v>
      </c>
      <c r="P1604" s="8">
        <f t="shared" si="180"/>
        <v>2269.7999999999997</v>
      </c>
      <c r="Q1604" s="8">
        <f t="shared" si="181"/>
        <v>-70.200000000000273</v>
      </c>
      <c r="R1604" s="9">
        <f t="shared" si="182"/>
        <v>2410.2000000000003</v>
      </c>
      <c r="S1604" s="10">
        <f t="shared" si="183"/>
        <v>200.85000000000002</v>
      </c>
      <c r="T1604">
        <f t="shared" si="177"/>
        <v>195</v>
      </c>
      <c r="U1604">
        <f t="shared" ref="U1604:U1652" si="184">SUM(T1604-M1604)</f>
        <v>0</v>
      </c>
    </row>
    <row r="1605" spans="1:21" ht="14.25" customHeight="1" x14ac:dyDescent="0.35">
      <c r="A1605" s="6" t="s">
        <v>4923</v>
      </c>
      <c r="B1605" s="6" t="s">
        <v>4924</v>
      </c>
      <c r="C1605" s="6" t="s">
        <v>4925</v>
      </c>
      <c r="D1605" s="6" t="s">
        <v>77</v>
      </c>
      <c r="E1605" s="7" t="s">
        <v>23</v>
      </c>
      <c r="F1605" s="6">
        <v>85310</v>
      </c>
      <c r="G1605" s="6" t="s">
        <v>78</v>
      </c>
      <c r="H1605" s="6" t="s">
        <v>79</v>
      </c>
      <c r="I1605" s="6" t="s">
        <v>26</v>
      </c>
      <c r="J1605" s="6" t="b">
        <v>0</v>
      </c>
      <c r="K1605" s="6" t="s">
        <v>89</v>
      </c>
      <c r="L1605" s="6">
        <v>0</v>
      </c>
      <c r="M1605" s="6">
        <v>195</v>
      </c>
      <c r="N1605" s="8" t="str">
        <f t="shared" si="178"/>
        <v>0</v>
      </c>
      <c r="O1605" s="8">
        <f t="shared" si="179"/>
        <v>2340</v>
      </c>
      <c r="P1605" s="8">
        <f t="shared" si="180"/>
        <v>2269.7999999999997</v>
      </c>
      <c r="Q1605" s="8">
        <f t="shared" si="181"/>
        <v>-70.200000000000273</v>
      </c>
      <c r="R1605" s="9">
        <f t="shared" si="182"/>
        <v>2410.2000000000003</v>
      </c>
      <c r="S1605" s="10">
        <f t="shared" si="183"/>
        <v>200.85000000000002</v>
      </c>
      <c r="T1605">
        <f t="shared" si="177"/>
        <v>195</v>
      </c>
      <c r="U1605">
        <f t="shared" si="184"/>
        <v>0</v>
      </c>
    </row>
    <row r="1606" spans="1:21" ht="14.25" customHeight="1" x14ac:dyDescent="0.35">
      <c r="A1606" s="6" t="s">
        <v>4926</v>
      </c>
      <c r="B1606" s="6" t="s">
        <v>4927</v>
      </c>
      <c r="C1606" s="6" t="s">
        <v>4928</v>
      </c>
      <c r="D1606" s="6" t="s">
        <v>77</v>
      </c>
      <c r="E1606" s="7" t="s">
        <v>23</v>
      </c>
      <c r="F1606" s="6">
        <v>85304</v>
      </c>
      <c r="G1606" s="6" t="s">
        <v>72</v>
      </c>
      <c r="H1606" s="6" t="s">
        <v>93</v>
      </c>
      <c r="I1606" s="6" t="s">
        <v>26</v>
      </c>
      <c r="J1606" s="6" t="b">
        <v>0</v>
      </c>
      <c r="K1606" s="6" t="s">
        <v>89</v>
      </c>
      <c r="L1606" s="6">
        <v>0</v>
      </c>
      <c r="M1606" s="6">
        <v>195</v>
      </c>
      <c r="N1606" s="8" t="str">
        <f t="shared" si="178"/>
        <v>0</v>
      </c>
      <c r="O1606" s="8">
        <f t="shared" si="179"/>
        <v>2340</v>
      </c>
      <c r="P1606" s="8">
        <f t="shared" si="180"/>
        <v>2269.7999999999997</v>
      </c>
      <c r="Q1606" s="8">
        <f t="shared" si="181"/>
        <v>-70.200000000000273</v>
      </c>
      <c r="R1606" s="9">
        <f t="shared" si="182"/>
        <v>2410.2000000000003</v>
      </c>
      <c r="S1606" s="10">
        <f t="shared" si="183"/>
        <v>200.85000000000002</v>
      </c>
      <c r="T1606">
        <f t="shared" si="177"/>
        <v>195</v>
      </c>
      <c r="U1606">
        <f t="shared" si="184"/>
        <v>0</v>
      </c>
    </row>
    <row r="1607" spans="1:21" ht="14.25" customHeight="1" x14ac:dyDescent="0.35">
      <c r="A1607" s="6" t="s">
        <v>4929</v>
      </c>
      <c r="B1607" s="6" t="s">
        <v>4930</v>
      </c>
      <c r="C1607" s="6" t="s">
        <v>4931</v>
      </c>
      <c r="D1607" s="6" t="s">
        <v>165</v>
      </c>
      <c r="E1607" s="7" t="s">
        <v>23</v>
      </c>
      <c r="F1607" s="6">
        <v>85234</v>
      </c>
      <c r="G1607" s="6" t="s">
        <v>125</v>
      </c>
      <c r="H1607" s="6" t="s">
        <v>180</v>
      </c>
      <c r="I1607" s="6" t="s">
        <v>61</v>
      </c>
      <c r="J1607" s="6" t="b">
        <v>0</v>
      </c>
      <c r="K1607" s="6" t="s">
        <v>89</v>
      </c>
      <c r="L1607" s="6">
        <v>0</v>
      </c>
      <c r="M1607" s="6">
        <v>195</v>
      </c>
      <c r="N1607" s="8" t="str">
        <f t="shared" si="178"/>
        <v>0</v>
      </c>
      <c r="O1607" s="8">
        <f t="shared" si="179"/>
        <v>2340</v>
      </c>
      <c r="P1607" s="8">
        <f t="shared" si="180"/>
        <v>2269.7999999999997</v>
      </c>
      <c r="Q1607" s="8">
        <f t="shared" si="181"/>
        <v>-70.200000000000273</v>
      </c>
      <c r="R1607" s="9">
        <f t="shared" si="182"/>
        <v>2410.2000000000003</v>
      </c>
      <c r="S1607" s="10">
        <f t="shared" si="183"/>
        <v>200.85000000000002</v>
      </c>
      <c r="T1607">
        <f t="shared" si="177"/>
        <v>195</v>
      </c>
      <c r="U1607">
        <f t="shared" si="184"/>
        <v>0</v>
      </c>
    </row>
    <row r="1608" spans="1:21" ht="14.25" customHeight="1" x14ac:dyDescent="0.35">
      <c r="A1608" s="6" t="s">
        <v>4932</v>
      </c>
      <c r="B1608" s="6" t="s">
        <v>4933</v>
      </c>
      <c r="C1608" s="6" t="s">
        <v>4934</v>
      </c>
      <c r="D1608" s="6" t="s">
        <v>31</v>
      </c>
      <c r="E1608" s="7" t="s">
        <v>23</v>
      </c>
      <c r="F1608" s="6">
        <v>85259</v>
      </c>
      <c r="G1608" s="6" t="s">
        <v>45</v>
      </c>
      <c r="H1608" s="6" t="s">
        <v>169</v>
      </c>
      <c r="I1608" s="6" t="s">
        <v>26</v>
      </c>
      <c r="J1608" s="6" t="b">
        <v>0</v>
      </c>
      <c r="K1608" s="6" t="s">
        <v>89</v>
      </c>
      <c r="L1608" s="6">
        <v>0</v>
      </c>
      <c r="M1608" s="6">
        <v>195</v>
      </c>
      <c r="N1608" s="8" t="str">
        <f t="shared" si="178"/>
        <v>0</v>
      </c>
      <c r="O1608" s="8">
        <f t="shared" si="179"/>
        <v>2340</v>
      </c>
      <c r="P1608" s="8">
        <f t="shared" si="180"/>
        <v>2269.7999999999997</v>
      </c>
      <c r="Q1608" s="8">
        <f t="shared" si="181"/>
        <v>-70.200000000000273</v>
      </c>
      <c r="R1608" s="9">
        <f t="shared" si="182"/>
        <v>2410.2000000000003</v>
      </c>
      <c r="S1608" s="10">
        <f t="shared" si="183"/>
        <v>200.85000000000002</v>
      </c>
      <c r="T1608">
        <f t="shared" si="177"/>
        <v>195</v>
      </c>
      <c r="U1608">
        <f t="shared" si="184"/>
        <v>0</v>
      </c>
    </row>
    <row r="1609" spans="1:21" ht="14.25" customHeight="1" x14ac:dyDescent="0.35">
      <c r="A1609" s="6" t="s">
        <v>4935</v>
      </c>
      <c r="B1609" s="6" t="s">
        <v>4936</v>
      </c>
      <c r="C1609" s="6" t="s">
        <v>4937</v>
      </c>
      <c r="D1609" s="6" t="s">
        <v>65</v>
      </c>
      <c r="E1609" s="7" t="s">
        <v>23</v>
      </c>
      <c r="F1609" s="6">
        <v>85215</v>
      </c>
      <c r="G1609" s="6" t="s">
        <v>66</v>
      </c>
      <c r="I1609" s="6" t="s">
        <v>26</v>
      </c>
      <c r="J1609" s="6" t="b">
        <v>0</v>
      </c>
      <c r="K1609" s="6" t="s">
        <v>89</v>
      </c>
      <c r="L1609" s="6">
        <v>0</v>
      </c>
      <c r="M1609" s="6">
        <v>195</v>
      </c>
      <c r="N1609" s="8" t="str">
        <f t="shared" si="178"/>
        <v>0</v>
      </c>
      <c r="O1609" s="8">
        <f t="shared" si="179"/>
        <v>2340</v>
      </c>
      <c r="P1609" s="8">
        <f t="shared" si="180"/>
        <v>2269.7999999999997</v>
      </c>
      <c r="Q1609" s="8">
        <f t="shared" si="181"/>
        <v>-70.200000000000273</v>
      </c>
      <c r="R1609" s="9">
        <f t="shared" si="182"/>
        <v>2410.2000000000003</v>
      </c>
      <c r="S1609" s="10">
        <f t="shared" si="183"/>
        <v>200.85000000000002</v>
      </c>
      <c r="T1609">
        <f t="shared" si="177"/>
        <v>195</v>
      </c>
      <c r="U1609">
        <f t="shared" si="184"/>
        <v>0</v>
      </c>
    </row>
    <row r="1610" spans="1:21" ht="14.25" customHeight="1" x14ac:dyDescent="0.35">
      <c r="A1610" s="6" t="s">
        <v>4938</v>
      </c>
      <c r="B1610" s="6" t="s">
        <v>4939</v>
      </c>
      <c r="C1610" s="6" t="s">
        <v>4940</v>
      </c>
      <c r="D1610" s="6" t="s">
        <v>44</v>
      </c>
      <c r="E1610" s="7" t="s">
        <v>23</v>
      </c>
      <c r="F1610" s="6">
        <v>85022</v>
      </c>
      <c r="G1610" s="6" t="s">
        <v>173</v>
      </c>
      <c r="I1610" s="6" t="s">
        <v>26</v>
      </c>
      <c r="J1610" s="6" t="b">
        <v>0</v>
      </c>
      <c r="K1610" s="6" t="s">
        <v>89</v>
      </c>
      <c r="L1610" s="6">
        <v>0</v>
      </c>
      <c r="M1610" s="6">
        <v>195</v>
      </c>
      <c r="N1610" s="8" t="str">
        <f t="shared" si="178"/>
        <v>0</v>
      </c>
      <c r="O1610" s="8">
        <f t="shared" si="179"/>
        <v>2340</v>
      </c>
      <c r="P1610" s="8">
        <f t="shared" si="180"/>
        <v>2269.7999999999997</v>
      </c>
      <c r="Q1610" s="8">
        <f t="shared" si="181"/>
        <v>-70.200000000000273</v>
      </c>
      <c r="R1610" s="9">
        <f t="shared" si="182"/>
        <v>2410.2000000000003</v>
      </c>
      <c r="S1610" s="10">
        <f t="shared" si="183"/>
        <v>200.85000000000002</v>
      </c>
      <c r="T1610">
        <f t="shared" ref="T1610:T1652" si="185">M1610</f>
        <v>195</v>
      </c>
      <c r="U1610">
        <f t="shared" si="184"/>
        <v>0</v>
      </c>
    </row>
    <row r="1611" spans="1:21" ht="14.25" customHeight="1" x14ac:dyDescent="0.35">
      <c r="A1611" s="6" t="s">
        <v>4941</v>
      </c>
      <c r="B1611" s="6" t="s">
        <v>4942</v>
      </c>
      <c r="C1611" s="6" t="s">
        <v>4943</v>
      </c>
      <c r="D1611" s="6" t="s">
        <v>31</v>
      </c>
      <c r="E1611" s="7" t="s">
        <v>23</v>
      </c>
      <c r="F1611" s="6">
        <v>85260</v>
      </c>
      <c r="G1611" s="6" t="s">
        <v>45</v>
      </c>
      <c r="H1611" s="6" t="s">
        <v>291</v>
      </c>
      <c r="I1611" s="6" t="s">
        <v>26</v>
      </c>
      <c r="J1611" s="6" t="b">
        <v>0</v>
      </c>
      <c r="K1611" s="6" t="s">
        <v>89</v>
      </c>
      <c r="L1611" s="6">
        <v>0</v>
      </c>
      <c r="M1611" s="6">
        <v>195</v>
      </c>
      <c r="N1611" s="8" t="str">
        <f t="shared" si="178"/>
        <v>0</v>
      </c>
      <c r="O1611" s="8">
        <f t="shared" si="179"/>
        <v>2340</v>
      </c>
      <c r="P1611" s="8">
        <f t="shared" si="180"/>
        <v>2269.7999999999997</v>
      </c>
      <c r="Q1611" s="8">
        <f t="shared" si="181"/>
        <v>-70.200000000000273</v>
      </c>
      <c r="R1611" s="9">
        <f t="shared" si="182"/>
        <v>2410.2000000000003</v>
      </c>
      <c r="S1611" s="10">
        <f t="shared" si="183"/>
        <v>200.85000000000002</v>
      </c>
      <c r="T1611">
        <f t="shared" si="185"/>
        <v>195</v>
      </c>
      <c r="U1611">
        <f t="shared" si="184"/>
        <v>0</v>
      </c>
    </row>
    <row r="1612" spans="1:21" ht="14.25" customHeight="1" x14ac:dyDescent="0.35">
      <c r="A1612" s="6" t="s">
        <v>4944</v>
      </c>
      <c r="B1612" s="6" t="s">
        <v>4945</v>
      </c>
      <c r="C1612" s="6" t="s">
        <v>4946</v>
      </c>
      <c r="D1612" s="6" t="s">
        <v>65</v>
      </c>
      <c r="E1612" s="7" t="s">
        <v>23</v>
      </c>
      <c r="F1612" s="6">
        <v>85206</v>
      </c>
      <c r="G1612" s="6" t="s">
        <v>125</v>
      </c>
      <c r="H1612" s="6" t="s">
        <v>180</v>
      </c>
      <c r="I1612" s="6" t="s">
        <v>26</v>
      </c>
      <c r="J1612" s="6" t="b">
        <v>0</v>
      </c>
      <c r="K1612" s="6" t="s">
        <v>89</v>
      </c>
      <c r="L1612" s="6">
        <v>0</v>
      </c>
      <c r="M1612" s="6">
        <v>195</v>
      </c>
      <c r="N1612" s="8" t="str">
        <f t="shared" si="178"/>
        <v>0</v>
      </c>
      <c r="O1612" s="8">
        <f t="shared" si="179"/>
        <v>2340</v>
      </c>
      <c r="P1612" s="8">
        <f t="shared" si="180"/>
        <v>2269.7999999999997</v>
      </c>
      <c r="Q1612" s="8">
        <f t="shared" si="181"/>
        <v>-70.200000000000273</v>
      </c>
      <c r="R1612" s="9">
        <f t="shared" si="182"/>
        <v>2410.2000000000003</v>
      </c>
      <c r="S1612" s="10">
        <f t="shared" si="183"/>
        <v>200.85000000000002</v>
      </c>
      <c r="T1612">
        <f t="shared" si="185"/>
        <v>195</v>
      </c>
      <c r="U1612">
        <f t="shared" si="184"/>
        <v>0</v>
      </c>
    </row>
    <row r="1613" spans="1:21" ht="14.25" customHeight="1" x14ac:dyDescent="0.35">
      <c r="A1613" s="6" t="s">
        <v>4947</v>
      </c>
      <c r="B1613" s="6" t="s">
        <v>4948</v>
      </c>
      <c r="C1613" s="6" t="s">
        <v>4949</v>
      </c>
      <c r="D1613" s="6" t="s">
        <v>37</v>
      </c>
      <c r="E1613" s="7" t="s">
        <v>23</v>
      </c>
      <c r="F1613" s="6">
        <v>85392</v>
      </c>
      <c r="G1613" s="6" t="s">
        <v>38</v>
      </c>
      <c r="H1613" s="6" t="s">
        <v>378</v>
      </c>
      <c r="I1613" s="6" t="s">
        <v>61</v>
      </c>
      <c r="J1613" s="6" t="b">
        <v>1</v>
      </c>
      <c r="K1613" s="6" t="s">
        <v>27</v>
      </c>
      <c r="L1613" s="6">
        <v>0</v>
      </c>
      <c r="M1613" s="6">
        <v>195</v>
      </c>
      <c r="N1613" s="8">
        <f t="shared" si="178"/>
        <v>76.679999999999993</v>
      </c>
      <c r="O1613" s="8">
        <f t="shared" si="179"/>
        <v>2416.6799999999998</v>
      </c>
      <c r="P1613" s="8">
        <f t="shared" si="180"/>
        <v>2416.6799999999998</v>
      </c>
      <c r="Q1613" s="8">
        <f t="shared" si="181"/>
        <v>0</v>
      </c>
      <c r="R1613" s="9">
        <f t="shared" si="182"/>
        <v>2416.6799999999998</v>
      </c>
      <c r="S1613" s="10">
        <f t="shared" si="183"/>
        <v>201.39</v>
      </c>
      <c r="T1613">
        <f t="shared" si="185"/>
        <v>195</v>
      </c>
      <c r="U1613">
        <f t="shared" si="184"/>
        <v>0</v>
      </c>
    </row>
    <row r="1614" spans="1:21" ht="14.25" customHeight="1" x14ac:dyDescent="0.35">
      <c r="A1614" s="6" t="s">
        <v>4950</v>
      </c>
      <c r="B1614" s="6" t="s">
        <v>4951</v>
      </c>
      <c r="C1614" s="6" t="s">
        <v>4952</v>
      </c>
      <c r="D1614" s="6" t="s">
        <v>44</v>
      </c>
      <c r="E1614" s="7" t="s">
        <v>23</v>
      </c>
      <c r="F1614" s="6">
        <v>85050</v>
      </c>
      <c r="G1614" s="6" t="s">
        <v>32</v>
      </c>
      <c r="H1614" s="6" t="s">
        <v>169</v>
      </c>
      <c r="I1614" s="6" t="s">
        <v>26</v>
      </c>
      <c r="J1614" s="6" t="b">
        <v>1</v>
      </c>
      <c r="K1614" s="6" t="s">
        <v>27</v>
      </c>
      <c r="L1614" s="6">
        <v>0</v>
      </c>
      <c r="M1614" s="6">
        <v>195</v>
      </c>
      <c r="N1614" s="8">
        <f t="shared" si="178"/>
        <v>76.679999999999993</v>
      </c>
      <c r="O1614" s="8">
        <f t="shared" si="179"/>
        <v>2416.6799999999998</v>
      </c>
      <c r="P1614" s="8">
        <f t="shared" si="180"/>
        <v>2416.6799999999998</v>
      </c>
      <c r="Q1614" s="8">
        <f t="shared" si="181"/>
        <v>0</v>
      </c>
      <c r="R1614" s="9">
        <f t="shared" si="182"/>
        <v>2416.6799999999998</v>
      </c>
      <c r="S1614" s="10">
        <f t="shared" si="183"/>
        <v>201.39</v>
      </c>
      <c r="T1614">
        <f t="shared" si="185"/>
        <v>195</v>
      </c>
      <c r="U1614">
        <f t="shared" si="184"/>
        <v>0</v>
      </c>
    </row>
    <row r="1615" spans="1:21" ht="14.25" customHeight="1" x14ac:dyDescent="0.35">
      <c r="A1615" s="6" t="s">
        <v>4953</v>
      </c>
      <c r="B1615" s="6" t="s">
        <v>4954</v>
      </c>
      <c r="C1615" s="6" t="s">
        <v>4955</v>
      </c>
      <c r="D1615" s="6" t="s">
        <v>165</v>
      </c>
      <c r="E1615" s="7" t="s">
        <v>23</v>
      </c>
      <c r="F1615" s="6">
        <v>85298</v>
      </c>
      <c r="G1615" s="6" t="s">
        <v>125</v>
      </c>
      <c r="H1615" s="6" t="s">
        <v>126</v>
      </c>
      <c r="I1615" s="6" t="s">
        <v>26</v>
      </c>
      <c r="J1615" s="6" t="b">
        <v>1</v>
      </c>
      <c r="K1615" s="6" t="s">
        <v>27</v>
      </c>
      <c r="L1615" s="6">
        <v>0</v>
      </c>
      <c r="M1615" s="6">
        <v>195</v>
      </c>
      <c r="N1615" s="8">
        <f t="shared" si="178"/>
        <v>76.679999999999993</v>
      </c>
      <c r="O1615" s="8">
        <f t="shared" si="179"/>
        <v>2416.6799999999998</v>
      </c>
      <c r="P1615" s="8">
        <f t="shared" si="180"/>
        <v>2416.6799999999998</v>
      </c>
      <c r="Q1615" s="8">
        <f t="shared" si="181"/>
        <v>0</v>
      </c>
      <c r="R1615" s="9">
        <f t="shared" si="182"/>
        <v>2416.6799999999998</v>
      </c>
      <c r="S1615" s="10">
        <f t="shared" si="183"/>
        <v>201.39</v>
      </c>
      <c r="T1615">
        <f t="shared" si="185"/>
        <v>195</v>
      </c>
      <c r="U1615">
        <f t="shared" si="184"/>
        <v>0</v>
      </c>
    </row>
    <row r="1616" spans="1:21" ht="14.25" customHeight="1" x14ac:dyDescent="0.35">
      <c r="A1616" s="6" t="s">
        <v>4956</v>
      </c>
      <c r="B1616" s="6" t="s">
        <v>4957</v>
      </c>
      <c r="C1616" s="6" t="s">
        <v>4958</v>
      </c>
      <c r="D1616" s="6" t="s">
        <v>1551</v>
      </c>
      <c r="E1616" s="7" t="s">
        <v>23</v>
      </c>
      <c r="F1616" s="6">
        <v>85373</v>
      </c>
      <c r="G1616" s="6" t="s">
        <v>78</v>
      </c>
      <c r="H1616" s="6" t="s">
        <v>281</v>
      </c>
      <c r="I1616" s="6" t="s">
        <v>26</v>
      </c>
      <c r="J1616" s="6" t="b">
        <v>1</v>
      </c>
      <c r="K1616" s="6" t="s">
        <v>27</v>
      </c>
      <c r="L1616" s="6">
        <v>0</v>
      </c>
      <c r="M1616" s="6">
        <v>195</v>
      </c>
      <c r="N1616" s="8">
        <f t="shared" si="178"/>
        <v>76.679999999999993</v>
      </c>
      <c r="O1616" s="8">
        <f t="shared" si="179"/>
        <v>2416.6799999999998</v>
      </c>
      <c r="P1616" s="8">
        <f t="shared" si="180"/>
        <v>2416.6799999999998</v>
      </c>
      <c r="Q1616" s="8">
        <f t="shared" si="181"/>
        <v>0</v>
      </c>
      <c r="R1616" s="9">
        <f t="shared" si="182"/>
        <v>2416.6799999999998</v>
      </c>
      <c r="S1616" s="10">
        <f t="shared" si="183"/>
        <v>201.39</v>
      </c>
      <c r="T1616">
        <f t="shared" si="185"/>
        <v>195</v>
      </c>
      <c r="U1616">
        <f t="shared" si="184"/>
        <v>0</v>
      </c>
    </row>
    <row r="1617" spans="1:21" ht="14.25" customHeight="1" x14ac:dyDescent="0.35">
      <c r="A1617" s="6" t="s">
        <v>4959</v>
      </c>
      <c r="B1617" s="6" t="s">
        <v>4960</v>
      </c>
      <c r="C1617" s="6" t="s">
        <v>4961</v>
      </c>
      <c r="D1617" s="6" t="s">
        <v>1499</v>
      </c>
      <c r="E1617" s="7" t="s">
        <v>23</v>
      </c>
      <c r="F1617" s="6">
        <v>85086</v>
      </c>
      <c r="G1617" s="6" t="s">
        <v>32</v>
      </c>
      <c r="H1617" s="6" t="s">
        <v>79</v>
      </c>
      <c r="I1617" s="6" t="s">
        <v>40</v>
      </c>
      <c r="J1617" s="6" t="b">
        <v>1</v>
      </c>
      <c r="K1617" s="6" t="s">
        <v>27</v>
      </c>
      <c r="L1617" s="6">
        <v>0</v>
      </c>
      <c r="M1617" s="6">
        <v>195</v>
      </c>
      <c r="N1617" s="8">
        <f t="shared" si="178"/>
        <v>76.679999999999993</v>
      </c>
      <c r="O1617" s="8">
        <f t="shared" si="179"/>
        <v>2416.6799999999998</v>
      </c>
      <c r="P1617" s="8">
        <f t="shared" si="180"/>
        <v>2416.6799999999998</v>
      </c>
      <c r="Q1617" s="8">
        <f t="shared" si="181"/>
        <v>0</v>
      </c>
      <c r="R1617" s="9">
        <f t="shared" si="182"/>
        <v>2416.6799999999998</v>
      </c>
      <c r="S1617" s="10">
        <f t="shared" si="183"/>
        <v>201.39</v>
      </c>
      <c r="T1617">
        <f t="shared" si="185"/>
        <v>195</v>
      </c>
      <c r="U1617">
        <f t="shared" si="184"/>
        <v>0</v>
      </c>
    </row>
    <row r="1618" spans="1:21" ht="14.25" customHeight="1" x14ac:dyDescent="0.35">
      <c r="A1618" s="6" t="s">
        <v>4911</v>
      </c>
      <c r="B1618" s="6" t="s">
        <v>4912</v>
      </c>
      <c r="C1618" s="6" t="s">
        <v>4913</v>
      </c>
      <c r="D1618" s="6" t="s">
        <v>54</v>
      </c>
      <c r="E1618" s="7" t="s">
        <v>23</v>
      </c>
      <c r="F1618" s="6">
        <v>85749</v>
      </c>
      <c r="G1618" s="6" t="s">
        <v>55</v>
      </c>
      <c r="H1618" s="6" t="s">
        <v>56</v>
      </c>
      <c r="I1618" s="6" t="s">
        <v>110</v>
      </c>
      <c r="J1618" s="6" t="b">
        <v>0</v>
      </c>
      <c r="K1618" s="6" t="s">
        <v>27</v>
      </c>
      <c r="L1618" s="6">
        <v>0</v>
      </c>
      <c r="M1618" s="6">
        <v>200</v>
      </c>
      <c r="N1618" s="8" t="str">
        <f t="shared" si="178"/>
        <v>0</v>
      </c>
      <c r="O1618" s="8">
        <f t="shared" si="179"/>
        <v>2400</v>
      </c>
      <c r="P1618" s="8">
        <f t="shared" si="180"/>
        <v>2400</v>
      </c>
      <c r="Q1618" s="8">
        <f t="shared" si="181"/>
        <v>0</v>
      </c>
      <c r="R1618" s="9">
        <f t="shared" si="182"/>
        <v>2400</v>
      </c>
      <c r="S1618" s="10">
        <f t="shared" si="183"/>
        <v>200</v>
      </c>
      <c r="T1618">
        <f t="shared" si="185"/>
        <v>200</v>
      </c>
      <c r="U1618">
        <f t="shared" si="184"/>
        <v>0</v>
      </c>
    </row>
    <row r="1619" spans="1:21" ht="14.25" customHeight="1" x14ac:dyDescent="0.35">
      <c r="A1619" s="6" t="s">
        <v>4962</v>
      </c>
      <c r="B1619" s="6" t="s">
        <v>4963</v>
      </c>
      <c r="C1619" s="6" t="s">
        <v>4964</v>
      </c>
      <c r="D1619" s="6" t="s">
        <v>65</v>
      </c>
      <c r="E1619" s="7" t="s">
        <v>23</v>
      </c>
      <c r="F1619" s="6">
        <v>85207</v>
      </c>
      <c r="G1619" s="6" t="s">
        <v>66</v>
      </c>
      <c r="H1619" s="6" t="s">
        <v>67</v>
      </c>
      <c r="I1619" s="6" t="s">
        <v>26</v>
      </c>
      <c r="J1619" s="6" t="b">
        <v>1</v>
      </c>
      <c r="K1619" s="6" t="s">
        <v>27</v>
      </c>
      <c r="L1619" s="6">
        <v>40</v>
      </c>
      <c r="M1619" s="6">
        <v>204.5</v>
      </c>
      <c r="N1619" s="8">
        <f t="shared" si="178"/>
        <v>76.679999999999993</v>
      </c>
      <c r="O1619" s="8">
        <f t="shared" si="179"/>
        <v>2570.6799999999998</v>
      </c>
      <c r="P1619" s="8">
        <f t="shared" si="180"/>
        <v>2570.6799999999998</v>
      </c>
      <c r="Q1619" s="8">
        <f t="shared" si="181"/>
        <v>0</v>
      </c>
      <c r="R1619" s="9">
        <f t="shared" si="182"/>
        <v>2570.6799999999998</v>
      </c>
      <c r="S1619" s="10">
        <f t="shared" si="183"/>
        <v>214.22333333333333</v>
      </c>
      <c r="T1619">
        <f t="shared" si="185"/>
        <v>204.5</v>
      </c>
      <c r="U1619">
        <f t="shared" si="184"/>
        <v>0</v>
      </c>
    </row>
    <row r="1620" spans="1:21" ht="14.25" customHeight="1" x14ac:dyDescent="0.35">
      <c r="A1620" s="6" t="s">
        <v>4965</v>
      </c>
      <c r="B1620" s="6" t="s">
        <v>4966</v>
      </c>
      <c r="C1620" s="6" t="s">
        <v>4967</v>
      </c>
      <c r="D1620" s="6" t="s">
        <v>31</v>
      </c>
      <c r="E1620" s="7" t="s">
        <v>23</v>
      </c>
      <c r="F1620" s="6">
        <v>85255</v>
      </c>
      <c r="G1620" s="6" t="s">
        <v>32</v>
      </c>
      <c r="H1620" s="6" t="s">
        <v>33</v>
      </c>
      <c r="I1620" s="6" t="s">
        <v>26</v>
      </c>
      <c r="J1620" s="6" t="b">
        <v>1</v>
      </c>
      <c r="K1620" s="6" t="s">
        <v>27</v>
      </c>
      <c r="L1620" s="6">
        <v>40</v>
      </c>
      <c r="M1620" s="6">
        <v>225</v>
      </c>
      <c r="N1620" s="8">
        <f t="shared" si="178"/>
        <v>76.679999999999993</v>
      </c>
      <c r="O1620" s="8">
        <f t="shared" si="179"/>
        <v>2816.68</v>
      </c>
      <c r="P1620" s="8">
        <f t="shared" si="180"/>
        <v>2816.68</v>
      </c>
      <c r="Q1620" s="8">
        <f t="shared" si="181"/>
        <v>0</v>
      </c>
      <c r="R1620" s="9">
        <f t="shared" si="182"/>
        <v>2816.68</v>
      </c>
      <c r="S1620" s="10">
        <f t="shared" si="183"/>
        <v>234.72333333333333</v>
      </c>
      <c r="T1620">
        <f t="shared" si="185"/>
        <v>225</v>
      </c>
      <c r="U1620">
        <f t="shared" si="184"/>
        <v>0</v>
      </c>
    </row>
    <row r="1621" spans="1:21" ht="14.25" customHeight="1" x14ac:dyDescent="0.35">
      <c r="A1621" s="6" t="s">
        <v>4968</v>
      </c>
      <c r="B1621" s="6" t="s">
        <v>4969</v>
      </c>
      <c r="C1621" s="6" t="s">
        <v>4970</v>
      </c>
      <c r="D1621" s="6" t="s">
        <v>44</v>
      </c>
      <c r="E1621" s="7" t="s">
        <v>23</v>
      </c>
      <c r="F1621" s="6">
        <v>85021</v>
      </c>
      <c r="G1621" s="6" t="s">
        <v>72</v>
      </c>
      <c r="H1621" s="6" t="s">
        <v>93</v>
      </c>
      <c r="I1621" s="6" t="s">
        <v>26</v>
      </c>
      <c r="J1621" s="6" t="b">
        <v>1</v>
      </c>
      <c r="K1621" s="6" t="s">
        <v>27</v>
      </c>
      <c r="L1621" s="6">
        <v>41.2</v>
      </c>
      <c r="M1621" s="6">
        <v>263.3</v>
      </c>
      <c r="N1621" s="8">
        <f t="shared" si="178"/>
        <v>76.679999999999993</v>
      </c>
      <c r="O1621" s="8">
        <f t="shared" si="179"/>
        <v>3277.48</v>
      </c>
      <c r="P1621" s="8">
        <f t="shared" si="180"/>
        <v>3277.48</v>
      </c>
      <c r="Q1621" s="8">
        <f t="shared" si="181"/>
        <v>0</v>
      </c>
      <c r="R1621" s="9">
        <f t="shared" si="182"/>
        <v>3277.48</v>
      </c>
      <c r="S1621" s="10">
        <f t="shared" si="183"/>
        <v>273.12333333333333</v>
      </c>
      <c r="T1621">
        <f t="shared" si="185"/>
        <v>263.3</v>
      </c>
      <c r="U1621">
        <f t="shared" si="184"/>
        <v>0</v>
      </c>
    </row>
    <row r="1622" spans="1:21" ht="14.25" customHeight="1" x14ac:dyDescent="0.35">
      <c r="A1622" s="6" t="s">
        <v>4974</v>
      </c>
      <c r="B1622" s="6" t="s">
        <v>4975</v>
      </c>
      <c r="C1622" s="6" t="s">
        <v>4976</v>
      </c>
      <c r="D1622" s="6" t="s">
        <v>363</v>
      </c>
      <c r="E1622" s="7" t="s">
        <v>23</v>
      </c>
      <c r="F1622" s="6">
        <v>85283</v>
      </c>
      <c r="G1622" s="6" t="s">
        <v>364</v>
      </c>
      <c r="H1622" s="6" t="s">
        <v>365</v>
      </c>
      <c r="I1622" s="6" t="s">
        <v>26</v>
      </c>
      <c r="J1622" s="6" t="b">
        <v>1</v>
      </c>
      <c r="K1622" s="6" t="s">
        <v>27</v>
      </c>
      <c r="L1622" s="6">
        <v>81.2</v>
      </c>
      <c r="M1622" s="6">
        <v>268.3</v>
      </c>
      <c r="N1622" s="8">
        <f t="shared" si="178"/>
        <v>76.679999999999993</v>
      </c>
      <c r="O1622" s="8">
        <f t="shared" si="179"/>
        <v>3377.48</v>
      </c>
      <c r="P1622" s="8">
        <f t="shared" si="180"/>
        <v>3377.48</v>
      </c>
      <c r="Q1622" s="8">
        <f t="shared" si="181"/>
        <v>0</v>
      </c>
      <c r="R1622" s="9">
        <f t="shared" si="182"/>
        <v>3377.48</v>
      </c>
      <c r="S1622" s="10">
        <f t="shared" si="183"/>
        <v>281.45666666666665</v>
      </c>
      <c r="T1622">
        <f t="shared" si="185"/>
        <v>268.3</v>
      </c>
      <c r="U1622">
        <f t="shared" si="184"/>
        <v>0</v>
      </c>
    </row>
    <row r="1623" spans="1:21" ht="14.25" customHeight="1" x14ac:dyDescent="0.35">
      <c r="A1623" s="6" t="s">
        <v>4977</v>
      </c>
      <c r="B1623" s="6" t="s">
        <v>3922</v>
      </c>
      <c r="C1623" s="6" t="s">
        <v>4978</v>
      </c>
      <c r="D1623" s="6" t="s">
        <v>31</v>
      </c>
      <c r="E1623" s="7" t="s">
        <v>23</v>
      </c>
      <c r="F1623" s="6">
        <v>85255</v>
      </c>
      <c r="G1623" s="6" t="s">
        <v>32</v>
      </c>
      <c r="H1623" s="6" t="s">
        <v>33</v>
      </c>
      <c r="I1623" s="6" t="s">
        <v>26</v>
      </c>
      <c r="J1623" s="6" t="b">
        <v>1</v>
      </c>
      <c r="K1623" s="6" t="s">
        <v>27</v>
      </c>
      <c r="L1623" s="6">
        <v>81.2</v>
      </c>
      <c r="M1623" s="6">
        <v>268.3</v>
      </c>
      <c r="N1623" s="8">
        <f t="shared" si="178"/>
        <v>76.679999999999993</v>
      </c>
      <c r="O1623" s="8">
        <f t="shared" si="179"/>
        <v>3377.48</v>
      </c>
      <c r="P1623" s="8">
        <f t="shared" si="180"/>
        <v>3377.48</v>
      </c>
      <c r="Q1623" s="8">
        <f t="shared" si="181"/>
        <v>0</v>
      </c>
      <c r="R1623" s="9">
        <f t="shared" si="182"/>
        <v>3377.48</v>
      </c>
      <c r="S1623" s="10">
        <f t="shared" si="183"/>
        <v>281.45666666666665</v>
      </c>
      <c r="T1623">
        <f t="shared" si="185"/>
        <v>268.3</v>
      </c>
      <c r="U1623">
        <f t="shared" si="184"/>
        <v>0</v>
      </c>
    </row>
    <row r="1624" spans="1:21" ht="14.25" customHeight="1" x14ac:dyDescent="0.35">
      <c r="A1624" s="6" t="s">
        <v>4979</v>
      </c>
      <c r="B1624" s="6" t="s">
        <v>4980</v>
      </c>
      <c r="C1624" s="6" t="s">
        <v>4981</v>
      </c>
      <c r="D1624" s="6" t="s">
        <v>22</v>
      </c>
      <c r="E1624" s="7" t="s">
        <v>23</v>
      </c>
      <c r="F1624" s="6">
        <v>85225</v>
      </c>
      <c r="G1624" s="6" t="s">
        <v>24</v>
      </c>
      <c r="H1624" s="6" t="s">
        <v>25</v>
      </c>
      <c r="I1624" s="6" t="s">
        <v>26</v>
      </c>
      <c r="J1624" s="6" t="b">
        <v>1</v>
      </c>
      <c r="K1624" s="6" t="s">
        <v>27</v>
      </c>
      <c r="L1624" s="6">
        <v>81.2</v>
      </c>
      <c r="M1624" s="6">
        <v>268.3</v>
      </c>
      <c r="N1624" s="8">
        <f t="shared" si="178"/>
        <v>76.679999999999993</v>
      </c>
      <c r="O1624" s="8">
        <f t="shared" si="179"/>
        <v>3377.48</v>
      </c>
      <c r="P1624" s="8">
        <f t="shared" si="180"/>
        <v>3377.48</v>
      </c>
      <c r="Q1624" s="8">
        <f t="shared" si="181"/>
        <v>0</v>
      </c>
      <c r="R1624" s="9">
        <f t="shared" si="182"/>
        <v>3377.48</v>
      </c>
      <c r="S1624" s="10">
        <f t="shared" si="183"/>
        <v>281.45666666666665</v>
      </c>
      <c r="T1624">
        <f t="shared" si="185"/>
        <v>268.3</v>
      </c>
      <c r="U1624">
        <f t="shared" si="184"/>
        <v>0</v>
      </c>
    </row>
    <row r="1625" spans="1:21" ht="14.25" customHeight="1" x14ac:dyDescent="0.35">
      <c r="A1625" s="6" t="s">
        <v>4982</v>
      </c>
      <c r="B1625" s="6" t="s">
        <v>4983</v>
      </c>
      <c r="C1625" s="6" t="s">
        <v>4984</v>
      </c>
      <c r="D1625" s="6" t="s">
        <v>31</v>
      </c>
      <c r="E1625" s="7" t="s">
        <v>23</v>
      </c>
      <c r="F1625" s="6">
        <v>85255</v>
      </c>
      <c r="G1625" s="6" t="s">
        <v>32</v>
      </c>
      <c r="H1625" s="6" t="s">
        <v>33</v>
      </c>
      <c r="I1625" s="6" t="s">
        <v>26</v>
      </c>
      <c r="J1625" s="6" t="b">
        <v>1</v>
      </c>
      <c r="K1625" s="6" t="s">
        <v>27</v>
      </c>
      <c r="L1625" s="6">
        <v>81.2</v>
      </c>
      <c r="M1625" s="6">
        <v>273.60000000000002</v>
      </c>
      <c r="N1625" s="8">
        <f t="shared" si="178"/>
        <v>76.679999999999993</v>
      </c>
      <c r="O1625" s="8">
        <f t="shared" si="179"/>
        <v>3441.08</v>
      </c>
      <c r="P1625" s="8">
        <f t="shared" si="180"/>
        <v>3441.08</v>
      </c>
      <c r="Q1625" s="8">
        <f t="shared" si="181"/>
        <v>0</v>
      </c>
      <c r="R1625" s="9">
        <f t="shared" si="182"/>
        <v>3441.08</v>
      </c>
      <c r="S1625" s="10">
        <f t="shared" si="183"/>
        <v>286.75666666666666</v>
      </c>
      <c r="T1625">
        <f t="shared" si="185"/>
        <v>273.60000000000002</v>
      </c>
      <c r="U1625">
        <f t="shared" si="184"/>
        <v>0</v>
      </c>
    </row>
    <row r="1626" spans="1:21" ht="14.25" customHeight="1" x14ac:dyDescent="0.35">
      <c r="A1626" s="6" t="s">
        <v>4971</v>
      </c>
      <c r="B1626" s="6" t="s">
        <v>4972</v>
      </c>
      <c r="C1626" s="6" t="s">
        <v>4973</v>
      </c>
      <c r="D1626" s="6" t="s">
        <v>130</v>
      </c>
      <c r="E1626" s="7" t="s">
        <v>23</v>
      </c>
      <c r="F1626" s="6">
        <v>85140</v>
      </c>
      <c r="G1626" s="6" t="s">
        <v>87</v>
      </c>
      <c r="I1626" s="6" t="s">
        <v>26</v>
      </c>
      <c r="J1626" s="6" t="b">
        <v>0</v>
      </c>
      <c r="K1626" s="6" t="s">
        <v>27</v>
      </c>
      <c r="L1626" s="6">
        <v>40</v>
      </c>
      <c r="M1626" s="6">
        <v>276.5</v>
      </c>
      <c r="N1626" s="8" t="str">
        <f t="shared" si="178"/>
        <v>0</v>
      </c>
      <c r="O1626" s="8">
        <f t="shared" si="179"/>
        <v>3358</v>
      </c>
      <c r="P1626" s="8">
        <f t="shared" si="180"/>
        <v>3358</v>
      </c>
      <c r="Q1626" s="8">
        <f t="shared" si="181"/>
        <v>0</v>
      </c>
      <c r="R1626" s="9">
        <f t="shared" si="182"/>
        <v>3358</v>
      </c>
      <c r="S1626" s="10">
        <f t="shared" si="183"/>
        <v>279.83333333333331</v>
      </c>
      <c r="T1626">
        <f t="shared" si="185"/>
        <v>276.5</v>
      </c>
      <c r="U1626">
        <f t="shared" si="184"/>
        <v>0</v>
      </c>
    </row>
    <row r="1627" spans="1:21" ht="14.25" customHeight="1" x14ac:dyDescent="0.35">
      <c r="A1627" s="6" t="s">
        <v>4988</v>
      </c>
      <c r="B1627" s="6" t="s">
        <v>4989</v>
      </c>
      <c r="C1627" s="6" t="s">
        <v>4990</v>
      </c>
      <c r="D1627" s="6" t="s">
        <v>77</v>
      </c>
      <c r="E1627" s="7" t="s">
        <v>23</v>
      </c>
      <c r="F1627" s="6">
        <v>85302</v>
      </c>
      <c r="G1627" s="6" t="s">
        <v>72</v>
      </c>
      <c r="H1627" s="6" t="s">
        <v>93</v>
      </c>
      <c r="I1627" s="6" t="s">
        <v>26</v>
      </c>
      <c r="J1627" s="6" t="b">
        <v>1</v>
      </c>
      <c r="K1627" s="6" t="s">
        <v>27</v>
      </c>
      <c r="L1627" s="6">
        <v>41.2</v>
      </c>
      <c r="M1627" s="6">
        <v>278.3</v>
      </c>
      <c r="N1627" s="8">
        <f t="shared" si="178"/>
        <v>76.679999999999993</v>
      </c>
      <c r="O1627" s="8">
        <f t="shared" si="179"/>
        <v>3457.48</v>
      </c>
      <c r="P1627" s="8">
        <f t="shared" si="180"/>
        <v>3457.48</v>
      </c>
      <c r="Q1627" s="8">
        <f t="shared" si="181"/>
        <v>0</v>
      </c>
      <c r="R1627" s="9">
        <f t="shared" si="182"/>
        <v>3457.48</v>
      </c>
      <c r="S1627" s="10">
        <f t="shared" si="183"/>
        <v>288.12333333333333</v>
      </c>
      <c r="T1627">
        <f t="shared" si="185"/>
        <v>278.3</v>
      </c>
      <c r="U1627">
        <f t="shared" si="184"/>
        <v>0</v>
      </c>
    </row>
    <row r="1628" spans="1:21" ht="14.25" customHeight="1" x14ac:dyDescent="0.35">
      <c r="A1628" s="6" t="s">
        <v>4991</v>
      </c>
      <c r="B1628" s="6" t="s">
        <v>4992</v>
      </c>
      <c r="C1628" s="6" t="s">
        <v>4993</v>
      </c>
      <c r="D1628" s="6" t="s">
        <v>22</v>
      </c>
      <c r="E1628" s="7" t="s">
        <v>23</v>
      </c>
      <c r="F1628" s="6">
        <v>85286</v>
      </c>
      <c r="G1628" s="6" t="s">
        <v>125</v>
      </c>
      <c r="H1628" s="6" t="s">
        <v>126</v>
      </c>
      <c r="J1628" s="6" t="b">
        <v>1</v>
      </c>
      <c r="K1628" s="6" t="s">
        <v>27</v>
      </c>
      <c r="L1628" s="6">
        <v>81.2</v>
      </c>
      <c r="M1628" s="6">
        <v>278.3</v>
      </c>
      <c r="N1628" s="8">
        <f t="shared" si="178"/>
        <v>76.679999999999993</v>
      </c>
      <c r="O1628" s="8">
        <f t="shared" si="179"/>
        <v>3497.48</v>
      </c>
      <c r="P1628" s="8">
        <f t="shared" si="180"/>
        <v>3497.48</v>
      </c>
      <c r="Q1628" s="8">
        <f t="shared" si="181"/>
        <v>0</v>
      </c>
      <c r="R1628" s="9">
        <f t="shared" si="182"/>
        <v>3497.48</v>
      </c>
      <c r="S1628" s="10">
        <f t="shared" si="183"/>
        <v>291.45666666666665</v>
      </c>
      <c r="T1628">
        <f t="shared" si="185"/>
        <v>278.3</v>
      </c>
      <c r="U1628">
        <f t="shared" si="184"/>
        <v>0</v>
      </c>
    </row>
    <row r="1629" spans="1:21" ht="14.25" customHeight="1" x14ac:dyDescent="0.35">
      <c r="A1629" s="6" t="s">
        <v>4985</v>
      </c>
      <c r="B1629" s="6" t="s">
        <v>4986</v>
      </c>
      <c r="C1629" s="6" t="s">
        <v>4987</v>
      </c>
      <c r="D1629" s="6" t="s">
        <v>44</v>
      </c>
      <c r="E1629" s="7" t="s">
        <v>23</v>
      </c>
      <c r="F1629" s="6">
        <v>85042</v>
      </c>
      <c r="G1629" s="6" t="s">
        <v>213</v>
      </c>
      <c r="I1629" s="6" t="s">
        <v>26</v>
      </c>
      <c r="J1629" s="6" t="b">
        <v>0</v>
      </c>
      <c r="K1629" s="6" t="s">
        <v>27</v>
      </c>
      <c r="L1629" s="6">
        <v>40</v>
      </c>
      <c r="M1629" s="6">
        <v>284</v>
      </c>
      <c r="N1629" s="8" t="str">
        <f t="shared" si="178"/>
        <v>0</v>
      </c>
      <c r="O1629" s="8">
        <f t="shared" si="179"/>
        <v>3448</v>
      </c>
      <c r="P1629" s="8">
        <f t="shared" si="180"/>
        <v>3448</v>
      </c>
      <c r="Q1629" s="8">
        <f t="shared" si="181"/>
        <v>0</v>
      </c>
      <c r="R1629" s="9">
        <f t="shared" si="182"/>
        <v>3448</v>
      </c>
      <c r="S1629" s="10">
        <f t="shared" si="183"/>
        <v>287.33333333333331</v>
      </c>
      <c r="T1629">
        <f t="shared" si="185"/>
        <v>284</v>
      </c>
      <c r="U1629">
        <f t="shared" si="184"/>
        <v>0</v>
      </c>
    </row>
    <row r="1630" spans="1:21" ht="14.25" customHeight="1" x14ac:dyDescent="0.35">
      <c r="A1630" s="6" t="s">
        <v>4997</v>
      </c>
      <c r="B1630" s="6" t="s">
        <v>4998</v>
      </c>
      <c r="C1630" s="6" t="s">
        <v>4999</v>
      </c>
      <c r="D1630" s="6" t="s">
        <v>31</v>
      </c>
      <c r="E1630" s="7" t="s">
        <v>23</v>
      </c>
      <c r="F1630" s="6">
        <v>85259</v>
      </c>
      <c r="G1630" s="6" t="s">
        <v>45</v>
      </c>
      <c r="H1630" s="6" t="s">
        <v>5000</v>
      </c>
      <c r="I1630" s="6" t="s">
        <v>61</v>
      </c>
      <c r="J1630" s="6" t="b">
        <v>1</v>
      </c>
      <c r="K1630" s="6" t="s">
        <v>89</v>
      </c>
      <c r="L1630" s="6">
        <v>40</v>
      </c>
      <c r="M1630" s="6">
        <v>299.5</v>
      </c>
      <c r="N1630" s="8">
        <f t="shared" si="178"/>
        <v>76.679999999999993</v>
      </c>
      <c r="O1630" s="8">
        <f t="shared" si="179"/>
        <v>3710.68</v>
      </c>
      <c r="P1630" s="8">
        <f t="shared" si="180"/>
        <v>3599.3595999999998</v>
      </c>
      <c r="Q1630" s="8">
        <f t="shared" si="181"/>
        <v>-111.32040000000006</v>
      </c>
      <c r="R1630" s="9">
        <f t="shared" si="182"/>
        <v>3822.0003999999999</v>
      </c>
      <c r="S1630" s="10">
        <f t="shared" si="183"/>
        <v>318.50003333333331</v>
      </c>
      <c r="T1630">
        <f t="shared" si="185"/>
        <v>299.5</v>
      </c>
      <c r="U1630">
        <f t="shared" si="184"/>
        <v>0</v>
      </c>
    </row>
    <row r="1631" spans="1:21" ht="14.25" customHeight="1" x14ac:dyDescent="0.35">
      <c r="A1631" s="6" t="s">
        <v>4994</v>
      </c>
      <c r="B1631" s="6" t="s">
        <v>4995</v>
      </c>
      <c r="C1631" s="6" t="s">
        <v>4996</v>
      </c>
      <c r="D1631" s="6" t="s">
        <v>44</v>
      </c>
      <c r="E1631" s="7" t="s">
        <v>23</v>
      </c>
      <c r="F1631" s="6">
        <v>85028</v>
      </c>
      <c r="G1631" s="6" t="s">
        <v>173</v>
      </c>
      <c r="J1631" s="6" t="b">
        <v>0</v>
      </c>
      <c r="K1631" s="6" t="s">
        <v>27</v>
      </c>
      <c r="L1631" s="6">
        <v>40</v>
      </c>
      <c r="M1631" s="6">
        <v>305</v>
      </c>
      <c r="N1631" s="8" t="str">
        <f t="shared" si="178"/>
        <v>0</v>
      </c>
      <c r="O1631" s="8">
        <f t="shared" si="179"/>
        <v>3700</v>
      </c>
      <c r="P1631" s="8">
        <f t="shared" si="180"/>
        <v>3700</v>
      </c>
      <c r="Q1631" s="8">
        <f t="shared" si="181"/>
        <v>0</v>
      </c>
      <c r="R1631" s="9">
        <f t="shared" si="182"/>
        <v>3700</v>
      </c>
      <c r="S1631" s="10">
        <f t="shared" si="183"/>
        <v>308.33333333333331</v>
      </c>
      <c r="T1631">
        <f t="shared" si="185"/>
        <v>305</v>
      </c>
      <c r="U1631">
        <f t="shared" si="184"/>
        <v>0</v>
      </c>
    </row>
    <row r="1632" spans="1:21" ht="14.25" customHeight="1" x14ac:dyDescent="0.35">
      <c r="A1632" s="11" t="s">
        <v>5001</v>
      </c>
      <c r="B1632" s="6" t="s">
        <v>5002</v>
      </c>
      <c r="C1632" s="6" t="s">
        <v>5003</v>
      </c>
      <c r="D1632" s="6" t="s">
        <v>117</v>
      </c>
      <c r="E1632" s="7" t="s">
        <v>23</v>
      </c>
      <c r="F1632" s="6">
        <v>85138</v>
      </c>
      <c r="G1632" s="6" t="s">
        <v>87</v>
      </c>
      <c r="H1632" s="6" t="s">
        <v>88</v>
      </c>
      <c r="J1632" s="6" t="b">
        <v>1</v>
      </c>
      <c r="K1632" s="6" t="s">
        <v>27</v>
      </c>
      <c r="L1632" s="6">
        <v>81.2</v>
      </c>
      <c r="M1632" s="6">
        <v>306.94</v>
      </c>
      <c r="N1632" s="8">
        <f t="shared" si="178"/>
        <v>76.679999999999993</v>
      </c>
      <c r="O1632" s="8">
        <f t="shared" si="179"/>
        <v>3841.1599999999994</v>
      </c>
      <c r="P1632" s="8">
        <f t="shared" si="180"/>
        <v>3841.1599999999994</v>
      </c>
      <c r="Q1632" s="8">
        <f t="shared" si="181"/>
        <v>0</v>
      </c>
      <c r="R1632" s="9">
        <f t="shared" si="182"/>
        <v>3841.1599999999994</v>
      </c>
      <c r="S1632" s="10">
        <f t="shared" si="183"/>
        <v>320.09666666666664</v>
      </c>
      <c r="T1632">
        <f t="shared" si="185"/>
        <v>306.94</v>
      </c>
      <c r="U1632">
        <f t="shared" si="184"/>
        <v>0</v>
      </c>
    </row>
    <row r="1633" spans="1:21" ht="14.25" customHeight="1" x14ac:dyDescent="0.35">
      <c r="A1633" s="6" t="s">
        <v>5040</v>
      </c>
      <c r="B1633" s="6" t="s">
        <v>5041</v>
      </c>
      <c r="C1633" s="6" t="s">
        <v>5042</v>
      </c>
      <c r="D1633" s="6" t="s">
        <v>98</v>
      </c>
      <c r="E1633" s="7" t="s">
        <v>23</v>
      </c>
      <c r="F1633" s="6">
        <v>85122</v>
      </c>
      <c r="G1633" s="6" t="s">
        <v>87</v>
      </c>
      <c r="H1633" s="6" t="s">
        <v>88</v>
      </c>
      <c r="J1633" s="6" t="b">
        <v>1</v>
      </c>
      <c r="K1633" s="6" t="s">
        <v>27</v>
      </c>
      <c r="L1633" s="6">
        <v>80</v>
      </c>
      <c r="M1633" s="6">
        <v>318.47000000000003</v>
      </c>
      <c r="N1633" s="8">
        <f t="shared" si="178"/>
        <v>76.679999999999993</v>
      </c>
      <c r="O1633" s="8">
        <f t="shared" si="179"/>
        <v>3978.32</v>
      </c>
      <c r="P1633" s="8">
        <f t="shared" si="180"/>
        <v>3978.32</v>
      </c>
      <c r="Q1633" s="8">
        <f t="shared" si="181"/>
        <v>0</v>
      </c>
      <c r="R1633" s="9">
        <f t="shared" si="182"/>
        <v>3978.32</v>
      </c>
      <c r="S1633" s="10">
        <f t="shared" si="183"/>
        <v>331.5266666666667</v>
      </c>
      <c r="T1633">
        <f t="shared" si="185"/>
        <v>318.47000000000003</v>
      </c>
      <c r="U1633">
        <f t="shared" si="184"/>
        <v>0</v>
      </c>
    </row>
    <row r="1634" spans="1:21" ht="14.25" customHeight="1" x14ac:dyDescent="0.35">
      <c r="A1634" s="6" t="s">
        <v>5004</v>
      </c>
      <c r="B1634" s="6" t="s">
        <v>5005</v>
      </c>
      <c r="C1634" s="6" t="s">
        <v>5006</v>
      </c>
      <c r="D1634" s="6" t="s">
        <v>31</v>
      </c>
      <c r="E1634" s="7" t="s">
        <v>23</v>
      </c>
      <c r="F1634" s="6">
        <v>85255</v>
      </c>
      <c r="G1634" s="6" t="s">
        <v>32</v>
      </c>
      <c r="H1634" s="6" t="s">
        <v>33</v>
      </c>
      <c r="J1634" s="6" t="b">
        <v>0</v>
      </c>
      <c r="K1634" s="6" t="s">
        <v>27</v>
      </c>
      <c r="L1634" s="6">
        <v>0</v>
      </c>
      <c r="M1634" s="6">
        <v>330</v>
      </c>
      <c r="N1634" s="8" t="str">
        <f t="shared" si="178"/>
        <v>0</v>
      </c>
      <c r="O1634" s="8">
        <f t="shared" si="179"/>
        <v>3960</v>
      </c>
      <c r="P1634" s="8">
        <f t="shared" si="180"/>
        <v>3960</v>
      </c>
      <c r="Q1634" s="8">
        <f t="shared" si="181"/>
        <v>0</v>
      </c>
      <c r="R1634" s="9">
        <f t="shared" si="182"/>
        <v>3960</v>
      </c>
      <c r="S1634" s="10">
        <f t="shared" si="183"/>
        <v>330</v>
      </c>
      <c r="T1634">
        <f t="shared" si="185"/>
        <v>330</v>
      </c>
      <c r="U1634">
        <f t="shared" si="184"/>
        <v>0</v>
      </c>
    </row>
    <row r="1635" spans="1:21" ht="14.25" customHeight="1" x14ac:dyDescent="0.35">
      <c r="A1635" s="6" t="s">
        <v>5007</v>
      </c>
      <c r="B1635" s="6" t="s">
        <v>5008</v>
      </c>
      <c r="C1635" s="6" t="s">
        <v>5009</v>
      </c>
      <c r="D1635" s="6" t="s">
        <v>482</v>
      </c>
      <c r="E1635" s="7" t="s">
        <v>23</v>
      </c>
      <c r="F1635" s="6">
        <v>85326</v>
      </c>
      <c r="G1635" s="6" t="s">
        <v>38</v>
      </c>
      <c r="H1635" s="6" t="s">
        <v>378</v>
      </c>
      <c r="I1635" s="6" t="s">
        <v>26</v>
      </c>
      <c r="J1635" s="6" t="b">
        <v>0</v>
      </c>
      <c r="K1635" s="6" t="s">
        <v>27</v>
      </c>
      <c r="L1635" s="6">
        <v>0</v>
      </c>
      <c r="M1635" s="6">
        <v>330</v>
      </c>
      <c r="N1635" s="8" t="str">
        <f t="shared" si="178"/>
        <v>0</v>
      </c>
      <c r="O1635" s="8">
        <f t="shared" si="179"/>
        <v>3960</v>
      </c>
      <c r="P1635" s="8">
        <f t="shared" si="180"/>
        <v>3960</v>
      </c>
      <c r="Q1635" s="8">
        <f t="shared" si="181"/>
        <v>0</v>
      </c>
      <c r="R1635" s="9">
        <f t="shared" si="182"/>
        <v>3960</v>
      </c>
      <c r="S1635" s="10">
        <f t="shared" si="183"/>
        <v>330</v>
      </c>
      <c r="T1635">
        <f t="shared" si="185"/>
        <v>330</v>
      </c>
      <c r="U1635">
        <f t="shared" si="184"/>
        <v>0</v>
      </c>
    </row>
    <row r="1636" spans="1:21" ht="14.25" customHeight="1" x14ac:dyDescent="0.35">
      <c r="A1636" s="6" t="s">
        <v>5010</v>
      </c>
      <c r="B1636" s="6" t="s">
        <v>5011</v>
      </c>
      <c r="C1636" s="6" t="s">
        <v>5012</v>
      </c>
      <c r="D1636" s="6" t="s">
        <v>22</v>
      </c>
      <c r="E1636" s="7" t="s">
        <v>23</v>
      </c>
      <c r="F1636" s="6">
        <v>85248</v>
      </c>
      <c r="G1636" s="6" t="s">
        <v>125</v>
      </c>
      <c r="H1636" s="6" t="s">
        <v>126</v>
      </c>
      <c r="J1636" s="6" t="b">
        <v>0</v>
      </c>
      <c r="K1636" s="6" t="s">
        <v>27</v>
      </c>
      <c r="L1636" s="6">
        <v>0</v>
      </c>
      <c r="M1636" s="6">
        <v>330</v>
      </c>
      <c r="N1636" s="8" t="str">
        <f t="shared" si="178"/>
        <v>0</v>
      </c>
      <c r="O1636" s="8">
        <f t="shared" si="179"/>
        <v>3960</v>
      </c>
      <c r="P1636" s="8">
        <f t="shared" si="180"/>
        <v>3960</v>
      </c>
      <c r="Q1636" s="8">
        <f t="shared" si="181"/>
        <v>0</v>
      </c>
      <c r="R1636" s="9">
        <f t="shared" si="182"/>
        <v>3960</v>
      </c>
      <c r="S1636" s="10">
        <f t="shared" si="183"/>
        <v>330</v>
      </c>
      <c r="T1636">
        <f t="shared" si="185"/>
        <v>330</v>
      </c>
      <c r="U1636">
        <f t="shared" si="184"/>
        <v>0</v>
      </c>
    </row>
    <row r="1637" spans="1:21" ht="14.25" customHeight="1" x14ac:dyDescent="0.35">
      <c r="A1637" s="6" t="s">
        <v>5013</v>
      </c>
      <c r="B1637" s="6" t="s">
        <v>5014</v>
      </c>
      <c r="C1637" s="6" t="s">
        <v>5015</v>
      </c>
      <c r="D1637" s="6" t="s">
        <v>65</v>
      </c>
      <c r="E1637" s="7" t="s">
        <v>23</v>
      </c>
      <c r="F1637" s="6">
        <v>85207</v>
      </c>
      <c r="G1637" s="6" t="s">
        <v>66</v>
      </c>
      <c r="H1637" s="6" t="s">
        <v>67</v>
      </c>
      <c r="I1637" s="6" t="s">
        <v>26</v>
      </c>
      <c r="J1637" s="6" t="b">
        <v>0</v>
      </c>
      <c r="K1637" s="6" t="s">
        <v>27</v>
      </c>
      <c r="L1637" s="6">
        <v>0</v>
      </c>
      <c r="M1637" s="6">
        <v>330</v>
      </c>
      <c r="N1637" s="8" t="str">
        <f t="shared" si="178"/>
        <v>0</v>
      </c>
      <c r="O1637" s="8">
        <f t="shared" si="179"/>
        <v>3960</v>
      </c>
      <c r="P1637" s="8">
        <f t="shared" si="180"/>
        <v>3960</v>
      </c>
      <c r="Q1637" s="8">
        <f t="shared" si="181"/>
        <v>0</v>
      </c>
      <c r="R1637" s="9">
        <f t="shared" si="182"/>
        <v>3960</v>
      </c>
      <c r="S1637" s="10">
        <f t="shared" si="183"/>
        <v>330</v>
      </c>
      <c r="T1637">
        <f t="shared" si="185"/>
        <v>330</v>
      </c>
      <c r="U1637">
        <f t="shared" si="184"/>
        <v>0</v>
      </c>
    </row>
    <row r="1638" spans="1:21" ht="14.25" customHeight="1" x14ac:dyDescent="0.35">
      <c r="A1638" s="6" t="s">
        <v>5016</v>
      </c>
      <c r="B1638" s="6" t="s">
        <v>5017</v>
      </c>
      <c r="C1638" s="6" t="s">
        <v>5018</v>
      </c>
      <c r="D1638" s="6" t="s">
        <v>454</v>
      </c>
      <c r="E1638" s="7" t="s">
        <v>23</v>
      </c>
      <c r="F1638" s="6">
        <v>85338</v>
      </c>
      <c r="G1638" s="6" t="s">
        <v>38</v>
      </c>
      <c r="H1638" s="6" t="s">
        <v>378</v>
      </c>
      <c r="J1638" s="6" t="b">
        <v>0</v>
      </c>
      <c r="K1638" s="6" t="s">
        <v>27</v>
      </c>
      <c r="L1638" s="6">
        <v>0</v>
      </c>
      <c r="M1638" s="6">
        <v>330</v>
      </c>
      <c r="N1638" s="8" t="str">
        <f t="shared" si="178"/>
        <v>0</v>
      </c>
      <c r="O1638" s="8">
        <f t="shared" si="179"/>
        <v>3960</v>
      </c>
      <c r="P1638" s="8">
        <f t="shared" si="180"/>
        <v>3960</v>
      </c>
      <c r="Q1638" s="8">
        <f t="shared" si="181"/>
        <v>0</v>
      </c>
      <c r="R1638" s="9">
        <f t="shared" si="182"/>
        <v>3960</v>
      </c>
      <c r="S1638" s="10">
        <f t="shared" si="183"/>
        <v>330</v>
      </c>
      <c r="T1638">
        <f t="shared" si="185"/>
        <v>330</v>
      </c>
      <c r="U1638">
        <f t="shared" si="184"/>
        <v>0</v>
      </c>
    </row>
    <row r="1639" spans="1:21" ht="14.25" customHeight="1" x14ac:dyDescent="0.35">
      <c r="A1639" s="11" t="s">
        <v>5019</v>
      </c>
      <c r="B1639" s="6" t="s">
        <v>5020</v>
      </c>
      <c r="C1639" s="6" t="s">
        <v>5021</v>
      </c>
      <c r="D1639" s="6" t="s">
        <v>65</v>
      </c>
      <c r="E1639" s="7" t="s">
        <v>23</v>
      </c>
      <c r="F1639" s="6">
        <v>85207</v>
      </c>
      <c r="G1639" s="6" t="s">
        <v>66</v>
      </c>
      <c r="H1639" s="6" t="s">
        <v>67</v>
      </c>
      <c r="I1639" s="6" t="s">
        <v>26</v>
      </c>
      <c r="J1639" s="6" t="b">
        <v>0</v>
      </c>
      <c r="K1639" s="6" t="s">
        <v>27</v>
      </c>
      <c r="L1639" s="6">
        <v>0</v>
      </c>
      <c r="M1639" s="6">
        <v>330</v>
      </c>
      <c r="N1639" s="8" t="str">
        <f t="shared" si="178"/>
        <v>0</v>
      </c>
      <c r="O1639" s="8">
        <f t="shared" si="179"/>
        <v>3960</v>
      </c>
      <c r="P1639" s="8">
        <f t="shared" si="180"/>
        <v>3960</v>
      </c>
      <c r="Q1639" s="8">
        <f t="shared" si="181"/>
        <v>0</v>
      </c>
      <c r="R1639" s="9">
        <f t="shared" si="182"/>
        <v>3960</v>
      </c>
      <c r="S1639" s="10">
        <f t="shared" si="183"/>
        <v>330</v>
      </c>
      <c r="T1639">
        <f t="shared" si="185"/>
        <v>330</v>
      </c>
      <c r="U1639">
        <f t="shared" si="184"/>
        <v>0</v>
      </c>
    </row>
    <row r="1640" spans="1:21" ht="14.25" customHeight="1" x14ac:dyDescent="0.35">
      <c r="A1640" s="6" t="s">
        <v>5022</v>
      </c>
      <c r="B1640" s="6" t="s">
        <v>5023</v>
      </c>
      <c r="C1640" s="6" t="s">
        <v>5024</v>
      </c>
      <c r="D1640" s="6" t="s">
        <v>44</v>
      </c>
      <c r="E1640" s="7" t="s">
        <v>23</v>
      </c>
      <c r="F1640" s="6">
        <v>85021</v>
      </c>
      <c r="G1640" s="6" t="s">
        <v>72</v>
      </c>
      <c r="H1640" s="6" t="s">
        <v>93</v>
      </c>
      <c r="J1640" s="6" t="b">
        <v>0</v>
      </c>
      <c r="K1640" s="6" t="s">
        <v>27</v>
      </c>
      <c r="L1640" s="6">
        <v>0</v>
      </c>
      <c r="M1640" s="6">
        <v>330</v>
      </c>
      <c r="N1640" s="8" t="str">
        <f t="shared" si="178"/>
        <v>0</v>
      </c>
      <c r="O1640" s="8">
        <f t="shared" si="179"/>
        <v>3960</v>
      </c>
      <c r="P1640" s="8">
        <f t="shared" si="180"/>
        <v>3960</v>
      </c>
      <c r="Q1640" s="8">
        <f t="shared" si="181"/>
        <v>0</v>
      </c>
      <c r="R1640" s="9">
        <f t="shared" si="182"/>
        <v>3960</v>
      </c>
      <c r="S1640" s="10">
        <f t="shared" si="183"/>
        <v>330</v>
      </c>
      <c r="T1640">
        <f t="shared" si="185"/>
        <v>330</v>
      </c>
      <c r="U1640">
        <f t="shared" si="184"/>
        <v>0</v>
      </c>
    </row>
    <row r="1641" spans="1:21" ht="14.25" customHeight="1" x14ac:dyDescent="0.35">
      <c r="A1641" s="6" t="s">
        <v>5025</v>
      </c>
      <c r="B1641" s="6" t="s">
        <v>5026</v>
      </c>
      <c r="C1641" s="6" t="s">
        <v>5027</v>
      </c>
      <c r="D1641" s="6" t="s">
        <v>44</v>
      </c>
      <c r="E1641" s="7" t="s">
        <v>23</v>
      </c>
      <c r="F1641" s="6">
        <v>85051</v>
      </c>
      <c r="G1641" s="6" t="s">
        <v>72</v>
      </c>
      <c r="H1641" s="6" t="s">
        <v>93</v>
      </c>
      <c r="J1641" s="6" t="b">
        <v>0</v>
      </c>
      <c r="K1641" s="6" t="s">
        <v>27</v>
      </c>
      <c r="L1641" s="6">
        <v>0</v>
      </c>
      <c r="M1641" s="6">
        <v>330</v>
      </c>
      <c r="N1641" s="8" t="str">
        <f t="shared" si="178"/>
        <v>0</v>
      </c>
      <c r="O1641" s="8">
        <f t="shared" si="179"/>
        <v>3960</v>
      </c>
      <c r="P1641" s="8">
        <f t="shared" si="180"/>
        <v>3960</v>
      </c>
      <c r="Q1641" s="8">
        <f t="shared" si="181"/>
        <v>0</v>
      </c>
      <c r="R1641" s="9">
        <f t="shared" si="182"/>
        <v>3960</v>
      </c>
      <c r="S1641" s="10">
        <f t="shared" si="183"/>
        <v>330</v>
      </c>
      <c r="T1641">
        <f t="shared" si="185"/>
        <v>330</v>
      </c>
      <c r="U1641">
        <f t="shared" si="184"/>
        <v>0</v>
      </c>
    </row>
    <row r="1642" spans="1:21" ht="14.25" customHeight="1" x14ac:dyDescent="0.35">
      <c r="A1642" s="6" t="s">
        <v>5028</v>
      </c>
      <c r="B1642" s="6" t="s">
        <v>5029</v>
      </c>
      <c r="C1642" s="6" t="s">
        <v>5030</v>
      </c>
      <c r="D1642" s="6" t="s">
        <v>454</v>
      </c>
      <c r="E1642" s="7" t="s">
        <v>23</v>
      </c>
      <c r="F1642" s="6">
        <v>85338</v>
      </c>
      <c r="G1642" s="6" t="s">
        <v>38</v>
      </c>
      <c r="H1642" s="6" t="s">
        <v>378</v>
      </c>
      <c r="J1642" s="6" t="b">
        <v>0</v>
      </c>
      <c r="K1642" s="6" t="s">
        <v>27</v>
      </c>
      <c r="L1642" s="6">
        <v>0</v>
      </c>
      <c r="M1642" s="6">
        <v>330</v>
      </c>
      <c r="N1642" s="8" t="str">
        <f t="shared" si="178"/>
        <v>0</v>
      </c>
      <c r="O1642" s="8">
        <f t="shared" si="179"/>
        <v>3960</v>
      </c>
      <c r="P1642" s="8">
        <f t="shared" si="180"/>
        <v>3960</v>
      </c>
      <c r="Q1642" s="8">
        <f t="shared" si="181"/>
        <v>0</v>
      </c>
      <c r="R1642" s="9">
        <f t="shared" si="182"/>
        <v>3960</v>
      </c>
      <c r="S1642" s="10">
        <f t="shared" si="183"/>
        <v>330</v>
      </c>
      <c r="T1642">
        <f t="shared" si="185"/>
        <v>330</v>
      </c>
      <c r="U1642">
        <f t="shared" si="184"/>
        <v>0</v>
      </c>
    </row>
    <row r="1643" spans="1:21" ht="14.25" customHeight="1" x14ac:dyDescent="0.35">
      <c r="A1643" s="6" t="s">
        <v>5031</v>
      </c>
      <c r="B1643" s="6" t="s">
        <v>5032</v>
      </c>
      <c r="C1643" s="6" t="s">
        <v>5033</v>
      </c>
      <c r="D1643" s="6" t="s">
        <v>65</v>
      </c>
      <c r="E1643" s="7" t="s">
        <v>23</v>
      </c>
      <c r="F1643" s="6">
        <v>85208</v>
      </c>
      <c r="G1643" s="6" t="s">
        <v>66</v>
      </c>
      <c r="H1643" s="6" t="s">
        <v>67</v>
      </c>
      <c r="J1643" s="6" t="b">
        <v>0</v>
      </c>
      <c r="K1643" s="6" t="s">
        <v>27</v>
      </c>
      <c r="L1643" s="6">
        <v>0</v>
      </c>
      <c r="M1643" s="6">
        <v>330</v>
      </c>
      <c r="N1643" s="8" t="str">
        <f t="shared" si="178"/>
        <v>0</v>
      </c>
      <c r="O1643" s="8">
        <f t="shared" si="179"/>
        <v>3960</v>
      </c>
      <c r="P1643" s="8">
        <f t="shared" si="180"/>
        <v>3960</v>
      </c>
      <c r="Q1643" s="8">
        <f t="shared" si="181"/>
        <v>0</v>
      </c>
      <c r="R1643" s="9">
        <f t="shared" si="182"/>
        <v>3960</v>
      </c>
      <c r="S1643" s="10">
        <f t="shared" si="183"/>
        <v>330</v>
      </c>
      <c r="T1643">
        <f t="shared" si="185"/>
        <v>330</v>
      </c>
      <c r="U1643">
        <f t="shared" si="184"/>
        <v>0</v>
      </c>
    </row>
    <row r="1644" spans="1:21" ht="14.25" customHeight="1" x14ac:dyDescent="0.35">
      <c r="A1644" s="6" t="s">
        <v>5034</v>
      </c>
      <c r="B1644" s="6" t="s">
        <v>5035</v>
      </c>
      <c r="C1644" s="6" t="s">
        <v>5036</v>
      </c>
      <c r="D1644" s="6" t="s">
        <v>31</v>
      </c>
      <c r="E1644" s="7" t="s">
        <v>23</v>
      </c>
      <c r="F1644" s="6">
        <v>85260</v>
      </c>
      <c r="G1644" s="6" t="s">
        <v>45</v>
      </c>
      <c r="H1644" s="6" t="s">
        <v>33</v>
      </c>
      <c r="J1644" s="6" t="b">
        <v>0</v>
      </c>
      <c r="K1644" s="6" t="s">
        <v>27</v>
      </c>
      <c r="L1644" s="6">
        <v>0</v>
      </c>
      <c r="M1644" s="6">
        <v>330</v>
      </c>
      <c r="N1644" s="8" t="str">
        <f t="shared" si="178"/>
        <v>0</v>
      </c>
      <c r="O1644" s="8">
        <f t="shared" si="179"/>
        <v>3960</v>
      </c>
      <c r="P1644" s="8">
        <f t="shared" si="180"/>
        <v>3960</v>
      </c>
      <c r="Q1644" s="8">
        <f t="shared" si="181"/>
        <v>0</v>
      </c>
      <c r="R1644" s="9">
        <f t="shared" si="182"/>
        <v>3960</v>
      </c>
      <c r="S1644" s="10">
        <f t="shared" si="183"/>
        <v>330</v>
      </c>
      <c r="T1644">
        <f t="shared" si="185"/>
        <v>330</v>
      </c>
      <c r="U1644">
        <f t="shared" si="184"/>
        <v>0</v>
      </c>
    </row>
    <row r="1645" spans="1:21" ht="14.25" customHeight="1" x14ac:dyDescent="0.35">
      <c r="A1645" s="6" t="s">
        <v>5037</v>
      </c>
      <c r="B1645" s="6" t="s">
        <v>5038</v>
      </c>
      <c r="C1645" s="6" t="s">
        <v>5039</v>
      </c>
      <c r="D1645" s="6" t="s">
        <v>44</v>
      </c>
      <c r="E1645" s="7" t="s">
        <v>23</v>
      </c>
      <c r="F1645" s="6">
        <v>85029</v>
      </c>
      <c r="G1645" s="6" t="s">
        <v>72</v>
      </c>
      <c r="H1645" s="6" t="s">
        <v>93</v>
      </c>
      <c r="I1645" s="6" t="s">
        <v>26</v>
      </c>
      <c r="J1645" s="6" t="b">
        <v>0</v>
      </c>
      <c r="K1645" s="6" t="s">
        <v>27</v>
      </c>
      <c r="L1645" s="6">
        <v>0</v>
      </c>
      <c r="M1645" s="6">
        <v>330</v>
      </c>
      <c r="N1645" s="8" t="str">
        <f t="shared" si="178"/>
        <v>0</v>
      </c>
      <c r="O1645" s="8">
        <f t="shared" si="179"/>
        <v>3960</v>
      </c>
      <c r="P1645" s="8">
        <f t="shared" si="180"/>
        <v>3960</v>
      </c>
      <c r="Q1645" s="8">
        <f t="shared" si="181"/>
        <v>0</v>
      </c>
      <c r="R1645" s="9">
        <f t="shared" si="182"/>
        <v>3960</v>
      </c>
      <c r="S1645" s="10">
        <f t="shared" si="183"/>
        <v>330</v>
      </c>
      <c r="T1645">
        <f t="shared" si="185"/>
        <v>330</v>
      </c>
      <c r="U1645">
        <f t="shared" si="184"/>
        <v>0</v>
      </c>
    </row>
    <row r="1646" spans="1:21" ht="14.25" customHeight="1" x14ac:dyDescent="0.35">
      <c r="A1646" s="6" t="s">
        <v>5043</v>
      </c>
      <c r="B1646" s="6" t="s">
        <v>5044</v>
      </c>
      <c r="C1646" s="6" t="s">
        <v>5045</v>
      </c>
      <c r="D1646" s="6" t="s">
        <v>31</v>
      </c>
      <c r="E1646" s="7" t="s">
        <v>23</v>
      </c>
      <c r="F1646" s="6">
        <v>85255</v>
      </c>
      <c r="G1646" s="6" t="s">
        <v>32</v>
      </c>
      <c r="H1646" s="6" t="s">
        <v>33</v>
      </c>
      <c r="I1646" s="6" t="s">
        <v>26</v>
      </c>
      <c r="J1646" s="6" t="b">
        <v>0</v>
      </c>
      <c r="K1646" s="6" t="s">
        <v>27</v>
      </c>
      <c r="L1646" s="6">
        <v>40</v>
      </c>
      <c r="M1646" s="6">
        <v>330</v>
      </c>
      <c r="N1646" s="8" t="str">
        <f t="shared" si="178"/>
        <v>0</v>
      </c>
      <c r="O1646" s="8">
        <f t="shared" si="179"/>
        <v>4000</v>
      </c>
      <c r="P1646" s="8">
        <f t="shared" si="180"/>
        <v>4000</v>
      </c>
      <c r="Q1646" s="8">
        <f t="shared" si="181"/>
        <v>0</v>
      </c>
      <c r="R1646" s="9">
        <f t="shared" si="182"/>
        <v>4000</v>
      </c>
      <c r="S1646" s="10">
        <f t="shared" si="183"/>
        <v>333.33333333333331</v>
      </c>
      <c r="T1646">
        <f t="shared" si="185"/>
        <v>330</v>
      </c>
      <c r="U1646">
        <f t="shared" si="184"/>
        <v>0</v>
      </c>
    </row>
    <row r="1647" spans="1:21" ht="14.25" customHeight="1" x14ac:dyDescent="0.35">
      <c r="A1647" s="6" t="s">
        <v>5046</v>
      </c>
      <c r="B1647" s="6" t="s">
        <v>5047</v>
      </c>
      <c r="C1647" s="6" t="s">
        <v>5048</v>
      </c>
      <c r="D1647" s="6" t="s">
        <v>165</v>
      </c>
      <c r="E1647" s="7" t="s">
        <v>23</v>
      </c>
      <c r="F1647" s="6">
        <v>85233</v>
      </c>
      <c r="G1647" s="6" t="s">
        <v>24</v>
      </c>
      <c r="H1647" s="6" t="s">
        <v>25</v>
      </c>
      <c r="J1647" s="6" t="b">
        <v>0</v>
      </c>
      <c r="K1647" s="6" t="s">
        <v>27</v>
      </c>
      <c r="L1647" s="6">
        <v>40</v>
      </c>
      <c r="M1647" s="6">
        <v>330</v>
      </c>
      <c r="N1647" s="8" t="str">
        <f t="shared" si="178"/>
        <v>0</v>
      </c>
      <c r="O1647" s="8">
        <f t="shared" si="179"/>
        <v>4000</v>
      </c>
      <c r="P1647" s="8">
        <f t="shared" si="180"/>
        <v>4000</v>
      </c>
      <c r="Q1647" s="8">
        <f t="shared" si="181"/>
        <v>0</v>
      </c>
      <c r="R1647" s="9">
        <f t="shared" si="182"/>
        <v>4000</v>
      </c>
      <c r="S1647" s="10">
        <f t="shared" si="183"/>
        <v>333.33333333333331</v>
      </c>
      <c r="T1647">
        <f t="shared" si="185"/>
        <v>330</v>
      </c>
      <c r="U1647">
        <f t="shared" si="184"/>
        <v>0</v>
      </c>
    </row>
    <row r="1648" spans="1:21" ht="14.25" customHeight="1" x14ac:dyDescent="0.35">
      <c r="A1648" s="6" t="s">
        <v>5049</v>
      </c>
      <c r="B1648" s="6" t="s">
        <v>5050</v>
      </c>
      <c r="C1648" s="6" t="s">
        <v>5051</v>
      </c>
      <c r="D1648" s="6" t="s">
        <v>65</v>
      </c>
      <c r="E1648" s="7" t="s">
        <v>23</v>
      </c>
      <c r="F1648" s="6">
        <v>85206</v>
      </c>
      <c r="G1648" s="6" t="s">
        <v>66</v>
      </c>
      <c r="J1648" s="6" t="b">
        <v>0</v>
      </c>
      <c r="K1648" s="6" t="s">
        <v>27</v>
      </c>
      <c r="L1648" s="6">
        <v>41.2</v>
      </c>
      <c r="M1648" s="6">
        <v>330.45</v>
      </c>
      <c r="N1648" s="8" t="str">
        <f t="shared" si="178"/>
        <v>0</v>
      </c>
      <c r="O1648" s="8">
        <f t="shared" si="179"/>
        <v>4006.5999999999995</v>
      </c>
      <c r="P1648" s="8">
        <f t="shared" si="180"/>
        <v>4006.5999999999995</v>
      </c>
      <c r="Q1648" s="8">
        <f t="shared" si="181"/>
        <v>0</v>
      </c>
      <c r="R1648" s="9">
        <f t="shared" si="182"/>
        <v>4006.5999999999995</v>
      </c>
      <c r="S1648" s="10">
        <f t="shared" si="183"/>
        <v>333.88333333333327</v>
      </c>
      <c r="T1648">
        <f t="shared" si="185"/>
        <v>330.45</v>
      </c>
      <c r="U1648">
        <f t="shared" si="184"/>
        <v>0</v>
      </c>
    </row>
    <row r="1649" spans="1:22" ht="14.25" customHeight="1" x14ac:dyDescent="0.35">
      <c r="A1649" s="6" t="s">
        <v>5052</v>
      </c>
      <c r="B1649" s="6" t="s">
        <v>5053</v>
      </c>
      <c r="C1649" s="6" t="s">
        <v>5054</v>
      </c>
      <c r="D1649" s="6" t="s">
        <v>44</v>
      </c>
      <c r="E1649" s="7" t="s">
        <v>23</v>
      </c>
      <c r="F1649" s="6">
        <v>85024</v>
      </c>
      <c r="G1649" s="6" t="s">
        <v>32</v>
      </c>
      <c r="H1649" s="6" t="s">
        <v>33</v>
      </c>
      <c r="J1649" s="6" t="b">
        <v>1</v>
      </c>
      <c r="K1649" s="6" t="s">
        <v>27</v>
      </c>
      <c r="L1649" s="6">
        <v>41.2</v>
      </c>
      <c r="M1649" s="6">
        <v>339.2</v>
      </c>
      <c r="N1649" s="8">
        <f t="shared" si="178"/>
        <v>76.679999999999993</v>
      </c>
      <c r="O1649" s="8">
        <f t="shared" si="179"/>
        <v>4188.28</v>
      </c>
      <c r="P1649" s="8">
        <f t="shared" si="180"/>
        <v>4188.28</v>
      </c>
      <c r="Q1649" s="8">
        <f t="shared" si="181"/>
        <v>0</v>
      </c>
      <c r="R1649" s="9">
        <f t="shared" si="182"/>
        <v>4188.28</v>
      </c>
      <c r="S1649" s="10">
        <f t="shared" si="183"/>
        <v>349.02333333333331</v>
      </c>
      <c r="T1649">
        <f t="shared" si="185"/>
        <v>339.2</v>
      </c>
      <c r="U1649">
        <f t="shared" si="184"/>
        <v>0</v>
      </c>
    </row>
    <row r="1650" spans="1:22" ht="14.25" customHeight="1" x14ac:dyDescent="0.35">
      <c r="A1650" s="6" t="s">
        <v>5055</v>
      </c>
      <c r="B1650" s="6" t="s">
        <v>5056</v>
      </c>
      <c r="C1650" s="6" t="s">
        <v>5057</v>
      </c>
      <c r="D1650" s="6" t="s">
        <v>241</v>
      </c>
      <c r="E1650" s="7" t="s">
        <v>23</v>
      </c>
      <c r="F1650" s="6">
        <v>85331</v>
      </c>
      <c r="G1650" s="6" t="s">
        <v>32</v>
      </c>
      <c r="H1650" s="6" t="s">
        <v>79</v>
      </c>
      <c r="J1650" s="6" t="b">
        <v>1</v>
      </c>
      <c r="K1650" s="6" t="s">
        <v>27</v>
      </c>
      <c r="L1650" s="6">
        <v>41.2</v>
      </c>
      <c r="M1650" s="6">
        <v>349.5</v>
      </c>
      <c r="N1650" s="8">
        <f t="shared" si="178"/>
        <v>76.679999999999993</v>
      </c>
      <c r="O1650" s="8">
        <f t="shared" si="179"/>
        <v>4311.88</v>
      </c>
      <c r="P1650" s="8">
        <f t="shared" si="180"/>
        <v>4311.88</v>
      </c>
      <c r="Q1650" s="8">
        <f t="shared" si="181"/>
        <v>0</v>
      </c>
      <c r="R1650" s="9">
        <f t="shared" si="182"/>
        <v>4311.88</v>
      </c>
      <c r="S1650" s="10">
        <f t="shared" si="183"/>
        <v>359.32333333333332</v>
      </c>
      <c r="T1650">
        <f t="shared" si="185"/>
        <v>349.5</v>
      </c>
      <c r="U1650">
        <f t="shared" si="184"/>
        <v>0</v>
      </c>
    </row>
    <row r="1651" spans="1:22" ht="14.25" customHeight="1" x14ac:dyDescent="0.35">
      <c r="A1651" s="11" t="s">
        <v>5058</v>
      </c>
      <c r="B1651" s="6" t="s">
        <v>3811</v>
      </c>
      <c r="C1651" s="6" t="s">
        <v>5059</v>
      </c>
      <c r="D1651" s="6" t="s">
        <v>31</v>
      </c>
      <c r="E1651" s="7" t="s">
        <v>23</v>
      </c>
      <c r="F1651" s="6">
        <v>85254</v>
      </c>
      <c r="G1651" s="6" t="s">
        <v>45</v>
      </c>
      <c r="I1651" s="6" t="s">
        <v>26</v>
      </c>
      <c r="J1651" s="6" t="b">
        <v>0</v>
      </c>
      <c r="K1651" s="6" t="s">
        <v>27</v>
      </c>
      <c r="L1651" s="6">
        <v>80</v>
      </c>
      <c r="M1651" s="6">
        <v>373</v>
      </c>
      <c r="N1651" s="8" t="str">
        <f t="shared" si="178"/>
        <v>0</v>
      </c>
      <c r="O1651" s="8">
        <f t="shared" si="179"/>
        <v>4556</v>
      </c>
      <c r="P1651" s="8">
        <f t="shared" si="180"/>
        <v>4556</v>
      </c>
      <c r="Q1651" s="8">
        <f t="shared" si="181"/>
        <v>0</v>
      </c>
      <c r="R1651" s="9">
        <f t="shared" si="182"/>
        <v>4556</v>
      </c>
      <c r="S1651" s="10">
        <f t="shared" si="183"/>
        <v>379.66666666666669</v>
      </c>
      <c r="T1651">
        <f t="shared" si="185"/>
        <v>373</v>
      </c>
      <c r="U1651">
        <f t="shared" si="184"/>
        <v>0</v>
      </c>
    </row>
    <row r="1652" spans="1:22" ht="14.25" customHeight="1" x14ac:dyDescent="0.35">
      <c r="A1652" s="6" t="s">
        <v>5060</v>
      </c>
      <c r="B1652" s="6" t="s">
        <v>5061</v>
      </c>
      <c r="C1652" s="6" t="s">
        <v>5062</v>
      </c>
      <c r="D1652" s="6" t="s">
        <v>22</v>
      </c>
      <c r="E1652" s="7" t="s">
        <v>23</v>
      </c>
      <c r="F1652" s="6">
        <v>85248</v>
      </c>
      <c r="G1652" s="6" t="s">
        <v>125</v>
      </c>
      <c r="H1652" s="6" t="s">
        <v>126</v>
      </c>
      <c r="I1652" s="6" t="s">
        <v>26</v>
      </c>
      <c r="J1652" s="6" t="b">
        <v>1</v>
      </c>
      <c r="K1652" s="6" t="s">
        <v>27</v>
      </c>
      <c r="L1652" s="6">
        <v>41.2</v>
      </c>
      <c r="M1652" s="6">
        <v>1524.98</v>
      </c>
      <c r="N1652" s="8">
        <f t="shared" si="178"/>
        <v>76.679999999999993</v>
      </c>
      <c r="O1652" s="8">
        <f t="shared" si="179"/>
        <v>18417.640000000003</v>
      </c>
      <c r="P1652" s="8">
        <f t="shared" si="180"/>
        <v>18417.640000000003</v>
      </c>
      <c r="Q1652" s="8">
        <f t="shared" si="181"/>
        <v>0</v>
      </c>
      <c r="R1652" s="9">
        <f t="shared" si="182"/>
        <v>18417.640000000003</v>
      </c>
      <c r="S1652" s="10">
        <f t="shared" si="183"/>
        <v>1534.8033333333335</v>
      </c>
      <c r="T1652">
        <f t="shared" si="185"/>
        <v>1524.98</v>
      </c>
      <c r="U1652">
        <f t="shared" si="184"/>
        <v>0</v>
      </c>
    </row>
    <row r="1653" spans="1:22" ht="14.25" customHeight="1" x14ac:dyDescent="0.35">
      <c r="E1653" s="7"/>
      <c r="L1653" s="8"/>
      <c r="M1653" s="8"/>
      <c r="N1653" s="8"/>
      <c r="O1653" s="8"/>
      <c r="R1653" s="12"/>
      <c r="S1653" s="13"/>
    </row>
    <row r="1654" spans="1:22" ht="14.25" customHeight="1" x14ac:dyDescent="0.35">
      <c r="E1654" s="7"/>
      <c r="L1654" s="8">
        <f t="shared" ref="L1654:U1654" si="186">SUM(L2:L1652)</f>
        <v>36266.500000000189</v>
      </c>
      <c r="M1654" s="8">
        <f t="shared" si="186"/>
        <v>270229.25999999978</v>
      </c>
      <c r="N1654" s="8">
        <f t="shared" si="186"/>
        <v>68321.879999999976</v>
      </c>
      <c r="O1654" s="8">
        <f t="shared" si="186"/>
        <v>3347339.5000000009</v>
      </c>
      <c r="P1654" s="8">
        <f t="shared" si="186"/>
        <v>3341503.0222</v>
      </c>
      <c r="Q1654" s="8">
        <f t="shared" si="186"/>
        <v>-5836.4778000000133</v>
      </c>
      <c r="R1654" s="8">
        <f t="shared" si="186"/>
        <v>3353175.9777999995</v>
      </c>
      <c r="S1654" s="8">
        <f t="shared" si="186"/>
        <v>279431.33148333291</v>
      </c>
      <c r="T1654" s="8">
        <f t="shared" si="186"/>
        <v>283057.52000000048</v>
      </c>
      <c r="U1654" s="8">
        <f t="shared" ca="1" si="186"/>
        <v>12828.260000000038</v>
      </c>
    </row>
    <row r="1656" spans="1:22" s="17" customFormat="1" ht="56.5" customHeight="1" x14ac:dyDescent="0.25">
      <c r="S1656" s="17" t="s">
        <v>5067</v>
      </c>
      <c r="T1656" s="19">
        <f>SUM(M2:M820)</f>
        <v>122306.73999999931</v>
      </c>
      <c r="V1656" s="17" t="s">
        <v>5081</v>
      </c>
    </row>
    <row r="1657" spans="1:22" s="17" customFormat="1" ht="56.5" customHeight="1" x14ac:dyDescent="0.25">
      <c r="S1657" s="17" t="s">
        <v>5070</v>
      </c>
      <c r="T1657" s="19">
        <f>M1654</f>
        <v>270229.25999999978</v>
      </c>
    </row>
    <row r="1658" spans="1:22" s="17" customFormat="1" ht="56.5" customHeight="1" x14ac:dyDescent="0.25">
      <c r="S1658" s="17" t="s">
        <v>5069</v>
      </c>
      <c r="T1658" s="19">
        <f>SUM(M1654*12)</f>
        <v>3242751.1199999973</v>
      </c>
    </row>
    <row r="1659" spans="1:22" s="17" customFormat="1" ht="56.5" customHeight="1" x14ac:dyDescent="0.25">
      <c r="S1659" s="17" t="s">
        <v>5068</v>
      </c>
      <c r="T1659" s="19">
        <f>SUM(T2:T820)</f>
        <v>135135</v>
      </c>
      <c r="V1659" s="17" t="s">
        <v>5066</v>
      </c>
    </row>
    <row r="1660" spans="1:22" s="17" customFormat="1" ht="56.5" customHeight="1" x14ac:dyDescent="0.25">
      <c r="S1660" s="17" t="s">
        <v>5082</v>
      </c>
      <c r="T1660" s="19">
        <f>T1654</f>
        <v>283057.52000000048</v>
      </c>
    </row>
    <row r="1661" spans="1:22" s="17" customFormat="1" ht="56.5" customHeight="1" x14ac:dyDescent="0.25">
      <c r="S1661" s="17" t="s">
        <v>5071</v>
      </c>
      <c r="T1661" s="19">
        <f>SUM(T1654*12)</f>
        <v>3396690.2400000058</v>
      </c>
    </row>
    <row r="1662" spans="1:22" s="17" customFormat="1" ht="56.5" customHeight="1" x14ac:dyDescent="0.25">
      <c r="S1662" s="17" t="s">
        <v>5073</v>
      </c>
      <c r="T1662" s="20">
        <f>SUM(820*0.3)</f>
        <v>246</v>
      </c>
      <c r="V1662" s="17" t="s">
        <v>5072</v>
      </c>
    </row>
    <row r="1663" spans="1:22" s="17" customFormat="1" ht="56.5" customHeight="1" x14ac:dyDescent="0.25">
      <c r="S1663" s="17" t="s">
        <v>5074</v>
      </c>
      <c r="T1663" s="20">
        <f>1653-246</f>
        <v>1407</v>
      </c>
      <c r="V1663" s="17" t="s">
        <v>5075</v>
      </c>
    </row>
    <row r="1664" spans="1:22" s="17" customFormat="1" ht="56.5" customHeight="1" x14ac:dyDescent="0.25">
      <c r="S1664" s="17" t="s">
        <v>5076</v>
      </c>
      <c r="T1664" s="21">
        <f>SUM(T2:T820)*0.3</f>
        <v>40540.5</v>
      </c>
      <c r="V1664" s="17" t="s">
        <v>5077</v>
      </c>
    </row>
    <row r="1665" spans="19:22" s="17" customFormat="1" ht="56.5" customHeight="1" x14ac:dyDescent="0.25">
      <c r="S1665" s="17" t="s">
        <v>5083</v>
      </c>
      <c r="T1665" s="21">
        <f>SUM(T1660-T1664)</f>
        <v>242517.02000000048</v>
      </c>
      <c r="V1665" s="17" t="s">
        <v>5078</v>
      </c>
    </row>
    <row r="1666" spans="19:22" s="17" customFormat="1" ht="56.5" customHeight="1" x14ac:dyDescent="0.25">
      <c r="S1666" s="17" t="s">
        <v>5084</v>
      </c>
      <c r="T1666" s="21">
        <f>SUM(T1665*12)-1664</f>
        <v>2908540.2400000058</v>
      </c>
      <c r="V1666" s="17" t="s">
        <v>5079</v>
      </c>
    </row>
    <row r="1667" spans="19:22" ht="57.5" customHeight="1" x14ac:dyDescent="0.35">
      <c r="S1667" s="17"/>
      <c r="V1667" s="22" t="s">
        <v>5080</v>
      </c>
    </row>
    <row r="1668" spans="19:22" ht="15" customHeight="1" x14ac:dyDescent="0.35">
      <c r="S1668" s="17"/>
    </row>
    <row r="1669" spans="19:22" ht="15" customHeight="1" x14ac:dyDescent="0.35">
      <c r="S1669" s="17"/>
    </row>
    <row r="1670" spans="19:22" ht="15" customHeight="1" x14ac:dyDescent="0.35">
      <c r="S1670" s="17"/>
    </row>
    <row r="1671" spans="19:22" ht="15" customHeight="1" x14ac:dyDescent="0.35">
      <c r="S1671" s="17"/>
    </row>
    <row r="1672" spans="19:22" ht="15" customHeight="1" x14ac:dyDescent="0.35">
      <c r="S1672" s="17"/>
    </row>
  </sheetData>
  <autoFilter ref="A1:U1" xr:uid="{00000000-0001-0000-0000-000000000000}">
    <sortState xmlns:xlrd2="http://schemas.microsoft.com/office/spreadsheetml/2017/richdata2" ref="A2:U1652">
      <sortCondition ref="M1"/>
    </sortState>
  </autoFilter>
  <phoneticPr fontId="9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DD0CC-D31D-4BB3-838B-FDBB15FFB3A1}">
  <dimension ref="A1:V834"/>
  <sheetViews>
    <sheetView workbookViewId="0">
      <selection activeCell="D18" sqref="D18"/>
    </sheetView>
  </sheetViews>
  <sheetFormatPr defaultColWidth="12.6328125" defaultRowHeight="14.5" x14ac:dyDescent="0.35"/>
  <cols>
    <col min="1" max="1" width="12.36328125" customWidth="1"/>
    <col min="2" max="2" width="28" customWidth="1"/>
    <col min="3" max="3" width="27.26953125" customWidth="1"/>
    <col min="4" max="4" width="11.6328125" customWidth="1"/>
    <col min="5" max="5" width="7.08984375" customWidth="1"/>
    <col min="6" max="6" width="8.6328125" customWidth="1"/>
    <col min="7" max="7" width="18.26953125" customWidth="1"/>
    <col min="8" max="8" width="37.7265625" customWidth="1"/>
    <col min="9" max="9" width="15" customWidth="1"/>
    <col min="10" max="10" width="12.453125" customWidth="1"/>
    <col min="11" max="11" width="12.08984375" customWidth="1"/>
    <col min="12" max="12" width="12.36328125" customWidth="1"/>
    <col min="13" max="13" width="15.453125" customWidth="1"/>
    <col min="14" max="14" width="13.453125" customWidth="1"/>
    <col min="15" max="15" width="17" customWidth="1"/>
    <col min="16" max="16" width="19.90625" hidden="1" customWidth="1"/>
    <col min="17" max="17" width="12.26953125" customWidth="1"/>
    <col min="18" max="18" width="14.6328125" customWidth="1"/>
    <col min="19" max="19" width="12.90625" customWidth="1"/>
    <col min="20" max="20" width="13.81640625" bestFit="1" customWidth="1"/>
    <col min="22" max="22" width="34.1796875" customWidth="1"/>
  </cols>
  <sheetData>
    <row r="1" spans="1:22" ht="39.75" customHeight="1" x14ac:dyDescent="0.3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3"/>
      <c r="M1" s="3"/>
      <c r="N1" s="3"/>
      <c r="O1" s="3"/>
      <c r="P1" s="3"/>
      <c r="Q1" s="3"/>
      <c r="R1" s="4"/>
      <c r="S1" s="5"/>
      <c r="T1" s="16"/>
      <c r="U1" s="3"/>
      <c r="V1" s="16"/>
    </row>
    <row r="2" spans="1:22" ht="14.25" customHeight="1" x14ac:dyDescent="0.35">
      <c r="A2" s="6"/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8"/>
      <c r="O2" s="8"/>
      <c r="P2" s="8"/>
      <c r="Q2" s="8"/>
      <c r="R2" s="9"/>
      <c r="S2" s="10"/>
    </row>
    <row r="3" spans="1:22" ht="14.25" customHeight="1" x14ac:dyDescent="0.35">
      <c r="A3" s="6"/>
      <c r="B3" s="6"/>
      <c r="C3" s="6"/>
      <c r="D3" s="6"/>
      <c r="E3" s="7"/>
      <c r="F3" s="6"/>
      <c r="G3" s="6"/>
      <c r="H3" s="6"/>
      <c r="I3" s="6"/>
      <c r="J3" s="6"/>
      <c r="K3" s="6"/>
      <c r="L3" s="6"/>
      <c r="M3" s="6"/>
      <c r="N3" s="8"/>
      <c r="O3" s="8"/>
      <c r="P3" s="8"/>
      <c r="Q3" s="8"/>
      <c r="R3" s="9"/>
      <c r="S3" s="10"/>
    </row>
    <row r="4" spans="1:22" ht="14.25" customHeight="1" x14ac:dyDescent="0.35">
      <c r="A4" s="6"/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8"/>
      <c r="O4" s="8"/>
      <c r="P4" s="8"/>
      <c r="Q4" s="8"/>
      <c r="R4" s="9"/>
      <c r="S4" s="10"/>
    </row>
    <row r="5" spans="1:22" ht="14.25" customHeight="1" x14ac:dyDescent="0.35">
      <c r="A5" s="6"/>
      <c r="B5" s="6"/>
      <c r="C5" s="6"/>
      <c r="D5" s="6"/>
      <c r="E5" s="7"/>
      <c r="F5" s="6"/>
      <c r="G5" s="6"/>
      <c r="H5" s="6"/>
      <c r="I5" s="6"/>
      <c r="J5" s="6"/>
      <c r="K5" s="6"/>
      <c r="L5" s="6"/>
      <c r="M5" s="6"/>
      <c r="N5" s="8"/>
      <c r="O5" s="8"/>
      <c r="P5" s="8"/>
      <c r="Q5" s="8"/>
      <c r="R5" s="9"/>
      <c r="S5" s="10"/>
    </row>
    <row r="6" spans="1:22" ht="14.25" customHeight="1" x14ac:dyDescent="0.35">
      <c r="A6" s="6"/>
      <c r="B6" s="6"/>
      <c r="C6" s="6"/>
      <c r="D6" s="6"/>
      <c r="E6" s="7"/>
      <c r="F6" s="6"/>
      <c r="G6" s="6"/>
      <c r="H6" s="6"/>
      <c r="I6" s="6"/>
      <c r="J6" s="6"/>
      <c r="K6" s="6"/>
      <c r="L6" s="6"/>
      <c r="M6" s="6"/>
      <c r="N6" s="8"/>
      <c r="O6" s="8"/>
      <c r="P6" s="8"/>
      <c r="Q6" s="8"/>
      <c r="R6" s="9"/>
      <c r="S6" s="10"/>
    </row>
    <row r="7" spans="1:22" ht="14.25" customHeight="1" x14ac:dyDescent="0.35">
      <c r="A7" s="6"/>
      <c r="B7" s="6"/>
      <c r="C7" s="6"/>
      <c r="D7" s="6"/>
      <c r="E7" s="7"/>
      <c r="F7" s="6"/>
      <c r="G7" s="6"/>
      <c r="H7" s="6"/>
      <c r="I7" s="6"/>
      <c r="J7" s="6"/>
      <c r="K7" s="6"/>
      <c r="L7" s="6"/>
      <c r="M7" s="6"/>
      <c r="N7" s="8"/>
      <c r="O7" s="8"/>
      <c r="P7" s="8"/>
      <c r="Q7" s="8"/>
      <c r="R7" s="9"/>
      <c r="S7" s="10"/>
    </row>
    <row r="8" spans="1:22" ht="14.25" customHeight="1" x14ac:dyDescent="0.35">
      <c r="A8" s="6"/>
      <c r="B8" s="6"/>
      <c r="C8" s="6"/>
      <c r="D8" s="6"/>
      <c r="E8" s="7"/>
      <c r="F8" s="6"/>
      <c r="G8" s="6"/>
      <c r="H8" s="6"/>
      <c r="I8" s="6"/>
      <c r="J8" s="6"/>
      <c r="K8" s="6"/>
      <c r="L8" s="6"/>
      <c r="M8" s="6"/>
      <c r="N8" s="8"/>
      <c r="O8" s="8"/>
      <c r="P8" s="8"/>
      <c r="Q8" s="8"/>
      <c r="R8" s="9"/>
      <c r="S8" s="10"/>
    </row>
    <row r="9" spans="1:22" ht="14.25" customHeight="1" x14ac:dyDescent="0.35">
      <c r="A9" s="6"/>
      <c r="B9" s="6"/>
      <c r="C9" s="6"/>
      <c r="D9" s="6"/>
      <c r="E9" s="7"/>
      <c r="F9" s="6"/>
      <c r="G9" s="6"/>
      <c r="H9" s="6"/>
      <c r="I9" s="6"/>
      <c r="J9" s="6"/>
      <c r="K9" s="6"/>
      <c r="L9" s="6"/>
      <c r="M9" s="6"/>
      <c r="N9" s="8"/>
      <c r="O9" s="8"/>
      <c r="P9" s="8"/>
      <c r="Q9" s="8"/>
      <c r="R9" s="9"/>
      <c r="S9" s="10"/>
    </row>
    <row r="10" spans="1:22" ht="14.25" customHeight="1" x14ac:dyDescent="0.35">
      <c r="A10" s="6"/>
      <c r="B10" s="6"/>
      <c r="C10" s="6"/>
      <c r="D10" s="6"/>
      <c r="E10" s="7"/>
      <c r="F10" s="6"/>
      <c r="G10" s="6"/>
      <c r="H10" s="6"/>
      <c r="I10" s="6"/>
      <c r="J10" s="6"/>
      <c r="K10" s="6"/>
      <c r="L10" s="6"/>
      <c r="M10" s="6"/>
      <c r="N10" s="8"/>
      <c r="O10" s="8"/>
      <c r="P10" s="8"/>
      <c r="Q10" s="8"/>
      <c r="R10" s="9"/>
      <c r="S10" s="10"/>
    </row>
    <row r="11" spans="1:22" ht="14.25" customHeight="1" x14ac:dyDescent="0.35">
      <c r="A11" s="6"/>
      <c r="B11" s="6"/>
      <c r="C11" s="6"/>
      <c r="D11" s="6"/>
      <c r="E11" s="7"/>
      <c r="F11" s="6"/>
      <c r="G11" s="6"/>
      <c r="H11" s="6"/>
      <c r="I11" s="6"/>
      <c r="J11" s="6"/>
      <c r="K11" s="6"/>
      <c r="L11" s="6"/>
      <c r="M11" s="6"/>
      <c r="N11" s="8"/>
      <c r="O11" s="8"/>
      <c r="P11" s="8"/>
      <c r="Q11" s="8"/>
      <c r="R11" s="9"/>
      <c r="S11" s="10"/>
    </row>
    <row r="12" spans="1:22" ht="14.25" customHeight="1" x14ac:dyDescent="0.35">
      <c r="A12" s="6"/>
      <c r="B12" s="6"/>
      <c r="C12" s="6"/>
      <c r="D12" s="6"/>
      <c r="E12" s="7"/>
      <c r="F12" s="6"/>
      <c r="G12" s="6"/>
      <c r="H12" s="6"/>
      <c r="I12" s="6"/>
      <c r="J12" s="6"/>
      <c r="K12" s="6"/>
      <c r="L12" s="6"/>
      <c r="M12" s="6"/>
      <c r="N12" s="8"/>
      <c r="O12" s="8"/>
      <c r="P12" s="8"/>
      <c r="Q12" s="8"/>
      <c r="R12" s="9"/>
      <c r="S12" s="10"/>
    </row>
    <row r="13" spans="1:22" ht="14.25" customHeight="1" x14ac:dyDescent="0.35">
      <c r="A13" s="6"/>
      <c r="B13" s="6"/>
      <c r="C13" s="6"/>
      <c r="D13" s="6"/>
      <c r="E13" s="7"/>
      <c r="F13" s="6"/>
      <c r="G13" s="6"/>
      <c r="H13" s="6"/>
      <c r="I13" s="6"/>
      <c r="J13" s="6"/>
      <c r="K13" s="6"/>
      <c r="L13" s="6"/>
      <c r="M13" s="6"/>
      <c r="N13" s="8"/>
      <c r="O13" s="8"/>
      <c r="P13" s="8"/>
      <c r="Q13" s="8"/>
      <c r="R13" s="9"/>
      <c r="S13" s="10"/>
    </row>
    <row r="14" spans="1:22" ht="14.25" customHeight="1" x14ac:dyDescent="0.35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  <c r="L14" s="6"/>
      <c r="M14" s="6"/>
      <c r="N14" s="8"/>
      <c r="O14" s="8"/>
      <c r="P14" s="8"/>
      <c r="Q14" s="8"/>
      <c r="R14" s="9"/>
      <c r="S14" s="10"/>
    </row>
    <row r="15" spans="1:22" ht="14.25" customHeight="1" x14ac:dyDescent="0.35">
      <c r="A15" s="6"/>
      <c r="B15" s="6"/>
      <c r="C15" s="6"/>
      <c r="D15" s="6"/>
      <c r="E15" s="7"/>
      <c r="F15" s="6"/>
      <c r="G15" s="6"/>
      <c r="H15" s="6"/>
      <c r="I15" s="6"/>
      <c r="J15" s="6"/>
      <c r="K15" s="6"/>
      <c r="L15" s="6"/>
      <c r="M15" s="6"/>
      <c r="N15" s="8"/>
      <c r="O15" s="8"/>
      <c r="P15" s="8"/>
      <c r="Q15" s="8"/>
      <c r="R15" s="9"/>
      <c r="S15" s="10"/>
    </row>
    <row r="16" spans="1:22" ht="14.25" customHeight="1" x14ac:dyDescent="0.35">
      <c r="A16" s="6"/>
      <c r="B16" s="6"/>
      <c r="C16" s="6"/>
      <c r="D16" s="6"/>
      <c r="E16" s="7"/>
      <c r="F16" s="6"/>
      <c r="G16" s="6"/>
      <c r="H16" s="6"/>
      <c r="I16" s="6"/>
      <c r="J16" s="6"/>
      <c r="K16" s="6"/>
      <c r="L16" s="6"/>
      <c r="M16" s="6"/>
      <c r="N16" s="8"/>
      <c r="O16" s="8"/>
      <c r="P16" s="8"/>
      <c r="Q16" s="8"/>
      <c r="R16" s="9"/>
      <c r="S16" s="10"/>
    </row>
    <row r="17" spans="1:19" ht="14.25" customHeight="1" x14ac:dyDescent="0.35">
      <c r="A17" s="6"/>
      <c r="B17" s="6"/>
      <c r="C17" s="6"/>
      <c r="D17" s="6"/>
      <c r="E17" s="7"/>
      <c r="F17" s="6"/>
      <c r="G17" s="6"/>
      <c r="H17" s="6"/>
      <c r="J17" s="6"/>
      <c r="K17" s="6"/>
      <c r="L17" s="6"/>
      <c r="M17" s="6"/>
      <c r="N17" s="8"/>
      <c r="O17" s="8"/>
      <c r="P17" s="8"/>
      <c r="Q17" s="8"/>
      <c r="R17" s="9"/>
      <c r="S17" s="10"/>
    </row>
    <row r="18" spans="1:19" ht="14.25" customHeight="1" x14ac:dyDescent="0.35">
      <c r="A18" s="6"/>
      <c r="B18" s="6"/>
      <c r="C18" s="6"/>
      <c r="D18" s="6"/>
      <c r="E18" s="7"/>
      <c r="F18" s="6"/>
      <c r="G18" s="6"/>
      <c r="H18" s="6"/>
      <c r="I18" s="6"/>
      <c r="J18" s="6"/>
      <c r="K18" s="6"/>
      <c r="L18" s="6"/>
      <c r="M18" s="6"/>
      <c r="N18" s="8"/>
      <c r="O18" s="8"/>
      <c r="P18" s="8"/>
      <c r="Q18" s="8"/>
      <c r="R18" s="9"/>
      <c r="S18" s="10"/>
    </row>
    <row r="19" spans="1:19" ht="14.25" customHeight="1" x14ac:dyDescent="0.35">
      <c r="A19" s="6"/>
      <c r="B19" s="6"/>
      <c r="C19" s="6"/>
      <c r="D19" s="6"/>
      <c r="E19" s="7"/>
      <c r="F19" s="6"/>
      <c r="G19" s="6"/>
      <c r="H19" s="6"/>
      <c r="I19" s="6"/>
      <c r="J19" s="6"/>
      <c r="K19" s="6"/>
      <c r="L19" s="6"/>
      <c r="M19" s="6"/>
      <c r="N19" s="8"/>
      <c r="O19" s="8"/>
      <c r="P19" s="8"/>
      <c r="Q19" s="8"/>
      <c r="R19" s="9"/>
      <c r="S19" s="10"/>
    </row>
    <row r="20" spans="1:19" ht="14.25" customHeight="1" x14ac:dyDescent="0.35">
      <c r="A20" s="6"/>
      <c r="B20" s="6"/>
      <c r="C20" s="6"/>
      <c r="D20" s="6"/>
      <c r="E20" s="7"/>
      <c r="F20" s="6"/>
      <c r="G20" s="6"/>
      <c r="H20" s="6"/>
      <c r="I20" s="6"/>
      <c r="J20" s="6"/>
      <c r="K20" s="6"/>
      <c r="L20" s="6"/>
      <c r="M20" s="6"/>
      <c r="N20" s="8"/>
      <c r="O20" s="8"/>
      <c r="P20" s="8"/>
      <c r="Q20" s="8"/>
      <c r="R20" s="9"/>
      <c r="S20" s="10"/>
    </row>
    <row r="21" spans="1:19" ht="14.25" customHeight="1" x14ac:dyDescent="0.35">
      <c r="A21" s="6"/>
      <c r="B21" s="6"/>
      <c r="C21" s="6"/>
      <c r="D21" s="6"/>
      <c r="E21" s="7"/>
      <c r="F21" s="6"/>
      <c r="G21" s="6"/>
      <c r="H21" s="6"/>
      <c r="I21" s="6"/>
      <c r="J21" s="6"/>
      <c r="K21" s="6"/>
      <c r="L21" s="6"/>
      <c r="M21" s="6"/>
      <c r="N21" s="8"/>
      <c r="O21" s="8"/>
      <c r="P21" s="8"/>
      <c r="Q21" s="8"/>
      <c r="R21" s="9"/>
      <c r="S21" s="10"/>
    </row>
    <row r="22" spans="1:19" ht="14.25" customHeight="1" x14ac:dyDescent="0.35">
      <c r="A22" s="6"/>
      <c r="B22" s="6"/>
      <c r="C22" s="6"/>
      <c r="D22" s="6"/>
      <c r="E22" s="7"/>
      <c r="F22" s="6"/>
      <c r="G22" s="6"/>
      <c r="H22" s="6"/>
      <c r="I22" s="6"/>
      <c r="J22" s="6"/>
      <c r="K22" s="6"/>
      <c r="L22" s="6"/>
      <c r="M22" s="6"/>
      <c r="N22" s="8"/>
      <c r="O22" s="8"/>
      <c r="P22" s="8"/>
      <c r="Q22" s="8"/>
      <c r="R22" s="9"/>
      <c r="S22" s="10"/>
    </row>
    <row r="23" spans="1:19" ht="14.25" customHeight="1" x14ac:dyDescent="0.35">
      <c r="A23" s="6"/>
      <c r="B23" s="6"/>
      <c r="C23" s="6"/>
      <c r="D23" s="6"/>
      <c r="E23" s="7"/>
      <c r="F23" s="6"/>
      <c r="G23" s="6"/>
      <c r="H23" s="6"/>
      <c r="I23" s="6"/>
      <c r="J23" s="6"/>
      <c r="K23" s="6"/>
      <c r="L23" s="6"/>
      <c r="M23" s="6"/>
      <c r="N23" s="8"/>
      <c r="O23" s="8"/>
      <c r="P23" s="8"/>
      <c r="Q23" s="8"/>
      <c r="R23" s="9"/>
      <c r="S23" s="10"/>
    </row>
    <row r="24" spans="1:19" ht="14.25" customHeight="1" x14ac:dyDescent="0.35">
      <c r="A24" s="6"/>
      <c r="B24" s="6"/>
      <c r="C24" s="6"/>
      <c r="D24" s="6"/>
      <c r="E24" s="7"/>
      <c r="F24" s="6"/>
      <c r="G24" s="6"/>
      <c r="H24" s="6"/>
      <c r="I24" s="6"/>
      <c r="J24" s="6"/>
      <c r="K24" s="6"/>
      <c r="L24" s="6"/>
      <c r="M24" s="6"/>
      <c r="N24" s="8"/>
      <c r="O24" s="8"/>
      <c r="P24" s="8"/>
      <c r="Q24" s="8"/>
      <c r="R24" s="9"/>
      <c r="S24" s="10"/>
    </row>
    <row r="25" spans="1:19" ht="14.25" customHeight="1" x14ac:dyDescent="0.35">
      <c r="A25" s="6"/>
      <c r="B25" s="6"/>
      <c r="C25" s="6"/>
      <c r="D25" s="6"/>
      <c r="E25" s="7"/>
      <c r="F25" s="6"/>
      <c r="G25" s="6"/>
      <c r="H25" s="6"/>
      <c r="I25" s="6"/>
      <c r="J25" s="6"/>
      <c r="K25" s="6"/>
      <c r="L25" s="6"/>
      <c r="M25" s="6"/>
      <c r="N25" s="8"/>
      <c r="O25" s="8"/>
      <c r="P25" s="8"/>
      <c r="Q25" s="8"/>
      <c r="R25" s="9"/>
      <c r="S25" s="10"/>
    </row>
    <row r="26" spans="1:19" ht="14.25" customHeight="1" x14ac:dyDescent="0.35">
      <c r="A26" s="6"/>
      <c r="B26" s="6"/>
      <c r="C26" s="6"/>
      <c r="D26" s="6"/>
      <c r="E26" s="7"/>
      <c r="F26" s="6"/>
      <c r="G26" s="6"/>
      <c r="H26" s="6"/>
      <c r="I26" s="6"/>
      <c r="J26" s="6"/>
      <c r="K26" s="6"/>
      <c r="L26" s="6"/>
      <c r="M26" s="6"/>
      <c r="N26" s="8"/>
      <c r="O26" s="8"/>
      <c r="P26" s="8"/>
      <c r="Q26" s="8"/>
      <c r="R26" s="9"/>
      <c r="S26" s="10"/>
    </row>
    <row r="27" spans="1:19" ht="14.25" customHeight="1" x14ac:dyDescent="0.35">
      <c r="A27" s="6"/>
      <c r="B27" s="6"/>
      <c r="C27" s="6"/>
      <c r="D27" s="6"/>
      <c r="E27" s="7"/>
      <c r="F27" s="6"/>
      <c r="G27" s="6"/>
      <c r="H27" s="6"/>
      <c r="I27" s="6"/>
      <c r="J27" s="6"/>
      <c r="K27" s="6"/>
      <c r="L27" s="6"/>
      <c r="M27" s="6"/>
      <c r="N27" s="8"/>
      <c r="O27" s="8"/>
      <c r="P27" s="8"/>
      <c r="Q27" s="8"/>
      <c r="R27" s="9"/>
      <c r="S27" s="10"/>
    </row>
    <row r="28" spans="1:19" ht="14.25" customHeight="1" x14ac:dyDescent="0.35">
      <c r="A28" s="6"/>
      <c r="B28" s="6"/>
      <c r="C28" s="6"/>
      <c r="D28" s="6"/>
      <c r="E28" s="7"/>
      <c r="F28" s="6"/>
      <c r="G28" s="6"/>
      <c r="H28" s="6"/>
      <c r="I28" s="6"/>
      <c r="J28" s="6"/>
      <c r="K28" s="6"/>
      <c r="L28" s="6"/>
      <c r="M28" s="6"/>
      <c r="N28" s="8"/>
      <c r="O28" s="8"/>
      <c r="P28" s="8"/>
      <c r="Q28" s="8"/>
      <c r="R28" s="9"/>
      <c r="S28" s="10"/>
    </row>
    <row r="29" spans="1:19" ht="14.25" customHeight="1" x14ac:dyDescent="0.35">
      <c r="A29" s="6"/>
      <c r="B29" s="6"/>
      <c r="C29" s="6"/>
      <c r="D29" s="6"/>
      <c r="E29" s="7"/>
      <c r="F29" s="6"/>
      <c r="G29" s="6"/>
      <c r="H29" s="6"/>
      <c r="I29" s="6"/>
      <c r="J29" s="6"/>
      <c r="K29" s="6"/>
      <c r="L29" s="6"/>
      <c r="M29" s="6"/>
      <c r="N29" s="8"/>
      <c r="O29" s="8"/>
      <c r="P29" s="8"/>
      <c r="Q29" s="8"/>
      <c r="R29" s="9"/>
      <c r="S29" s="10"/>
    </row>
    <row r="30" spans="1:19" ht="14.25" customHeight="1" x14ac:dyDescent="0.35">
      <c r="A30" s="6"/>
      <c r="B30" s="6"/>
      <c r="C30" s="6"/>
      <c r="D30" s="6"/>
      <c r="E30" s="7"/>
      <c r="F30" s="6"/>
      <c r="G30" s="6"/>
      <c r="H30" s="6"/>
      <c r="I30" s="6"/>
      <c r="J30" s="6"/>
      <c r="K30" s="6"/>
      <c r="L30" s="6"/>
      <c r="M30" s="6"/>
      <c r="N30" s="8"/>
      <c r="O30" s="8"/>
      <c r="P30" s="8"/>
      <c r="Q30" s="8"/>
      <c r="R30" s="9"/>
      <c r="S30" s="10"/>
    </row>
    <row r="31" spans="1:19" ht="14.25" customHeight="1" x14ac:dyDescent="0.35">
      <c r="A31" s="6"/>
      <c r="B31" s="6"/>
      <c r="C31" s="6"/>
      <c r="D31" s="6"/>
      <c r="E31" s="7"/>
      <c r="F31" s="6"/>
      <c r="G31" s="6"/>
      <c r="H31" s="6"/>
      <c r="I31" s="6"/>
      <c r="J31" s="6"/>
      <c r="K31" s="6"/>
      <c r="L31" s="6"/>
      <c r="M31" s="6"/>
      <c r="N31" s="8"/>
      <c r="O31" s="8"/>
      <c r="P31" s="8"/>
      <c r="Q31" s="8"/>
      <c r="R31" s="9"/>
      <c r="S31" s="10"/>
    </row>
    <row r="32" spans="1:19" ht="14.25" customHeight="1" x14ac:dyDescent="0.35">
      <c r="A32" s="6"/>
      <c r="B32" s="6"/>
      <c r="C32" s="6"/>
      <c r="D32" s="6"/>
      <c r="E32" s="7"/>
      <c r="F32" s="6"/>
      <c r="G32" s="6"/>
      <c r="H32" s="6"/>
      <c r="I32" s="6"/>
      <c r="J32" s="6"/>
      <c r="K32" s="6"/>
      <c r="L32" s="6"/>
      <c r="M32" s="6"/>
      <c r="N32" s="8"/>
      <c r="O32" s="8"/>
      <c r="P32" s="8"/>
      <c r="Q32" s="8"/>
      <c r="R32" s="9"/>
      <c r="S32" s="10"/>
    </row>
    <row r="33" spans="1:19" ht="14.25" customHeight="1" x14ac:dyDescent="0.35">
      <c r="A33" s="6"/>
      <c r="B33" s="6"/>
      <c r="C33" s="6"/>
      <c r="D33" s="6"/>
      <c r="E33" s="7"/>
      <c r="F33" s="6"/>
      <c r="G33" s="6"/>
      <c r="H33" s="6"/>
      <c r="I33" s="6"/>
      <c r="J33" s="6"/>
      <c r="K33" s="6"/>
      <c r="L33" s="6"/>
      <c r="M33" s="6"/>
      <c r="N33" s="8"/>
      <c r="O33" s="8"/>
      <c r="P33" s="8"/>
      <c r="Q33" s="8"/>
      <c r="R33" s="9"/>
      <c r="S33" s="10"/>
    </row>
    <row r="34" spans="1:19" ht="14.25" customHeight="1" x14ac:dyDescent="0.35">
      <c r="A34" s="6"/>
      <c r="B34" s="6"/>
      <c r="C34" s="6"/>
      <c r="D34" s="6"/>
      <c r="E34" s="7"/>
      <c r="F34" s="6"/>
      <c r="G34" s="6"/>
      <c r="H34" s="6"/>
      <c r="I34" s="6"/>
      <c r="J34" s="6"/>
      <c r="K34" s="6"/>
      <c r="L34" s="6"/>
      <c r="M34" s="6"/>
      <c r="N34" s="8"/>
      <c r="O34" s="8"/>
      <c r="P34" s="8"/>
      <c r="Q34" s="8"/>
      <c r="R34" s="9"/>
      <c r="S34" s="10"/>
    </row>
    <row r="35" spans="1:19" ht="14.25" customHeight="1" x14ac:dyDescent="0.35">
      <c r="A35" s="6"/>
      <c r="B35" s="6"/>
      <c r="C35" s="6"/>
      <c r="D35" s="6"/>
      <c r="E35" s="7"/>
      <c r="F35" s="6"/>
      <c r="G35" s="6"/>
      <c r="H35" s="6"/>
      <c r="I35" s="6"/>
      <c r="J35" s="6"/>
      <c r="K35" s="6"/>
      <c r="L35" s="6"/>
      <c r="M35" s="6"/>
      <c r="N35" s="8"/>
      <c r="O35" s="8"/>
      <c r="P35" s="8"/>
      <c r="Q35" s="8"/>
      <c r="R35" s="9"/>
      <c r="S35" s="10"/>
    </row>
    <row r="36" spans="1:19" ht="14.25" customHeight="1" x14ac:dyDescent="0.35">
      <c r="A36" s="6"/>
      <c r="B36" s="6"/>
      <c r="C36" s="6"/>
      <c r="D36" s="6"/>
      <c r="E36" s="7"/>
      <c r="F36" s="6"/>
      <c r="G36" s="6"/>
      <c r="H36" s="6"/>
      <c r="I36" s="6"/>
      <c r="J36" s="6"/>
      <c r="K36" s="6"/>
      <c r="L36" s="6"/>
      <c r="M36" s="6"/>
      <c r="N36" s="8"/>
      <c r="O36" s="8"/>
      <c r="P36" s="8"/>
      <c r="Q36" s="8"/>
      <c r="R36" s="9"/>
      <c r="S36" s="10"/>
    </row>
    <row r="37" spans="1:19" ht="14.25" customHeight="1" x14ac:dyDescent="0.35">
      <c r="A37" s="6"/>
      <c r="B37" s="6"/>
      <c r="C37" s="6"/>
      <c r="D37" s="6"/>
      <c r="E37" s="7"/>
      <c r="F37" s="6"/>
      <c r="G37" s="6"/>
      <c r="H37" s="6"/>
      <c r="I37" s="6"/>
      <c r="J37" s="6"/>
      <c r="K37" s="6"/>
      <c r="L37" s="6"/>
      <c r="M37" s="6"/>
      <c r="N37" s="8"/>
      <c r="O37" s="8"/>
      <c r="P37" s="8"/>
      <c r="Q37" s="8"/>
      <c r="R37" s="9"/>
      <c r="S37" s="10"/>
    </row>
    <row r="38" spans="1:19" ht="14.25" customHeight="1" x14ac:dyDescent="0.35">
      <c r="A38" s="6"/>
      <c r="B38" s="6"/>
      <c r="C38" s="6"/>
      <c r="D38" s="6"/>
      <c r="E38" s="7"/>
      <c r="F38" s="6"/>
      <c r="G38" s="6"/>
      <c r="H38" s="6"/>
      <c r="I38" s="6"/>
      <c r="J38" s="6"/>
      <c r="K38" s="6"/>
      <c r="L38" s="6"/>
      <c r="M38" s="6"/>
      <c r="N38" s="8"/>
      <c r="O38" s="8"/>
      <c r="P38" s="8"/>
      <c r="Q38" s="8"/>
      <c r="R38" s="9"/>
      <c r="S38" s="10"/>
    </row>
    <row r="39" spans="1:19" ht="14.25" customHeight="1" x14ac:dyDescent="0.35">
      <c r="A39" s="6"/>
      <c r="B39" s="6"/>
      <c r="C39" s="6"/>
      <c r="D39" s="6"/>
      <c r="E39" s="7"/>
      <c r="F39" s="6"/>
      <c r="G39" s="6"/>
      <c r="H39" s="6"/>
      <c r="I39" s="6"/>
      <c r="J39" s="6"/>
      <c r="K39" s="6"/>
      <c r="L39" s="6"/>
      <c r="M39" s="6"/>
      <c r="N39" s="8"/>
      <c r="O39" s="8"/>
      <c r="P39" s="8"/>
      <c r="Q39" s="8"/>
      <c r="R39" s="9"/>
      <c r="S39" s="10"/>
    </row>
    <row r="40" spans="1:19" ht="14.25" customHeight="1" x14ac:dyDescent="0.35">
      <c r="A40" s="6"/>
      <c r="B40" s="6"/>
      <c r="C40" s="6"/>
      <c r="D40" s="6"/>
      <c r="E40" s="7"/>
      <c r="F40" s="6"/>
      <c r="G40" s="6"/>
      <c r="H40" s="6"/>
      <c r="I40" s="6"/>
      <c r="J40" s="6"/>
      <c r="K40" s="6"/>
      <c r="L40" s="6"/>
      <c r="M40" s="6"/>
      <c r="N40" s="8"/>
      <c r="O40" s="8"/>
      <c r="P40" s="8"/>
      <c r="Q40" s="8"/>
      <c r="R40" s="9"/>
      <c r="S40" s="10"/>
    </row>
    <row r="41" spans="1:19" ht="14.25" customHeight="1" x14ac:dyDescent="0.35">
      <c r="A41" s="6"/>
      <c r="B41" s="6"/>
      <c r="C41" s="6"/>
      <c r="D41" s="6"/>
      <c r="E41" s="7"/>
      <c r="F41" s="6"/>
      <c r="G41" s="6"/>
      <c r="H41" s="6"/>
      <c r="I41" s="6"/>
      <c r="J41" s="6"/>
      <c r="K41" s="6"/>
      <c r="L41" s="6"/>
      <c r="M41" s="6"/>
      <c r="N41" s="8"/>
      <c r="O41" s="8"/>
      <c r="P41" s="8"/>
      <c r="Q41" s="8"/>
      <c r="R41" s="9"/>
      <c r="S41" s="10"/>
    </row>
    <row r="42" spans="1:19" ht="14.25" customHeight="1" x14ac:dyDescent="0.35">
      <c r="A42" s="6"/>
      <c r="B42" s="6"/>
      <c r="C42" s="6"/>
      <c r="D42" s="6"/>
      <c r="E42" s="7"/>
      <c r="F42" s="6"/>
      <c r="G42" s="6"/>
      <c r="H42" s="6"/>
      <c r="I42" s="6"/>
      <c r="J42" s="6"/>
      <c r="K42" s="6"/>
      <c r="L42" s="6"/>
      <c r="M42" s="6"/>
      <c r="N42" s="8"/>
      <c r="O42" s="8"/>
      <c r="P42" s="8"/>
      <c r="Q42" s="8"/>
      <c r="R42" s="9"/>
      <c r="S42" s="10"/>
    </row>
    <row r="43" spans="1:19" ht="14.25" customHeight="1" x14ac:dyDescent="0.35">
      <c r="A43" s="6"/>
      <c r="B43" s="6"/>
      <c r="C43" s="6"/>
      <c r="D43" s="6"/>
      <c r="E43" s="7"/>
      <c r="F43" s="6"/>
      <c r="G43" s="6"/>
      <c r="H43" s="6"/>
      <c r="I43" s="6"/>
      <c r="J43" s="6"/>
      <c r="K43" s="6"/>
      <c r="L43" s="6"/>
      <c r="M43" s="6"/>
      <c r="N43" s="8"/>
      <c r="O43" s="8"/>
      <c r="P43" s="8"/>
      <c r="Q43" s="8"/>
      <c r="R43" s="9"/>
      <c r="S43" s="10"/>
    </row>
    <row r="44" spans="1:19" ht="14.25" customHeight="1" x14ac:dyDescent="0.35">
      <c r="A44" s="6"/>
      <c r="B44" s="6"/>
      <c r="C44" s="6"/>
      <c r="D44" s="6"/>
      <c r="E44" s="7"/>
      <c r="F44" s="6"/>
      <c r="G44" s="6"/>
      <c r="H44" s="6"/>
      <c r="J44" s="6"/>
      <c r="K44" s="6"/>
      <c r="L44" s="6"/>
      <c r="M44" s="6"/>
      <c r="N44" s="8"/>
      <c r="O44" s="8"/>
      <c r="P44" s="8"/>
      <c r="Q44" s="8"/>
      <c r="R44" s="9"/>
      <c r="S44" s="10"/>
    </row>
    <row r="45" spans="1:19" ht="14.25" customHeight="1" x14ac:dyDescent="0.35">
      <c r="A45" s="6"/>
      <c r="B45" s="6"/>
      <c r="C45" s="6"/>
      <c r="D45" s="6"/>
      <c r="E45" s="7"/>
      <c r="F45" s="6"/>
      <c r="G45" s="6"/>
      <c r="H45" s="6"/>
      <c r="I45" s="6"/>
      <c r="J45" s="6"/>
      <c r="K45" s="6"/>
      <c r="L45" s="6"/>
      <c r="M45" s="6"/>
      <c r="N45" s="8"/>
      <c r="O45" s="8"/>
      <c r="P45" s="8"/>
      <c r="Q45" s="8"/>
      <c r="R45" s="9"/>
      <c r="S45" s="10"/>
    </row>
    <row r="46" spans="1:19" ht="14.25" customHeight="1" x14ac:dyDescent="0.35">
      <c r="A46" s="6"/>
      <c r="B46" s="6"/>
      <c r="C46" s="6"/>
      <c r="D46" s="6"/>
      <c r="E46" s="7"/>
      <c r="F46" s="6"/>
      <c r="G46" s="6"/>
      <c r="H46" s="6"/>
      <c r="I46" s="6"/>
      <c r="J46" s="6"/>
      <c r="K46" s="6"/>
      <c r="L46" s="6"/>
      <c r="M46" s="6"/>
      <c r="N46" s="8"/>
      <c r="O46" s="8"/>
      <c r="P46" s="8"/>
      <c r="Q46" s="8"/>
      <c r="R46" s="9"/>
      <c r="S46" s="10"/>
    </row>
    <row r="47" spans="1:19" ht="14.25" customHeight="1" x14ac:dyDescent="0.35">
      <c r="A47" s="6"/>
      <c r="B47" s="6"/>
      <c r="C47" s="6"/>
      <c r="D47" s="6"/>
      <c r="E47" s="7"/>
      <c r="F47" s="6"/>
      <c r="G47" s="6"/>
      <c r="H47" s="6"/>
      <c r="I47" s="6"/>
      <c r="J47" s="6"/>
      <c r="K47" s="6"/>
      <c r="L47" s="6"/>
      <c r="M47" s="6"/>
      <c r="N47" s="8"/>
      <c r="O47" s="8"/>
      <c r="P47" s="8"/>
      <c r="Q47" s="8"/>
      <c r="R47" s="9"/>
      <c r="S47" s="10"/>
    </row>
    <row r="48" spans="1:19" ht="14.25" customHeight="1" x14ac:dyDescent="0.35">
      <c r="A48" s="6"/>
      <c r="B48" s="6"/>
      <c r="C48" s="6"/>
      <c r="D48" s="6"/>
      <c r="E48" s="7"/>
      <c r="F48" s="6"/>
      <c r="G48" s="6"/>
      <c r="H48" s="6"/>
      <c r="I48" s="6"/>
      <c r="J48" s="6"/>
      <c r="K48" s="6"/>
      <c r="L48" s="6"/>
      <c r="M48" s="6"/>
      <c r="N48" s="8"/>
      <c r="O48" s="8"/>
      <c r="P48" s="8"/>
      <c r="Q48" s="8"/>
      <c r="R48" s="9"/>
      <c r="S48" s="10"/>
    </row>
    <row r="49" spans="1:19" ht="14.25" customHeight="1" x14ac:dyDescent="0.35">
      <c r="A49" s="6"/>
      <c r="B49" s="6"/>
      <c r="C49" s="6"/>
      <c r="D49" s="6"/>
      <c r="E49" s="7"/>
      <c r="F49" s="6"/>
      <c r="G49" s="6"/>
      <c r="H49" s="6"/>
      <c r="I49" s="6"/>
      <c r="J49" s="6"/>
      <c r="K49" s="6"/>
      <c r="L49" s="6"/>
      <c r="M49" s="6"/>
      <c r="N49" s="8"/>
      <c r="O49" s="8"/>
      <c r="P49" s="8"/>
      <c r="Q49" s="8"/>
      <c r="R49" s="9"/>
      <c r="S49" s="10"/>
    </row>
    <row r="50" spans="1:19" ht="14.25" customHeight="1" x14ac:dyDescent="0.35">
      <c r="A50" s="6"/>
      <c r="B50" s="6"/>
      <c r="C50" s="6"/>
      <c r="D50" s="6"/>
      <c r="E50" s="7"/>
      <c r="F50" s="6"/>
      <c r="G50" s="6"/>
      <c r="H50" s="6"/>
      <c r="I50" s="6"/>
      <c r="J50" s="6"/>
      <c r="K50" s="6"/>
      <c r="L50" s="6"/>
      <c r="M50" s="6"/>
      <c r="N50" s="8"/>
      <c r="O50" s="8"/>
      <c r="P50" s="8"/>
      <c r="Q50" s="8"/>
      <c r="R50" s="9"/>
      <c r="S50" s="10"/>
    </row>
    <row r="51" spans="1:19" ht="14.25" customHeight="1" x14ac:dyDescent="0.35">
      <c r="A51" s="6"/>
      <c r="B51" s="6"/>
      <c r="C51" s="6"/>
      <c r="D51" s="6"/>
      <c r="E51" s="7"/>
      <c r="F51" s="6"/>
      <c r="G51" s="6"/>
      <c r="H51" s="6"/>
      <c r="I51" s="6"/>
      <c r="J51" s="6"/>
      <c r="K51" s="6"/>
      <c r="L51" s="6"/>
      <c r="M51" s="6"/>
      <c r="N51" s="8"/>
      <c r="O51" s="8"/>
      <c r="P51" s="8"/>
      <c r="Q51" s="8"/>
      <c r="R51" s="9"/>
      <c r="S51" s="10"/>
    </row>
    <row r="52" spans="1:19" ht="14.25" customHeight="1" x14ac:dyDescent="0.35">
      <c r="A52" s="6"/>
      <c r="B52" s="6"/>
      <c r="C52" s="6"/>
      <c r="D52" s="6"/>
      <c r="E52" s="7"/>
      <c r="F52" s="6"/>
      <c r="G52" s="6"/>
      <c r="H52" s="6"/>
      <c r="I52" s="6"/>
      <c r="J52" s="6"/>
      <c r="K52" s="6"/>
      <c r="L52" s="6"/>
      <c r="M52" s="6"/>
      <c r="N52" s="8"/>
      <c r="O52" s="8"/>
      <c r="P52" s="8"/>
      <c r="Q52" s="8"/>
      <c r="R52" s="9"/>
      <c r="S52" s="10"/>
    </row>
    <row r="53" spans="1:19" ht="14.25" customHeight="1" x14ac:dyDescent="0.35">
      <c r="A53" s="6"/>
      <c r="B53" s="6"/>
      <c r="C53" s="6"/>
      <c r="D53" s="6"/>
      <c r="E53" s="7"/>
      <c r="F53" s="6"/>
      <c r="G53" s="6"/>
      <c r="H53" s="6"/>
      <c r="I53" s="6"/>
      <c r="J53" s="6"/>
      <c r="K53" s="6"/>
      <c r="L53" s="6"/>
      <c r="M53" s="6"/>
      <c r="N53" s="8"/>
      <c r="O53" s="8"/>
      <c r="P53" s="8"/>
      <c r="Q53" s="8"/>
      <c r="R53" s="9"/>
      <c r="S53" s="10"/>
    </row>
    <row r="54" spans="1:19" ht="14.25" customHeight="1" x14ac:dyDescent="0.35">
      <c r="A54" s="6"/>
      <c r="B54" s="6"/>
      <c r="C54" s="6"/>
      <c r="D54" s="6"/>
      <c r="E54" s="7"/>
      <c r="F54" s="6"/>
      <c r="G54" s="6"/>
      <c r="H54" s="6"/>
      <c r="I54" s="6"/>
      <c r="J54" s="6"/>
      <c r="K54" s="6"/>
      <c r="L54" s="6"/>
      <c r="M54" s="6"/>
      <c r="N54" s="8"/>
      <c r="O54" s="8"/>
      <c r="P54" s="8"/>
      <c r="Q54" s="8"/>
      <c r="R54" s="9"/>
      <c r="S54" s="10"/>
    </row>
    <row r="55" spans="1:19" ht="14.25" customHeight="1" x14ac:dyDescent="0.35">
      <c r="A55" s="6"/>
      <c r="B55" s="6"/>
      <c r="C55" s="6"/>
      <c r="D55" s="6"/>
      <c r="E55" s="7"/>
      <c r="F55" s="6"/>
      <c r="G55" s="6"/>
      <c r="H55" s="6"/>
      <c r="I55" s="6"/>
      <c r="J55" s="6"/>
      <c r="K55" s="6"/>
      <c r="L55" s="6"/>
      <c r="M55" s="6"/>
      <c r="N55" s="8"/>
      <c r="O55" s="8"/>
      <c r="P55" s="8"/>
      <c r="Q55" s="8"/>
      <c r="R55" s="9"/>
      <c r="S55" s="10"/>
    </row>
    <row r="56" spans="1:19" ht="14.25" customHeight="1" x14ac:dyDescent="0.35">
      <c r="A56" s="6"/>
      <c r="B56" s="6"/>
      <c r="C56" s="6"/>
      <c r="D56" s="6"/>
      <c r="E56" s="7"/>
      <c r="F56" s="6"/>
      <c r="G56" s="6"/>
      <c r="H56" s="6"/>
      <c r="I56" s="6"/>
      <c r="J56" s="6"/>
      <c r="K56" s="6"/>
      <c r="L56" s="6"/>
      <c r="M56" s="6"/>
      <c r="N56" s="8"/>
      <c r="O56" s="8"/>
      <c r="P56" s="8"/>
      <c r="Q56" s="8"/>
      <c r="R56" s="9"/>
      <c r="S56" s="10"/>
    </row>
    <row r="57" spans="1:19" ht="14.25" customHeight="1" x14ac:dyDescent="0.35">
      <c r="A57" s="6"/>
      <c r="B57" s="6"/>
      <c r="C57" s="6"/>
      <c r="D57" s="6"/>
      <c r="E57" s="7"/>
      <c r="F57" s="6"/>
      <c r="G57" s="6"/>
      <c r="H57" s="6"/>
      <c r="I57" s="6"/>
      <c r="J57" s="6"/>
      <c r="K57" s="6"/>
      <c r="L57" s="6"/>
      <c r="M57" s="6"/>
      <c r="N57" s="8"/>
      <c r="O57" s="8"/>
      <c r="P57" s="8"/>
      <c r="Q57" s="8"/>
      <c r="R57" s="9"/>
      <c r="S57" s="10"/>
    </row>
    <row r="58" spans="1:19" ht="14.25" customHeight="1" x14ac:dyDescent="0.35">
      <c r="A58" s="6"/>
      <c r="B58" s="6"/>
      <c r="C58" s="6"/>
      <c r="D58" s="6"/>
      <c r="E58" s="7"/>
      <c r="F58" s="6"/>
      <c r="G58" s="6"/>
      <c r="H58" s="6"/>
      <c r="I58" s="6"/>
      <c r="J58" s="6"/>
      <c r="K58" s="6"/>
      <c r="L58" s="6"/>
      <c r="M58" s="6"/>
      <c r="N58" s="8"/>
      <c r="O58" s="8"/>
      <c r="P58" s="8"/>
      <c r="Q58" s="8"/>
      <c r="R58" s="9"/>
      <c r="S58" s="10"/>
    </row>
    <row r="59" spans="1:19" ht="14.25" customHeight="1" x14ac:dyDescent="0.35">
      <c r="A59" s="6"/>
      <c r="B59" s="6"/>
      <c r="C59" s="6"/>
      <c r="D59" s="6"/>
      <c r="E59" s="7"/>
      <c r="F59" s="6"/>
      <c r="G59" s="6"/>
      <c r="H59" s="6"/>
      <c r="I59" s="6"/>
      <c r="J59" s="6"/>
      <c r="K59" s="6"/>
      <c r="L59" s="6"/>
      <c r="M59" s="6"/>
      <c r="N59" s="8"/>
      <c r="O59" s="8"/>
      <c r="P59" s="8"/>
      <c r="Q59" s="8"/>
      <c r="R59" s="9"/>
      <c r="S59" s="10"/>
    </row>
    <row r="60" spans="1:19" ht="14.25" customHeight="1" x14ac:dyDescent="0.35">
      <c r="A60" s="6"/>
      <c r="B60" s="6"/>
      <c r="C60" s="6"/>
      <c r="D60" s="6"/>
      <c r="E60" s="7"/>
      <c r="F60" s="6"/>
      <c r="G60" s="6"/>
      <c r="H60" s="6"/>
      <c r="I60" s="6"/>
      <c r="J60" s="6"/>
      <c r="K60" s="6"/>
      <c r="L60" s="6"/>
      <c r="M60" s="6"/>
      <c r="N60" s="8"/>
      <c r="O60" s="8"/>
      <c r="P60" s="8"/>
      <c r="Q60" s="8"/>
      <c r="R60" s="9"/>
      <c r="S60" s="10"/>
    </row>
    <row r="61" spans="1:19" ht="14.25" customHeight="1" x14ac:dyDescent="0.35">
      <c r="A61" s="6"/>
      <c r="B61" s="6"/>
      <c r="C61" s="6"/>
      <c r="D61" s="6"/>
      <c r="E61" s="7"/>
      <c r="F61" s="6"/>
      <c r="G61" s="6"/>
      <c r="H61" s="6"/>
      <c r="I61" s="6"/>
      <c r="J61" s="6"/>
      <c r="K61" s="6"/>
      <c r="L61" s="6"/>
      <c r="M61" s="6"/>
      <c r="N61" s="8"/>
      <c r="O61" s="8"/>
      <c r="P61" s="8"/>
      <c r="Q61" s="8"/>
      <c r="R61" s="9"/>
      <c r="S61" s="10"/>
    </row>
    <row r="62" spans="1:19" ht="14.25" customHeight="1" x14ac:dyDescent="0.35">
      <c r="A62" s="6"/>
      <c r="B62" s="6"/>
      <c r="C62" s="6"/>
      <c r="D62" s="6"/>
      <c r="E62" s="7"/>
      <c r="F62" s="6"/>
      <c r="G62" s="6"/>
      <c r="H62" s="6"/>
      <c r="I62" s="6"/>
      <c r="J62" s="6"/>
      <c r="K62" s="6"/>
      <c r="L62" s="6"/>
      <c r="M62" s="6"/>
      <c r="N62" s="8"/>
      <c r="O62" s="8"/>
      <c r="P62" s="8"/>
      <c r="Q62" s="8"/>
      <c r="R62" s="9"/>
      <c r="S62" s="10"/>
    </row>
    <row r="63" spans="1:19" ht="14.25" customHeight="1" x14ac:dyDescent="0.35">
      <c r="A63" s="6"/>
      <c r="B63" s="6"/>
      <c r="C63" s="6"/>
      <c r="D63" s="6"/>
      <c r="E63" s="7"/>
      <c r="F63" s="6"/>
      <c r="G63" s="6"/>
      <c r="H63" s="6"/>
      <c r="I63" s="6"/>
      <c r="J63" s="6"/>
      <c r="K63" s="6"/>
      <c r="L63" s="6"/>
      <c r="M63" s="6"/>
      <c r="N63" s="8"/>
      <c r="O63" s="8"/>
      <c r="P63" s="8"/>
      <c r="Q63" s="8"/>
      <c r="R63" s="9"/>
      <c r="S63" s="10"/>
    </row>
    <row r="64" spans="1:19" ht="14.25" customHeight="1" x14ac:dyDescent="0.35">
      <c r="A64" s="6"/>
      <c r="B64" s="6"/>
      <c r="C64" s="6"/>
      <c r="D64" s="6"/>
      <c r="E64" s="7"/>
      <c r="F64" s="6"/>
      <c r="G64" s="6"/>
      <c r="H64" s="6"/>
      <c r="I64" s="6"/>
      <c r="J64" s="6"/>
      <c r="K64" s="6"/>
      <c r="L64" s="6"/>
      <c r="M64" s="6"/>
      <c r="N64" s="8"/>
      <c r="O64" s="8"/>
      <c r="P64" s="8"/>
      <c r="Q64" s="8"/>
      <c r="R64" s="9"/>
      <c r="S64" s="10"/>
    </row>
    <row r="65" spans="1:19" ht="14.25" customHeight="1" x14ac:dyDescent="0.35">
      <c r="A65" s="6"/>
      <c r="B65" s="6"/>
      <c r="C65" s="6"/>
      <c r="D65" s="6"/>
      <c r="E65" s="7"/>
      <c r="F65" s="6"/>
      <c r="G65" s="6"/>
      <c r="H65" s="6"/>
      <c r="I65" s="6"/>
      <c r="J65" s="6"/>
      <c r="K65" s="6"/>
      <c r="L65" s="6"/>
      <c r="M65" s="6"/>
      <c r="N65" s="8"/>
      <c r="O65" s="8"/>
      <c r="P65" s="8"/>
      <c r="Q65" s="8"/>
      <c r="R65" s="9"/>
      <c r="S65" s="10"/>
    </row>
    <row r="66" spans="1:19" ht="14.25" customHeight="1" x14ac:dyDescent="0.35">
      <c r="A66" s="6"/>
      <c r="B66" s="6"/>
      <c r="C66" s="6"/>
      <c r="D66" s="6"/>
      <c r="E66" s="7"/>
      <c r="F66" s="6"/>
      <c r="G66" s="6"/>
      <c r="H66" s="6"/>
      <c r="I66" s="6"/>
      <c r="J66" s="6"/>
      <c r="K66" s="6"/>
      <c r="L66" s="6"/>
      <c r="M66" s="6"/>
      <c r="N66" s="8"/>
      <c r="O66" s="8"/>
      <c r="P66" s="8"/>
      <c r="Q66" s="8"/>
      <c r="R66" s="9"/>
      <c r="S66" s="10"/>
    </row>
    <row r="67" spans="1:19" ht="14.25" customHeight="1" x14ac:dyDescent="0.35">
      <c r="A67" s="6"/>
      <c r="B67" s="6"/>
      <c r="C67" s="6"/>
      <c r="D67" s="6"/>
      <c r="E67" s="7"/>
      <c r="F67" s="6"/>
      <c r="G67" s="6"/>
      <c r="H67" s="6"/>
      <c r="I67" s="6"/>
      <c r="J67" s="6"/>
      <c r="K67" s="6"/>
      <c r="L67" s="6"/>
      <c r="M67" s="6"/>
      <c r="N67" s="8"/>
      <c r="O67" s="8"/>
      <c r="P67" s="8"/>
      <c r="Q67" s="8"/>
      <c r="R67" s="9"/>
      <c r="S67" s="10"/>
    </row>
    <row r="68" spans="1:19" ht="14.25" customHeight="1" x14ac:dyDescent="0.35">
      <c r="A68" s="6"/>
      <c r="B68" s="6"/>
      <c r="C68" s="6"/>
      <c r="D68" s="6"/>
      <c r="E68" s="7"/>
      <c r="F68" s="6"/>
      <c r="G68" s="6"/>
      <c r="H68" s="6"/>
      <c r="I68" s="6"/>
      <c r="J68" s="6"/>
      <c r="K68" s="6"/>
      <c r="L68" s="6"/>
      <c r="M68" s="6"/>
      <c r="N68" s="8"/>
      <c r="O68" s="8"/>
      <c r="P68" s="8"/>
      <c r="Q68" s="8"/>
      <c r="R68" s="9"/>
      <c r="S68" s="10"/>
    </row>
    <row r="69" spans="1:19" ht="14.25" customHeight="1" x14ac:dyDescent="0.35">
      <c r="A69" s="6"/>
      <c r="B69" s="6"/>
      <c r="C69" s="6"/>
      <c r="D69" s="6"/>
      <c r="E69" s="7"/>
      <c r="F69" s="6"/>
      <c r="G69" s="6"/>
      <c r="H69" s="6"/>
      <c r="I69" s="6"/>
      <c r="J69" s="6"/>
      <c r="K69" s="6"/>
      <c r="L69" s="6"/>
      <c r="M69" s="6"/>
      <c r="N69" s="8"/>
      <c r="O69" s="8"/>
      <c r="P69" s="8"/>
      <c r="Q69" s="8"/>
      <c r="R69" s="9"/>
      <c r="S69" s="10"/>
    </row>
    <row r="70" spans="1:19" ht="14.25" customHeight="1" x14ac:dyDescent="0.35">
      <c r="A70" s="6"/>
      <c r="B70" s="6"/>
      <c r="C70" s="6"/>
      <c r="D70" s="6"/>
      <c r="E70" s="7"/>
      <c r="F70" s="6"/>
      <c r="G70" s="6"/>
      <c r="H70" s="6"/>
      <c r="I70" s="6"/>
      <c r="J70" s="6"/>
      <c r="K70" s="6"/>
      <c r="L70" s="6"/>
      <c r="M70" s="6"/>
      <c r="N70" s="8"/>
      <c r="O70" s="8"/>
      <c r="P70" s="8"/>
      <c r="Q70" s="8"/>
      <c r="R70" s="9"/>
      <c r="S70" s="10"/>
    </row>
    <row r="71" spans="1:19" ht="14.25" customHeight="1" x14ac:dyDescent="0.35">
      <c r="A71" s="6"/>
      <c r="B71" s="6"/>
      <c r="C71" s="6"/>
      <c r="D71" s="6"/>
      <c r="E71" s="7"/>
      <c r="F71" s="6"/>
      <c r="G71" s="6"/>
      <c r="H71" s="6"/>
      <c r="I71" s="6"/>
      <c r="J71" s="6"/>
      <c r="K71" s="6"/>
      <c r="L71" s="6"/>
      <c r="M71" s="6"/>
      <c r="N71" s="8"/>
      <c r="O71" s="8"/>
      <c r="P71" s="8"/>
      <c r="Q71" s="8"/>
      <c r="R71" s="9"/>
      <c r="S71" s="10"/>
    </row>
    <row r="72" spans="1:19" ht="14.25" customHeight="1" x14ac:dyDescent="0.35">
      <c r="A72" s="6"/>
      <c r="B72" s="6"/>
      <c r="C72" s="6"/>
      <c r="D72" s="6"/>
      <c r="E72" s="7"/>
      <c r="F72" s="6"/>
      <c r="G72" s="6"/>
      <c r="H72" s="6"/>
      <c r="I72" s="6"/>
      <c r="J72" s="6"/>
      <c r="K72" s="6"/>
      <c r="L72" s="6"/>
      <c r="M72" s="6"/>
      <c r="N72" s="8"/>
      <c r="O72" s="8"/>
      <c r="P72" s="8"/>
      <c r="Q72" s="8"/>
      <c r="R72" s="9"/>
      <c r="S72" s="10"/>
    </row>
    <row r="73" spans="1:19" ht="14.25" customHeight="1" x14ac:dyDescent="0.35">
      <c r="A73" s="6"/>
      <c r="B73" s="6"/>
      <c r="C73" s="6"/>
      <c r="D73" s="6"/>
      <c r="E73" s="7"/>
      <c r="F73" s="6"/>
      <c r="G73" s="6"/>
      <c r="H73" s="6"/>
      <c r="I73" s="6"/>
      <c r="J73" s="6"/>
      <c r="K73" s="6"/>
      <c r="L73" s="6"/>
      <c r="M73" s="6"/>
      <c r="N73" s="8"/>
      <c r="O73" s="8"/>
      <c r="P73" s="8"/>
      <c r="Q73" s="8"/>
      <c r="R73" s="9"/>
      <c r="S73" s="10"/>
    </row>
    <row r="74" spans="1:19" ht="14.25" customHeight="1" x14ac:dyDescent="0.35">
      <c r="A74" s="6"/>
      <c r="B74" s="6"/>
      <c r="C74" s="6"/>
      <c r="D74" s="6"/>
      <c r="E74" s="7"/>
      <c r="F74" s="6"/>
      <c r="G74" s="6"/>
      <c r="H74" s="6"/>
      <c r="I74" s="6"/>
      <c r="J74" s="6"/>
      <c r="K74" s="6"/>
      <c r="L74" s="6"/>
      <c r="M74" s="6"/>
      <c r="N74" s="8"/>
      <c r="O74" s="8"/>
      <c r="P74" s="8"/>
      <c r="Q74" s="8"/>
      <c r="R74" s="9"/>
      <c r="S74" s="10"/>
    </row>
    <row r="75" spans="1:19" ht="14.25" customHeight="1" x14ac:dyDescent="0.35">
      <c r="A75" s="6"/>
      <c r="B75" s="6"/>
      <c r="C75" s="6"/>
      <c r="D75" s="6"/>
      <c r="E75" s="7"/>
      <c r="F75" s="6"/>
      <c r="G75" s="6"/>
      <c r="H75" s="6"/>
      <c r="I75" s="6"/>
      <c r="J75" s="6"/>
      <c r="K75" s="6"/>
      <c r="L75" s="6"/>
      <c r="M75" s="6"/>
      <c r="N75" s="8"/>
      <c r="O75" s="8"/>
      <c r="P75" s="8"/>
      <c r="Q75" s="8"/>
      <c r="R75" s="9"/>
      <c r="S75" s="10"/>
    </row>
    <row r="76" spans="1:19" ht="14.25" customHeight="1" x14ac:dyDescent="0.35">
      <c r="A76" s="6"/>
      <c r="B76" s="6"/>
      <c r="C76" s="6"/>
      <c r="D76" s="6"/>
      <c r="E76" s="7"/>
      <c r="F76" s="6"/>
      <c r="G76" s="6"/>
      <c r="H76" s="6"/>
      <c r="I76" s="6"/>
      <c r="J76" s="6"/>
      <c r="K76" s="6"/>
      <c r="L76" s="6"/>
      <c r="M76" s="6"/>
      <c r="N76" s="8"/>
      <c r="O76" s="8"/>
      <c r="P76" s="8"/>
      <c r="Q76" s="8"/>
      <c r="R76" s="9"/>
      <c r="S76" s="10"/>
    </row>
    <row r="77" spans="1:19" ht="14.25" customHeight="1" x14ac:dyDescent="0.35">
      <c r="A77" s="6"/>
      <c r="B77" s="6"/>
      <c r="C77" s="6"/>
      <c r="D77" s="6"/>
      <c r="E77" s="7"/>
      <c r="F77" s="6"/>
      <c r="G77" s="6"/>
      <c r="H77" s="6"/>
      <c r="I77" s="6"/>
      <c r="J77" s="6"/>
      <c r="K77" s="6"/>
      <c r="L77" s="6"/>
      <c r="M77" s="6"/>
      <c r="N77" s="8"/>
      <c r="O77" s="8"/>
      <c r="P77" s="8"/>
      <c r="Q77" s="8"/>
      <c r="R77" s="9"/>
      <c r="S77" s="10"/>
    </row>
    <row r="78" spans="1:19" ht="14.25" customHeight="1" x14ac:dyDescent="0.35">
      <c r="A78" s="6"/>
      <c r="B78" s="6"/>
      <c r="C78" s="6"/>
      <c r="D78" s="6"/>
      <c r="E78" s="7"/>
      <c r="F78" s="6"/>
      <c r="G78" s="6"/>
      <c r="H78" s="6"/>
      <c r="I78" s="6"/>
      <c r="J78" s="6"/>
      <c r="K78" s="6"/>
      <c r="L78" s="6"/>
      <c r="M78" s="6"/>
      <c r="N78" s="8"/>
      <c r="O78" s="8"/>
      <c r="P78" s="8"/>
      <c r="Q78" s="8"/>
      <c r="R78" s="9"/>
      <c r="S78" s="10"/>
    </row>
    <row r="79" spans="1:19" ht="14.25" customHeight="1" x14ac:dyDescent="0.35">
      <c r="A79" s="6"/>
      <c r="B79" s="6"/>
      <c r="C79" s="6"/>
      <c r="D79" s="6"/>
      <c r="E79" s="7"/>
      <c r="F79" s="6"/>
      <c r="G79" s="6"/>
      <c r="H79" s="6"/>
      <c r="I79" s="6"/>
      <c r="J79" s="6"/>
      <c r="K79" s="6"/>
      <c r="L79" s="6"/>
      <c r="M79" s="6"/>
      <c r="N79" s="8"/>
      <c r="O79" s="8"/>
      <c r="P79" s="8"/>
      <c r="Q79" s="8"/>
      <c r="R79" s="9"/>
      <c r="S79" s="10"/>
    </row>
    <row r="80" spans="1:19" ht="14.25" customHeight="1" x14ac:dyDescent="0.35">
      <c r="A80" s="6"/>
      <c r="B80" s="6"/>
      <c r="C80" s="6"/>
      <c r="D80" s="6"/>
      <c r="E80" s="7"/>
      <c r="F80" s="6"/>
      <c r="G80" s="6"/>
      <c r="H80" s="6"/>
      <c r="I80" s="6"/>
      <c r="J80" s="6"/>
      <c r="K80" s="6"/>
      <c r="L80" s="6"/>
      <c r="M80" s="6"/>
      <c r="N80" s="8"/>
      <c r="O80" s="8"/>
      <c r="P80" s="8"/>
      <c r="Q80" s="8"/>
      <c r="R80" s="9"/>
      <c r="S80" s="10"/>
    </row>
    <row r="81" spans="1:19" ht="14.25" customHeight="1" x14ac:dyDescent="0.35">
      <c r="A81" s="6"/>
      <c r="B81" s="6"/>
      <c r="C81" s="6"/>
      <c r="D81" s="6"/>
      <c r="E81" s="7"/>
      <c r="F81" s="6"/>
      <c r="G81" s="6"/>
      <c r="H81" s="6"/>
      <c r="I81" s="6"/>
      <c r="J81" s="6"/>
      <c r="K81" s="6"/>
      <c r="L81" s="6"/>
      <c r="M81" s="6"/>
      <c r="N81" s="8"/>
      <c r="O81" s="8"/>
      <c r="P81" s="8"/>
      <c r="Q81" s="8"/>
      <c r="R81" s="9"/>
      <c r="S81" s="10"/>
    </row>
    <row r="82" spans="1:19" ht="14.25" customHeight="1" x14ac:dyDescent="0.35">
      <c r="A82" s="6"/>
      <c r="B82" s="6"/>
      <c r="C82" s="6"/>
      <c r="D82" s="6"/>
      <c r="E82" s="7"/>
      <c r="F82" s="6"/>
      <c r="G82" s="6"/>
      <c r="H82" s="6"/>
      <c r="I82" s="6"/>
      <c r="J82" s="6"/>
      <c r="K82" s="6"/>
      <c r="L82" s="6"/>
      <c r="M82" s="6"/>
      <c r="N82" s="8"/>
      <c r="O82" s="8"/>
      <c r="P82" s="8"/>
      <c r="Q82" s="8"/>
      <c r="R82" s="9"/>
      <c r="S82" s="10"/>
    </row>
    <row r="83" spans="1:19" ht="14.25" customHeight="1" x14ac:dyDescent="0.35">
      <c r="A83" s="6"/>
      <c r="B83" s="6"/>
      <c r="C83" s="6"/>
      <c r="D83" s="6"/>
      <c r="E83" s="7"/>
      <c r="F83" s="6"/>
      <c r="G83" s="6"/>
      <c r="H83" s="6"/>
      <c r="I83" s="6"/>
      <c r="J83" s="6"/>
      <c r="K83" s="6"/>
      <c r="L83" s="6"/>
      <c r="M83" s="6"/>
      <c r="N83" s="8"/>
      <c r="O83" s="8"/>
      <c r="P83" s="8"/>
      <c r="Q83" s="8"/>
      <c r="R83" s="9"/>
      <c r="S83" s="10"/>
    </row>
    <row r="84" spans="1:19" ht="14.25" customHeight="1" x14ac:dyDescent="0.35">
      <c r="A84" s="6"/>
      <c r="B84" s="6"/>
      <c r="C84" s="6"/>
      <c r="D84" s="6"/>
      <c r="E84" s="7"/>
      <c r="F84" s="6"/>
      <c r="G84" s="6"/>
      <c r="H84" s="6"/>
      <c r="I84" s="6"/>
      <c r="J84" s="6"/>
      <c r="K84" s="6"/>
      <c r="L84" s="6"/>
      <c r="M84" s="6"/>
      <c r="N84" s="8"/>
      <c r="O84" s="8"/>
      <c r="P84" s="8"/>
      <c r="Q84" s="8"/>
      <c r="R84" s="9"/>
      <c r="S84" s="10"/>
    </row>
    <row r="85" spans="1:19" ht="14.25" customHeight="1" x14ac:dyDescent="0.35">
      <c r="A85" s="6"/>
      <c r="B85" s="6"/>
      <c r="C85" s="6"/>
      <c r="D85" s="6"/>
      <c r="E85" s="7"/>
      <c r="F85" s="6"/>
      <c r="G85" s="6"/>
      <c r="H85" s="6"/>
      <c r="I85" s="6"/>
      <c r="J85" s="6"/>
      <c r="K85" s="6"/>
      <c r="L85" s="6"/>
      <c r="M85" s="6"/>
      <c r="N85" s="8"/>
      <c r="O85" s="8"/>
      <c r="P85" s="8"/>
      <c r="Q85" s="8"/>
      <c r="R85" s="9"/>
      <c r="S85" s="10"/>
    </row>
    <row r="86" spans="1:19" ht="14.25" customHeight="1" x14ac:dyDescent="0.35">
      <c r="A86" s="6"/>
      <c r="B86" s="6"/>
      <c r="C86" s="6"/>
      <c r="D86" s="6"/>
      <c r="E86" s="7"/>
      <c r="F86" s="6"/>
      <c r="G86" s="6"/>
      <c r="H86" s="6"/>
      <c r="I86" s="6"/>
      <c r="J86" s="6"/>
      <c r="K86" s="6"/>
      <c r="L86" s="6"/>
      <c r="M86" s="6"/>
      <c r="N86" s="8"/>
      <c r="O86" s="8"/>
      <c r="P86" s="8"/>
      <c r="Q86" s="8"/>
      <c r="R86" s="9"/>
      <c r="S86" s="10"/>
    </row>
    <row r="87" spans="1:19" ht="14.25" customHeight="1" x14ac:dyDescent="0.35">
      <c r="A87" s="6"/>
      <c r="B87" s="6"/>
      <c r="C87" s="6"/>
      <c r="D87" s="6"/>
      <c r="E87" s="7"/>
      <c r="F87" s="6"/>
      <c r="G87" s="6"/>
      <c r="H87" s="6"/>
      <c r="I87" s="6"/>
      <c r="J87" s="6"/>
      <c r="K87" s="6"/>
      <c r="L87" s="6"/>
      <c r="M87" s="6"/>
      <c r="N87" s="8"/>
      <c r="O87" s="8"/>
      <c r="P87" s="8"/>
      <c r="Q87" s="8"/>
      <c r="R87" s="9"/>
      <c r="S87" s="10"/>
    </row>
    <row r="88" spans="1:19" ht="14.25" customHeight="1" x14ac:dyDescent="0.35">
      <c r="A88" s="6"/>
      <c r="B88" s="6"/>
      <c r="C88" s="6"/>
      <c r="D88" s="6"/>
      <c r="E88" s="7"/>
      <c r="F88" s="6"/>
      <c r="G88" s="6"/>
      <c r="H88" s="6"/>
      <c r="I88" s="6"/>
      <c r="J88" s="6"/>
      <c r="K88" s="6"/>
      <c r="L88" s="6"/>
      <c r="M88" s="6"/>
      <c r="N88" s="8"/>
      <c r="O88" s="8"/>
      <c r="P88" s="8"/>
      <c r="Q88" s="8"/>
      <c r="R88" s="9"/>
      <c r="S88" s="10"/>
    </row>
    <row r="89" spans="1:19" ht="14.25" customHeight="1" x14ac:dyDescent="0.35">
      <c r="A89" s="6"/>
      <c r="B89" s="6"/>
      <c r="C89" s="6"/>
      <c r="D89" s="6"/>
      <c r="E89" s="7"/>
      <c r="F89" s="6"/>
      <c r="G89" s="6"/>
      <c r="H89" s="6"/>
      <c r="I89" s="6"/>
      <c r="J89" s="6"/>
      <c r="K89" s="6"/>
      <c r="L89" s="6"/>
      <c r="M89" s="6"/>
      <c r="N89" s="8"/>
      <c r="O89" s="8"/>
      <c r="P89" s="8"/>
      <c r="Q89" s="8"/>
      <c r="R89" s="9"/>
      <c r="S89" s="10"/>
    </row>
    <row r="90" spans="1:19" ht="14.25" customHeight="1" x14ac:dyDescent="0.35">
      <c r="A90" s="6"/>
      <c r="B90" s="6"/>
      <c r="C90" s="6"/>
      <c r="D90" s="6"/>
      <c r="E90" s="7"/>
      <c r="F90" s="6"/>
      <c r="G90" s="6"/>
      <c r="H90" s="6"/>
      <c r="I90" s="6"/>
      <c r="J90" s="6"/>
      <c r="K90" s="6"/>
      <c r="L90" s="6"/>
      <c r="M90" s="6"/>
      <c r="N90" s="8"/>
      <c r="O90" s="8"/>
      <c r="P90" s="8"/>
      <c r="Q90" s="8"/>
      <c r="R90" s="9"/>
      <c r="S90" s="10"/>
    </row>
    <row r="91" spans="1:19" ht="14.25" customHeight="1" x14ac:dyDescent="0.35">
      <c r="A91" s="6"/>
      <c r="B91" s="6"/>
      <c r="C91" s="6"/>
      <c r="D91" s="6"/>
      <c r="E91" s="7"/>
      <c r="F91" s="6"/>
      <c r="G91" s="6"/>
      <c r="H91" s="6"/>
      <c r="I91" s="6"/>
      <c r="J91" s="6"/>
      <c r="K91" s="6"/>
      <c r="L91" s="6"/>
      <c r="M91" s="6"/>
      <c r="N91" s="8"/>
      <c r="O91" s="8"/>
      <c r="P91" s="8"/>
      <c r="Q91" s="8"/>
      <c r="R91" s="9"/>
      <c r="S91" s="10"/>
    </row>
    <row r="92" spans="1:19" ht="14.25" customHeight="1" x14ac:dyDescent="0.35">
      <c r="A92" s="6"/>
      <c r="B92" s="6"/>
      <c r="C92" s="6"/>
      <c r="D92" s="6"/>
      <c r="E92" s="7"/>
      <c r="F92" s="6"/>
      <c r="G92" s="6"/>
      <c r="H92" s="6"/>
      <c r="I92" s="6"/>
      <c r="J92" s="6"/>
      <c r="K92" s="6"/>
      <c r="L92" s="6"/>
      <c r="M92" s="6"/>
      <c r="N92" s="8"/>
      <c r="O92" s="8"/>
      <c r="P92" s="8"/>
      <c r="Q92" s="8"/>
      <c r="R92" s="9"/>
      <c r="S92" s="10"/>
    </row>
    <row r="93" spans="1:19" ht="14.25" customHeight="1" x14ac:dyDescent="0.35">
      <c r="A93" s="6"/>
      <c r="B93" s="6"/>
      <c r="C93" s="6"/>
      <c r="D93" s="6"/>
      <c r="E93" s="7"/>
      <c r="F93" s="6"/>
      <c r="G93" s="6"/>
      <c r="H93" s="6"/>
      <c r="I93" s="6"/>
      <c r="J93" s="6"/>
      <c r="K93" s="6"/>
      <c r="L93" s="6"/>
      <c r="M93" s="6"/>
      <c r="N93" s="8"/>
      <c r="O93" s="8"/>
      <c r="P93" s="8"/>
      <c r="Q93" s="8"/>
      <c r="R93" s="9"/>
      <c r="S93" s="10"/>
    </row>
    <row r="94" spans="1:19" ht="14.25" customHeight="1" x14ac:dyDescent="0.35">
      <c r="A94" s="6"/>
      <c r="B94" s="6"/>
      <c r="C94" s="6"/>
      <c r="D94" s="6"/>
      <c r="E94" s="7"/>
      <c r="F94" s="6"/>
      <c r="G94" s="6"/>
      <c r="H94" s="6"/>
      <c r="I94" s="6"/>
      <c r="J94" s="6"/>
      <c r="K94" s="6"/>
      <c r="L94" s="6"/>
      <c r="M94" s="6"/>
      <c r="N94" s="8"/>
      <c r="O94" s="8"/>
      <c r="P94" s="8"/>
      <c r="Q94" s="8"/>
      <c r="R94" s="9"/>
      <c r="S94" s="10"/>
    </row>
    <row r="95" spans="1:19" ht="14.25" customHeight="1" x14ac:dyDescent="0.35">
      <c r="A95" s="6"/>
      <c r="B95" s="6"/>
      <c r="C95" s="6"/>
      <c r="D95" s="6"/>
      <c r="E95" s="7"/>
      <c r="F95" s="6"/>
      <c r="G95" s="6"/>
      <c r="H95" s="6"/>
      <c r="I95" s="6"/>
      <c r="J95" s="6"/>
      <c r="K95" s="6"/>
      <c r="L95" s="6"/>
      <c r="M95" s="6"/>
      <c r="N95" s="8"/>
      <c r="O95" s="8"/>
      <c r="P95" s="8"/>
      <c r="Q95" s="8"/>
      <c r="R95" s="9"/>
      <c r="S95" s="10"/>
    </row>
    <row r="96" spans="1:19" ht="14.25" customHeight="1" x14ac:dyDescent="0.35">
      <c r="A96" s="6"/>
      <c r="B96" s="6"/>
      <c r="C96" s="6"/>
      <c r="D96" s="6"/>
      <c r="E96" s="7"/>
      <c r="F96" s="6"/>
      <c r="G96" s="6"/>
      <c r="H96" s="6"/>
      <c r="I96" s="6"/>
      <c r="J96" s="6"/>
      <c r="K96" s="6"/>
      <c r="L96" s="6"/>
      <c r="M96" s="6"/>
      <c r="N96" s="8"/>
      <c r="O96" s="8"/>
      <c r="P96" s="8"/>
      <c r="Q96" s="8"/>
      <c r="R96" s="9"/>
      <c r="S96" s="10"/>
    </row>
    <row r="97" spans="1:19" ht="14.25" customHeight="1" x14ac:dyDescent="0.35">
      <c r="A97" s="6"/>
      <c r="B97" s="6"/>
      <c r="C97" s="6"/>
      <c r="D97" s="6"/>
      <c r="E97" s="7"/>
      <c r="F97" s="6"/>
      <c r="G97" s="6"/>
      <c r="H97" s="6"/>
      <c r="I97" s="6"/>
      <c r="J97" s="6"/>
      <c r="K97" s="6"/>
      <c r="L97" s="6"/>
      <c r="M97" s="6"/>
      <c r="N97" s="8"/>
      <c r="O97" s="8"/>
      <c r="P97" s="8"/>
      <c r="Q97" s="8"/>
      <c r="R97" s="9"/>
      <c r="S97" s="10"/>
    </row>
    <row r="98" spans="1:19" ht="14.25" customHeight="1" x14ac:dyDescent="0.35">
      <c r="A98" s="6"/>
      <c r="B98" s="6"/>
      <c r="C98" s="6"/>
      <c r="D98" s="6"/>
      <c r="E98" s="7"/>
      <c r="F98" s="6"/>
      <c r="G98" s="6"/>
      <c r="H98" s="6"/>
      <c r="I98" s="6"/>
      <c r="J98" s="6"/>
      <c r="K98" s="6"/>
      <c r="L98" s="6"/>
      <c r="M98" s="6"/>
      <c r="N98" s="8"/>
      <c r="O98" s="8"/>
      <c r="P98" s="8"/>
      <c r="Q98" s="8"/>
      <c r="R98" s="9"/>
      <c r="S98" s="10"/>
    </row>
    <row r="99" spans="1:19" ht="14.25" customHeight="1" x14ac:dyDescent="0.35">
      <c r="A99" s="6"/>
      <c r="B99" s="6"/>
      <c r="C99" s="6"/>
      <c r="D99" s="6"/>
      <c r="E99" s="7"/>
      <c r="F99" s="6"/>
      <c r="G99" s="6"/>
      <c r="H99" s="6"/>
      <c r="I99" s="6"/>
      <c r="J99" s="6"/>
      <c r="K99" s="6"/>
      <c r="L99" s="6"/>
      <c r="M99" s="6"/>
      <c r="N99" s="8"/>
      <c r="O99" s="8"/>
      <c r="P99" s="8"/>
      <c r="Q99" s="8"/>
      <c r="R99" s="9"/>
      <c r="S99" s="10"/>
    </row>
    <row r="100" spans="1:19" ht="14.25" customHeight="1" x14ac:dyDescent="0.35">
      <c r="A100" s="6"/>
      <c r="B100" s="6"/>
      <c r="C100" s="6"/>
      <c r="D100" s="6"/>
      <c r="E100" s="7"/>
      <c r="F100" s="6"/>
      <c r="G100" s="6"/>
      <c r="H100" s="6"/>
      <c r="I100" s="6"/>
      <c r="J100" s="6"/>
      <c r="K100" s="6"/>
      <c r="L100" s="6"/>
      <c r="M100" s="6"/>
      <c r="N100" s="8"/>
      <c r="O100" s="8"/>
      <c r="P100" s="8"/>
      <c r="Q100" s="8"/>
      <c r="R100" s="9"/>
      <c r="S100" s="10"/>
    </row>
    <row r="101" spans="1:19" ht="14.25" customHeight="1" x14ac:dyDescent="0.35">
      <c r="A101" s="6"/>
      <c r="B101" s="6"/>
      <c r="C101" s="6"/>
      <c r="D101" s="6"/>
      <c r="E101" s="7"/>
      <c r="F101" s="6"/>
      <c r="G101" s="6"/>
      <c r="H101" s="6"/>
      <c r="I101" s="6"/>
      <c r="J101" s="6"/>
      <c r="K101" s="6"/>
      <c r="L101" s="6"/>
      <c r="M101" s="6"/>
      <c r="N101" s="8"/>
      <c r="O101" s="8"/>
      <c r="P101" s="8"/>
      <c r="Q101" s="8"/>
      <c r="R101" s="9"/>
      <c r="S101" s="10"/>
    </row>
    <row r="102" spans="1:19" ht="14.25" customHeight="1" x14ac:dyDescent="0.35">
      <c r="A102" s="6"/>
      <c r="B102" s="6"/>
      <c r="C102" s="6"/>
      <c r="D102" s="6"/>
      <c r="E102" s="7"/>
      <c r="F102" s="6"/>
      <c r="G102" s="6"/>
      <c r="H102" s="6"/>
      <c r="I102" s="6"/>
      <c r="J102" s="6"/>
      <c r="K102" s="6"/>
      <c r="L102" s="6"/>
      <c r="M102" s="6"/>
      <c r="N102" s="8"/>
      <c r="O102" s="8"/>
      <c r="P102" s="8"/>
      <c r="Q102" s="8"/>
      <c r="R102" s="9"/>
      <c r="S102" s="10"/>
    </row>
    <row r="103" spans="1:19" ht="14.25" customHeight="1" x14ac:dyDescent="0.35">
      <c r="A103" s="6"/>
      <c r="B103" s="6"/>
      <c r="C103" s="6"/>
      <c r="D103" s="6"/>
      <c r="E103" s="7"/>
      <c r="F103" s="6"/>
      <c r="G103" s="6"/>
      <c r="H103" s="6"/>
      <c r="I103" s="6"/>
      <c r="J103" s="6"/>
      <c r="K103" s="6"/>
      <c r="L103" s="6"/>
      <c r="M103" s="6"/>
      <c r="N103" s="8"/>
      <c r="O103" s="8"/>
      <c r="P103" s="8"/>
      <c r="Q103" s="8"/>
      <c r="R103" s="9"/>
      <c r="S103" s="10"/>
    </row>
    <row r="104" spans="1:19" ht="14.25" customHeight="1" x14ac:dyDescent="0.35">
      <c r="A104" s="6"/>
      <c r="B104" s="6"/>
      <c r="C104" s="6"/>
      <c r="D104" s="6"/>
      <c r="E104" s="7"/>
      <c r="F104" s="6"/>
      <c r="G104" s="6"/>
      <c r="H104" s="6"/>
      <c r="I104" s="6"/>
      <c r="J104" s="6"/>
      <c r="K104" s="6"/>
      <c r="L104" s="6"/>
      <c r="M104" s="6"/>
      <c r="N104" s="8"/>
      <c r="O104" s="8"/>
      <c r="P104" s="8"/>
      <c r="Q104" s="8"/>
      <c r="R104" s="9"/>
      <c r="S104" s="10"/>
    </row>
    <row r="105" spans="1:19" ht="14.25" customHeight="1" x14ac:dyDescent="0.35">
      <c r="A105" s="6"/>
      <c r="B105" s="6"/>
      <c r="C105" s="6"/>
      <c r="D105" s="6"/>
      <c r="E105" s="7"/>
      <c r="F105" s="6"/>
      <c r="G105" s="6"/>
      <c r="H105" s="6"/>
      <c r="I105" s="6"/>
      <c r="J105" s="6"/>
      <c r="K105" s="6"/>
      <c r="L105" s="6"/>
      <c r="M105" s="6"/>
      <c r="N105" s="8"/>
      <c r="O105" s="8"/>
      <c r="P105" s="8"/>
      <c r="Q105" s="8"/>
      <c r="R105" s="9"/>
      <c r="S105" s="10"/>
    </row>
    <row r="106" spans="1:19" ht="14.25" customHeight="1" x14ac:dyDescent="0.35">
      <c r="A106" s="6"/>
      <c r="B106" s="6"/>
      <c r="C106" s="6"/>
      <c r="D106" s="6"/>
      <c r="E106" s="7"/>
      <c r="F106" s="6"/>
      <c r="G106" s="6"/>
      <c r="H106" s="6"/>
      <c r="I106" s="6"/>
      <c r="J106" s="6"/>
      <c r="K106" s="6"/>
      <c r="L106" s="6"/>
      <c r="M106" s="6"/>
      <c r="N106" s="8"/>
      <c r="O106" s="8"/>
      <c r="P106" s="8"/>
      <c r="Q106" s="8"/>
      <c r="R106" s="9"/>
      <c r="S106" s="10"/>
    </row>
    <row r="107" spans="1:19" ht="14.25" customHeight="1" x14ac:dyDescent="0.35">
      <c r="A107" s="6"/>
      <c r="B107" s="6"/>
      <c r="C107" s="6"/>
      <c r="D107" s="6"/>
      <c r="E107" s="7"/>
      <c r="F107" s="6"/>
      <c r="G107" s="6"/>
      <c r="H107" s="6"/>
      <c r="I107" s="6"/>
      <c r="J107" s="6"/>
      <c r="K107" s="6"/>
      <c r="L107" s="6"/>
      <c r="M107" s="6"/>
      <c r="N107" s="8"/>
      <c r="O107" s="8"/>
      <c r="P107" s="8"/>
      <c r="Q107" s="8"/>
      <c r="R107" s="9"/>
      <c r="S107" s="10"/>
    </row>
    <row r="108" spans="1:19" ht="14.25" customHeight="1" x14ac:dyDescent="0.35">
      <c r="A108" s="6"/>
      <c r="B108" s="6"/>
      <c r="C108" s="6"/>
      <c r="D108" s="6"/>
      <c r="E108" s="7"/>
      <c r="F108" s="6"/>
      <c r="G108" s="6"/>
      <c r="H108" s="6"/>
      <c r="I108" s="6"/>
      <c r="J108" s="6"/>
      <c r="K108" s="6"/>
      <c r="L108" s="6"/>
      <c r="M108" s="6"/>
      <c r="N108" s="8"/>
      <c r="O108" s="8"/>
      <c r="P108" s="8"/>
      <c r="Q108" s="8"/>
      <c r="R108" s="9"/>
      <c r="S108" s="10"/>
    </row>
    <row r="109" spans="1:19" ht="14.25" customHeight="1" x14ac:dyDescent="0.35">
      <c r="A109" s="6"/>
      <c r="B109" s="6"/>
      <c r="C109" s="6"/>
      <c r="D109" s="6"/>
      <c r="E109" s="7"/>
      <c r="F109" s="6"/>
      <c r="G109" s="6"/>
      <c r="H109" s="6"/>
      <c r="I109" s="6"/>
      <c r="J109" s="6"/>
      <c r="K109" s="6"/>
      <c r="L109" s="6"/>
      <c r="M109" s="6"/>
      <c r="N109" s="8"/>
      <c r="O109" s="8"/>
      <c r="P109" s="8"/>
      <c r="Q109" s="8"/>
      <c r="R109" s="9"/>
      <c r="S109" s="10"/>
    </row>
    <row r="110" spans="1:19" ht="14.25" customHeight="1" x14ac:dyDescent="0.35">
      <c r="A110" s="6"/>
      <c r="B110" s="6"/>
      <c r="C110" s="6"/>
      <c r="D110" s="6"/>
      <c r="E110" s="7"/>
      <c r="F110" s="6"/>
      <c r="G110" s="6"/>
      <c r="H110" s="6"/>
      <c r="I110" s="6"/>
      <c r="J110" s="6"/>
      <c r="K110" s="6"/>
      <c r="L110" s="6"/>
      <c r="M110" s="6"/>
      <c r="N110" s="8"/>
      <c r="O110" s="8"/>
      <c r="P110" s="8"/>
      <c r="Q110" s="8"/>
      <c r="R110" s="9"/>
      <c r="S110" s="10"/>
    </row>
    <row r="111" spans="1:19" ht="14.25" customHeight="1" x14ac:dyDescent="0.35">
      <c r="A111" s="6"/>
      <c r="B111" s="6"/>
      <c r="C111" s="6"/>
      <c r="D111" s="6"/>
      <c r="E111" s="7"/>
      <c r="F111" s="6"/>
      <c r="G111" s="6"/>
      <c r="H111" s="6"/>
      <c r="I111" s="6"/>
      <c r="J111" s="6"/>
      <c r="K111" s="6"/>
      <c r="L111" s="6"/>
      <c r="M111" s="6"/>
      <c r="N111" s="8"/>
      <c r="O111" s="8"/>
      <c r="P111" s="8"/>
      <c r="Q111" s="8"/>
      <c r="R111" s="9"/>
      <c r="S111" s="10"/>
    </row>
    <row r="112" spans="1:19" ht="14.25" customHeight="1" x14ac:dyDescent="0.35">
      <c r="A112" s="6"/>
      <c r="B112" s="6"/>
      <c r="C112" s="6"/>
      <c r="D112" s="6"/>
      <c r="E112" s="7"/>
      <c r="F112" s="6"/>
      <c r="G112" s="6"/>
      <c r="H112" s="6"/>
      <c r="I112" s="6"/>
      <c r="J112" s="6"/>
      <c r="K112" s="6"/>
      <c r="L112" s="6"/>
      <c r="M112" s="6"/>
      <c r="N112" s="8"/>
      <c r="O112" s="8"/>
      <c r="P112" s="8"/>
      <c r="Q112" s="8"/>
      <c r="R112" s="9"/>
      <c r="S112" s="10"/>
    </row>
    <row r="113" spans="1:19" ht="14.25" customHeight="1" x14ac:dyDescent="0.35">
      <c r="A113" s="6"/>
      <c r="B113" s="6"/>
      <c r="C113" s="6"/>
      <c r="D113" s="6"/>
      <c r="E113" s="7"/>
      <c r="F113" s="6"/>
      <c r="G113" s="6"/>
      <c r="H113" s="6"/>
      <c r="I113" s="6"/>
      <c r="J113" s="6"/>
      <c r="K113" s="6"/>
      <c r="L113" s="6"/>
      <c r="M113" s="6"/>
      <c r="N113" s="8"/>
      <c r="O113" s="8"/>
      <c r="P113" s="8"/>
      <c r="Q113" s="8"/>
      <c r="R113" s="9"/>
      <c r="S113" s="10"/>
    </row>
    <row r="114" spans="1:19" ht="14.25" customHeight="1" x14ac:dyDescent="0.35">
      <c r="A114" s="6"/>
      <c r="B114" s="6"/>
      <c r="C114" s="6"/>
      <c r="D114" s="6"/>
      <c r="E114" s="7"/>
      <c r="F114" s="6"/>
      <c r="G114" s="6"/>
      <c r="H114" s="6"/>
      <c r="I114" s="6"/>
      <c r="J114" s="6"/>
      <c r="K114" s="6"/>
      <c r="L114" s="6"/>
      <c r="M114" s="6"/>
      <c r="N114" s="8"/>
      <c r="O114" s="8"/>
      <c r="P114" s="8"/>
      <c r="Q114" s="8"/>
      <c r="R114" s="9"/>
      <c r="S114" s="10"/>
    </row>
    <row r="115" spans="1:19" ht="14.25" customHeight="1" x14ac:dyDescent="0.35">
      <c r="A115" s="6"/>
      <c r="B115" s="6"/>
      <c r="C115" s="6"/>
      <c r="D115" s="6"/>
      <c r="E115" s="7"/>
      <c r="F115" s="6"/>
      <c r="G115" s="6"/>
      <c r="H115" s="6"/>
      <c r="J115" s="6"/>
      <c r="K115" s="6"/>
      <c r="L115" s="6"/>
      <c r="M115" s="6"/>
      <c r="N115" s="8"/>
      <c r="O115" s="8"/>
      <c r="P115" s="8"/>
      <c r="Q115" s="8"/>
      <c r="R115" s="9"/>
      <c r="S115" s="10"/>
    </row>
    <row r="116" spans="1:19" ht="14.25" customHeight="1" x14ac:dyDescent="0.35">
      <c r="A116" s="6"/>
      <c r="B116" s="6"/>
      <c r="C116" s="6"/>
      <c r="D116" s="6"/>
      <c r="E116" s="7"/>
      <c r="F116" s="6"/>
      <c r="G116" s="6"/>
      <c r="H116" s="6"/>
      <c r="I116" s="6"/>
      <c r="J116" s="6"/>
      <c r="K116" s="6"/>
      <c r="L116" s="6"/>
      <c r="M116" s="6"/>
      <c r="N116" s="8"/>
      <c r="O116" s="8"/>
      <c r="P116" s="8"/>
      <c r="Q116" s="8"/>
      <c r="R116" s="9"/>
      <c r="S116" s="10"/>
    </row>
    <row r="117" spans="1:19" ht="14.25" customHeight="1" x14ac:dyDescent="0.35">
      <c r="A117" s="6"/>
      <c r="B117" s="6"/>
      <c r="C117" s="6"/>
      <c r="D117" s="6"/>
      <c r="E117" s="7"/>
      <c r="F117" s="6"/>
      <c r="G117" s="6"/>
      <c r="H117" s="6"/>
      <c r="I117" s="6"/>
      <c r="J117" s="6"/>
      <c r="K117" s="6"/>
      <c r="L117" s="6"/>
      <c r="M117" s="6"/>
      <c r="N117" s="8"/>
      <c r="O117" s="8"/>
      <c r="P117" s="8"/>
      <c r="Q117" s="8"/>
      <c r="R117" s="9"/>
      <c r="S117" s="10"/>
    </row>
    <row r="118" spans="1:19" ht="14.25" customHeight="1" x14ac:dyDescent="0.35">
      <c r="A118" s="6"/>
      <c r="B118" s="6"/>
      <c r="C118" s="6"/>
      <c r="D118" s="6"/>
      <c r="E118" s="7"/>
      <c r="F118" s="6"/>
      <c r="G118" s="6"/>
      <c r="H118" s="6"/>
      <c r="I118" s="6"/>
      <c r="J118" s="6"/>
      <c r="K118" s="6"/>
      <c r="L118" s="6"/>
      <c r="M118" s="6"/>
      <c r="N118" s="8"/>
      <c r="O118" s="8"/>
      <c r="P118" s="8"/>
      <c r="Q118" s="8"/>
      <c r="R118" s="9"/>
      <c r="S118" s="10"/>
    </row>
    <row r="119" spans="1:19" ht="14.25" customHeight="1" x14ac:dyDescent="0.35">
      <c r="A119" s="6"/>
      <c r="B119" s="6"/>
      <c r="C119" s="6"/>
      <c r="D119" s="6"/>
      <c r="E119" s="7"/>
      <c r="F119" s="6"/>
      <c r="G119" s="6"/>
      <c r="H119" s="6"/>
      <c r="I119" s="6"/>
      <c r="J119" s="6"/>
      <c r="K119" s="6"/>
      <c r="L119" s="6"/>
      <c r="M119" s="6"/>
      <c r="N119" s="8"/>
      <c r="O119" s="8"/>
      <c r="P119" s="8"/>
      <c r="Q119" s="8"/>
      <c r="R119" s="9"/>
      <c r="S119" s="10"/>
    </row>
    <row r="120" spans="1:19" ht="14.25" customHeight="1" x14ac:dyDescent="0.35">
      <c r="A120" s="6"/>
      <c r="B120" s="6"/>
      <c r="C120" s="6"/>
      <c r="D120" s="6"/>
      <c r="E120" s="7"/>
      <c r="F120" s="6"/>
      <c r="G120" s="6"/>
      <c r="H120" s="6"/>
      <c r="I120" s="6"/>
      <c r="J120" s="6"/>
      <c r="K120" s="6"/>
      <c r="L120" s="6"/>
      <c r="M120" s="6"/>
      <c r="N120" s="8"/>
      <c r="O120" s="8"/>
      <c r="P120" s="8"/>
      <c r="Q120" s="8"/>
      <c r="R120" s="9"/>
      <c r="S120" s="10"/>
    </row>
    <row r="121" spans="1:19" ht="14.25" customHeight="1" x14ac:dyDescent="0.35">
      <c r="A121" s="6"/>
      <c r="B121" s="6"/>
      <c r="C121" s="6"/>
      <c r="D121" s="6"/>
      <c r="E121" s="7"/>
      <c r="F121" s="6"/>
      <c r="G121" s="6"/>
      <c r="H121" s="6"/>
      <c r="I121" s="6"/>
      <c r="J121" s="6"/>
      <c r="K121" s="6"/>
      <c r="L121" s="6"/>
      <c r="M121" s="6"/>
      <c r="N121" s="8"/>
      <c r="O121" s="8"/>
      <c r="P121" s="8"/>
      <c r="Q121" s="8"/>
      <c r="R121" s="9"/>
      <c r="S121" s="10"/>
    </row>
    <row r="122" spans="1:19" ht="14.25" customHeight="1" x14ac:dyDescent="0.35">
      <c r="A122" s="6"/>
      <c r="B122" s="6"/>
      <c r="C122" s="6"/>
      <c r="D122" s="6"/>
      <c r="E122" s="7"/>
      <c r="F122" s="6"/>
      <c r="G122" s="6"/>
      <c r="H122" s="6"/>
      <c r="I122" s="6"/>
      <c r="J122" s="6"/>
      <c r="K122" s="6"/>
      <c r="L122" s="6"/>
      <c r="M122" s="6"/>
      <c r="N122" s="8"/>
      <c r="O122" s="8"/>
      <c r="P122" s="8"/>
      <c r="Q122" s="8"/>
      <c r="R122" s="9"/>
      <c r="S122" s="10"/>
    </row>
    <row r="123" spans="1:19" ht="14.25" customHeight="1" x14ac:dyDescent="0.35">
      <c r="A123" s="6"/>
      <c r="B123" s="6"/>
      <c r="C123" s="6"/>
      <c r="D123" s="6"/>
      <c r="E123" s="7"/>
      <c r="F123" s="6"/>
      <c r="G123" s="6"/>
      <c r="H123" s="6"/>
      <c r="I123" s="6"/>
      <c r="J123" s="6"/>
      <c r="K123" s="6"/>
      <c r="L123" s="6"/>
      <c r="M123" s="6"/>
      <c r="N123" s="8"/>
      <c r="O123" s="8"/>
      <c r="P123" s="8"/>
      <c r="Q123" s="8"/>
      <c r="R123" s="9"/>
      <c r="S123" s="10"/>
    </row>
    <row r="124" spans="1:19" ht="14.25" customHeight="1" x14ac:dyDescent="0.35">
      <c r="A124" s="6"/>
      <c r="B124" s="6"/>
      <c r="C124" s="6"/>
      <c r="D124" s="6"/>
      <c r="E124" s="7"/>
      <c r="F124" s="6"/>
      <c r="G124" s="6"/>
      <c r="H124" s="6"/>
      <c r="I124" s="6"/>
      <c r="J124" s="6"/>
      <c r="K124" s="6"/>
      <c r="L124" s="6"/>
      <c r="M124" s="6"/>
      <c r="N124" s="8"/>
      <c r="O124" s="8"/>
      <c r="P124" s="8"/>
      <c r="Q124" s="8"/>
      <c r="R124" s="9"/>
      <c r="S124" s="10"/>
    </row>
    <row r="125" spans="1:19" ht="14.25" customHeight="1" x14ac:dyDescent="0.35">
      <c r="A125" s="6"/>
      <c r="B125" s="6"/>
      <c r="C125" s="6"/>
      <c r="D125" s="6"/>
      <c r="E125" s="7"/>
      <c r="F125" s="6"/>
      <c r="G125" s="6"/>
      <c r="H125" s="6"/>
      <c r="I125" s="6"/>
      <c r="J125" s="6"/>
      <c r="K125" s="6"/>
      <c r="L125" s="6"/>
      <c r="M125" s="6"/>
      <c r="N125" s="8"/>
      <c r="O125" s="8"/>
      <c r="P125" s="8"/>
      <c r="Q125" s="8"/>
      <c r="R125" s="9"/>
      <c r="S125" s="10"/>
    </row>
    <row r="126" spans="1:19" ht="14.25" customHeight="1" x14ac:dyDescent="0.35">
      <c r="A126" s="6"/>
      <c r="B126" s="6"/>
      <c r="C126" s="6"/>
      <c r="D126" s="6"/>
      <c r="E126" s="7"/>
      <c r="F126" s="6"/>
      <c r="G126" s="6"/>
      <c r="H126" s="6"/>
      <c r="I126" s="6"/>
      <c r="J126" s="6"/>
      <c r="K126" s="6"/>
      <c r="L126" s="6"/>
      <c r="M126" s="6"/>
      <c r="N126" s="8"/>
      <c r="O126" s="8"/>
      <c r="P126" s="8"/>
      <c r="Q126" s="8"/>
      <c r="R126" s="9"/>
      <c r="S126" s="10"/>
    </row>
    <row r="127" spans="1:19" ht="14.25" customHeight="1" x14ac:dyDescent="0.35">
      <c r="A127" s="6"/>
      <c r="B127" s="6"/>
      <c r="C127" s="6"/>
      <c r="D127" s="6"/>
      <c r="E127" s="7"/>
      <c r="F127" s="6"/>
      <c r="G127" s="6"/>
      <c r="H127" s="6"/>
      <c r="I127" s="6"/>
      <c r="J127" s="6"/>
      <c r="K127" s="6"/>
      <c r="L127" s="6"/>
      <c r="M127" s="6"/>
      <c r="N127" s="8"/>
      <c r="O127" s="8"/>
      <c r="P127" s="8"/>
      <c r="Q127" s="8"/>
      <c r="R127" s="9"/>
      <c r="S127" s="10"/>
    </row>
    <row r="128" spans="1:19" ht="14.25" customHeight="1" x14ac:dyDescent="0.35">
      <c r="A128" s="6"/>
      <c r="B128" s="6"/>
      <c r="C128" s="6"/>
      <c r="D128" s="6"/>
      <c r="E128" s="7"/>
      <c r="F128" s="6"/>
      <c r="G128" s="6"/>
      <c r="H128" s="6"/>
      <c r="I128" s="6"/>
      <c r="J128" s="6"/>
      <c r="K128" s="6"/>
      <c r="L128" s="6"/>
      <c r="M128" s="6"/>
      <c r="N128" s="8"/>
      <c r="O128" s="8"/>
      <c r="P128" s="8"/>
      <c r="Q128" s="8"/>
      <c r="R128" s="9"/>
      <c r="S128" s="10"/>
    </row>
    <row r="129" spans="1:19" ht="14.25" customHeight="1" x14ac:dyDescent="0.35">
      <c r="A129" s="6"/>
      <c r="B129" s="6"/>
      <c r="C129" s="6"/>
      <c r="D129" s="6"/>
      <c r="E129" s="7"/>
      <c r="F129" s="6"/>
      <c r="G129" s="6"/>
      <c r="H129" s="6"/>
      <c r="I129" s="6"/>
      <c r="J129" s="6"/>
      <c r="K129" s="6"/>
      <c r="L129" s="6"/>
      <c r="M129" s="6"/>
      <c r="N129" s="8"/>
      <c r="O129" s="8"/>
      <c r="P129" s="8"/>
      <c r="Q129" s="8"/>
      <c r="R129" s="9"/>
      <c r="S129" s="10"/>
    </row>
    <row r="130" spans="1:19" ht="14.25" customHeight="1" x14ac:dyDescent="0.35">
      <c r="A130" s="6"/>
      <c r="B130" s="6"/>
      <c r="C130" s="6"/>
      <c r="D130" s="6"/>
      <c r="E130" s="7"/>
      <c r="F130" s="6"/>
      <c r="G130" s="6"/>
      <c r="H130" s="6"/>
      <c r="I130" s="6"/>
      <c r="J130" s="6"/>
      <c r="K130" s="6"/>
      <c r="L130" s="6"/>
      <c r="M130" s="6"/>
      <c r="N130" s="8"/>
      <c r="O130" s="8"/>
      <c r="P130" s="8"/>
      <c r="Q130" s="8"/>
      <c r="R130" s="9"/>
      <c r="S130" s="10"/>
    </row>
    <row r="131" spans="1:19" ht="14.25" customHeight="1" x14ac:dyDescent="0.35">
      <c r="A131" s="6"/>
      <c r="B131" s="6"/>
      <c r="C131" s="6"/>
      <c r="D131" s="6"/>
      <c r="E131" s="7"/>
      <c r="F131" s="6"/>
      <c r="G131" s="6"/>
      <c r="H131" s="6"/>
      <c r="I131" s="6"/>
      <c r="J131" s="6"/>
      <c r="K131" s="6"/>
      <c r="L131" s="6"/>
      <c r="M131" s="6"/>
      <c r="N131" s="8"/>
      <c r="O131" s="8"/>
      <c r="P131" s="8"/>
      <c r="Q131" s="8"/>
      <c r="R131" s="9"/>
      <c r="S131" s="10"/>
    </row>
    <row r="132" spans="1:19" ht="14.25" customHeight="1" x14ac:dyDescent="0.35">
      <c r="A132" s="6"/>
      <c r="B132" s="6"/>
      <c r="C132" s="6"/>
      <c r="D132" s="6"/>
      <c r="E132" s="7"/>
      <c r="F132" s="6"/>
      <c r="G132" s="6"/>
      <c r="H132" s="6"/>
      <c r="I132" s="6"/>
      <c r="J132" s="6"/>
      <c r="K132" s="6"/>
      <c r="L132" s="6"/>
      <c r="M132" s="6"/>
      <c r="N132" s="8"/>
      <c r="O132" s="8"/>
      <c r="P132" s="8"/>
      <c r="Q132" s="8"/>
      <c r="R132" s="9"/>
      <c r="S132" s="10"/>
    </row>
    <row r="133" spans="1:19" ht="14.25" customHeight="1" x14ac:dyDescent="0.35">
      <c r="A133" s="6"/>
      <c r="B133" s="6"/>
      <c r="C133" s="6"/>
      <c r="D133" s="6"/>
      <c r="E133" s="7"/>
      <c r="F133" s="6"/>
      <c r="G133" s="6"/>
      <c r="H133" s="6"/>
      <c r="I133" s="6"/>
      <c r="J133" s="6"/>
      <c r="K133" s="6"/>
      <c r="L133" s="6"/>
      <c r="M133" s="6"/>
      <c r="N133" s="8"/>
      <c r="O133" s="8"/>
      <c r="P133" s="8"/>
      <c r="Q133" s="8"/>
      <c r="R133" s="9"/>
      <c r="S133" s="10"/>
    </row>
    <row r="134" spans="1:19" ht="14.25" customHeight="1" x14ac:dyDescent="0.35">
      <c r="A134" s="6"/>
      <c r="B134" s="6"/>
      <c r="C134" s="6"/>
      <c r="D134" s="6"/>
      <c r="E134" s="7"/>
      <c r="F134" s="6"/>
      <c r="G134" s="6"/>
      <c r="H134" s="6"/>
      <c r="I134" s="6"/>
      <c r="J134" s="6"/>
      <c r="K134" s="6"/>
      <c r="L134" s="6"/>
      <c r="M134" s="6"/>
      <c r="N134" s="8"/>
      <c r="O134" s="8"/>
      <c r="P134" s="8"/>
      <c r="Q134" s="8"/>
      <c r="R134" s="9"/>
      <c r="S134" s="10"/>
    </row>
    <row r="135" spans="1:19" ht="14.25" customHeight="1" x14ac:dyDescent="0.35">
      <c r="A135" s="6"/>
      <c r="B135" s="6"/>
      <c r="C135" s="6"/>
      <c r="D135" s="6"/>
      <c r="E135" s="7"/>
      <c r="F135" s="6"/>
      <c r="G135" s="6"/>
      <c r="H135" s="6"/>
      <c r="I135" s="6"/>
      <c r="J135" s="6"/>
      <c r="K135" s="6"/>
      <c r="L135" s="6"/>
      <c r="M135" s="6"/>
      <c r="N135" s="8"/>
      <c r="O135" s="8"/>
      <c r="P135" s="8"/>
      <c r="Q135" s="8"/>
      <c r="R135" s="9"/>
      <c r="S135" s="10"/>
    </row>
    <row r="136" spans="1:19" ht="14.25" customHeight="1" x14ac:dyDescent="0.35">
      <c r="A136" s="6"/>
      <c r="B136" s="6"/>
      <c r="C136" s="6"/>
      <c r="D136" s="6"/>
      <c r="E136" s="7"/>
      <c r="F136" s="6"/>
      <c r="G136" s="6"/>
      <c r="H136" s="6"/>
      <c r="I136" s="6"/>
      <c r="J136" s="6"/>
      <c r="K136" s="6"/>
      <c r="L136" s="6"/>
      <c r="M136" s="6"/>
      <c r="N136" s="8"/>
      <c r="O136" s="8"/>
      <c r="P136" s="8"/>
      <c r="Q136" s="8"/>
      <c r="R136" s="9"/>
      <c r="S136" s="10"/>
    </row>
    <row r="137" spans="1:19" ht="14.25" customHeight="1" x14ac:dyDescent="0.35">
      <c r="A137" s="6"/>
      <c r="B137" s="6"/>
      <c r="C137" s="6"/>
      <c r="D137" s="6"/>
      <c r="E137" s="7"/>
      <c r="F137" s="6"/>
      <c r="G137" s="6"/>
      <c r="H137" s="6"/>
      <c r="I137" s="6"/>
      <c r="J137" s="6"/>
      <c r="K137" s="6"/>
      <c r="L137" s="6"/>
      <c r="M137" s="6"/>
      <c r="N137" s="8"/>
      <c r="O137" s="8"/>
      <c r="P137" s="8"/>
      <c r="Q137" s="8"/>
      <c r="R137" s="9"/>
      <c r="S137" s="10"/>
    </row>
    <row r="138" spans="1:19" ht="14.25" customHeight="1" x14ac:dyDescent="0.35">
      <c r="A138" s="6"/>
      <c r="B138" s="6"/>
      <c r="C138" s="6"/>
      <c r="D138" s="6"/>
      <c r="E138" s="7"/>
      <c r="F138" s="6"/>
      <c r="G138" s="6"/>
      <c r="H138" s="6"/>
      <c r="I138" s="6"/>
      <c r="J138" s="6"/>
      <c r="K138" s="6"/>
      <c r="L138" s="6"/>
      <c r="M138" s="6"/>
      <c r="N138" s="8"/>
      <c r="O138" s="8"/>
      <c r="P138" s="8"/>
      <c r="Q138" s="8"/>
      <c r="R138" s="9"/>
      <c r="S138" s="10"/>
    </row>
    <row r="139" spans="1:19" ht="14.25" customHeight="1" x14ac:dyDescent="0.35">
      <c r="A139" s="6"/>
      <c r="B139" s="6"/>
      <c r="C139" s="6"/>
      <c r="D139" s="6"/>
      <c r="E139" s="7"/>
      <c r="F139" s="6"/>
      <c r="G139" s="6"/>
      <c r="H139" s="6"/>
      <c r="I139" s="6"/>
      <c r="J139" s="6"/>
      <c r="K139" s="6"/>
      <c r="L139" s="6"/>
      <c r="M139" s="6"/>
      <c r="N139" s="8"/>
      <c r="O139" s="8"/>
      <c r="P139" s="8"/>
      <c r="Q139" s="8"/>
      <c r="R139" s="9"/>
      <c r="S139" s="10"/>
    </row>
    <row r="140" spans="1:19" ht="14.25" customHeight="1" x14ac:dyDescent="0.35">
      <c r="A140" s="6"/>
      <c r="B140" s="6"/>
      <c r="C140" s="6"/>
      <c r="D140" s="6"/>
      <c r="E140" s="7"/>
      <c r="F140" s="6"/>
      <c r="G140" s="6"/>
      <c r="H140" s="6"/>
      <c r="I140" s="6"/>
      <c r="J140" s="6"/>
      <c r="K140" s="6"/>
      <c r="L140" s="6"/>
      <c r="M140" s="6"/>
      <c r="N140" s="8"/>
      <c r="O140" s="8"/>
      <c r="P140" s="8"/>
      <c r="Q140" s="8"/>
      <c r="R140" s="9"/>
      <c r="S140" s="10"/>
    </row>
    <row r="141" spans="1:19" ht="14.25" customHeight="1" x14ac:dyDescent="0.35">
      <c r="A141" s="6"/>
      <c r="B141" s="6"/>
      <c r="C141" s="6"/>
      <c r="D141" s="6"/>
      <c r="E141" s="7"/>
      <c r="F141" s="6"/>
      <c r="G141" s="6"/>
      <c r="H141" s="6"/>
      <c r="I141" s="6"/>
      <c r="J141" s="6"/>
      <c r="K141" s="6"/>
      <c r="L141" s="6"/>
      <c r="M141" s="6"/>
      <c r="N141" s="8"/>
      <c r="O141" s="8"/>
      <c r="P141" s="8"/>
      <c r="Q141" s="8"/>
      <c r="R141" s="9"/>
      <c r="S141" s="10"/>
    </row>
    <row r="142" spans="1:19" ht="14.25" customHeight="1" x14ac:dyDescent="0.35">
      <c r="A142" s="6"/>
      <c r="B142" s="6"/>
      <c r="C142" s="6"/>
      <c r="D142" s="6"/>
      <c r="E142" s="7"/>
      <c r="F142" s="6"/>
      <c r="G142" s="6"/>
      <c r="H142" s="6"/>
      <c r="I142" s="6"/>
      <c r="J142" s="6"/>
      <c r="K142" s="6"/>
      <c r="L142" s="6"/>
      <c r="M142" s="6"/>
      <c r="N142" s="8"/>
      <c r="O142" s="8"/>
      <c r="P142" s="8"/>
      <c r="Q142" s="8"/>
      <c r="R142" s="9"/>
      <c r="S142" s="10"/>
    </row>
    <row r="143" spans="1:19" ht="14.25" customHeight="1" x14ac:dyDescent="0.35">
      <c r="A143" s="6"/>
      <c r="B143" s="6"/>
      <c r="C143" s="6"/>
      <c r="D143" s="6"/>
      <c r="E143" s="7"/>
      <c r="F143" s="6"/>
      <c r="G143" s="6"/>
      <c r="H143" s="6"/>
      <c r="I143" s="6"/>
      <c r="J143" s="6"/>
      <c r="K143" s="6"/>
      <c r="L143" s="6"/>
      <c r="M143" s="6"/>
      <c r="N143" s="8"/>
      <c r="O143" s="8"/>
      <c r="P143" s="8"/>
      <c r="Q143" s="8"/>
      <c r="R143" s="9"/>
      <c r="S143" s="10"/>
    </row>
    <row r="144" spans="1:19" ht="14.25" customHeight="1" x14ac:dyDescent="0.35">
      <c r="A144" s="6"/>
      <c r="B144" s="6"/>
      <c r="C144" s="6"/>
      <c r="D144" s="6"/>
      <c r="E144" s="7"/>
      <c r="F144" s="6"/>
      <c r="G144" s="6"/>
      <c r="H144" s="6"/>
      <c r="I144" s="6"/>
      <c r="J144" s="6"/>
      <c r="K144" s="6"/>
      <c r="L144" s="6"/>
      <c r="M144" s="6"/>
      <c r="N144" s="8"/>
      <c r="O144" s="8"/>
      <c r="P144" s="8"/>
      <c r="Q144" s="8"/>
      <c r="R144" s="9"/>
      <c r="S144" s="10"/>
    </row>
    <row r="145" spans="1:19" ht="14.25" customHeight="1" x14ac:dyDescent="0.35">
      <c r="A145" s="6"/>
      <c r="B145" s="6"/>
      <c r="C145" s="6"/>
      <c r="D145" s="6"/>
      <c r="E145" s="7"/>
      <c r="F145" s="6"/>
      <c r="G145" s="6"/>
      <c r="H145" s="6"/>
      <c r="I145" s="6"/>
      <c r="J145" s="6"/>
      <c r="K145" s="6"/>
      <c r="L145" s="6"/>
      <c r="M145" s="6"/>
      <c r="N145" s="8"/>
      <c r="O145" s="8"/>
      <c r="P145" s="8"/>
      <c r="Q145" s="8"/>
      <c r="R145" s="9"/>
      <c r="S145" s="10"/>
    </row>
    <row r="146" spans="1:19" ht="14.25" customHeight="1" x14ac:dyDescent="0.35">
      <c r="A146" s="6"/>
      <c r="B146" s="6"/>
      <c r="C146" s="6"/>
      <c r="D146" s="6"/>
      <c r="E146" s="7"/>
      <c r="F146" s="6"/>
      <c r="G146" s="6"/>
      <c r="H146" s="6"/>
      <c r="I146" s="6"/>
      <c r="J146" s="6"/>
      <c r="K146" s="6"/>
      <c r="L146" s="6"/>
      <c r="M146" s="6"/>
      <c r="N146" s="8"/>
      <c r="O146" s="8"/>
      <c r="P146" s="8"/>
      <c r="Q146" s="8"/>
      <c r="R146" s="9"/>
      <c r="S146" s="10"/>
    </row>
    <row r="147" spans="1:19" ht="14.25" customHeight="1" x14ac:dyDescent="0.35">
      <c r="A147" s="6"/>
      <c r="B147" s="6"/>
      <c r="C147" s="6"/>
      <c r="D147" s="6"/>
      <c r="E147" s="7"/>
      <c r="F147" s="6"/>
      <c r="G147" s="6"/>
      <c r="H147" s="6"/>
      <c r="I147" s="6"/>
      <c r="J147" s="6"/>
      <c r="K147" s="6"/>
      <c r="L147" s="6"/>
      <c r="M147" s="6"/>
      <c r="N147" s="8"/>
      <c r="O147" s="8"/>
      <c r="P147" s="8"/>
      <c r="Q147" s="8"/>
      <c r="R147" s="9"/>
      <c r="S147" s="10"/>
    </row>
    <row r="148" spans="1:19" ht="14.25" customHeight="1" x14ac:dyDescent="0.35">
      <c r="A148" s="6"/>
      <c r="B148" s="6"/>
      <c r="C148" s="6"/>
      <c r="D148" s="6"/>
      <c r="E148" s="7"/>
      <c r="F148" s="6"/>
      <c r="G148" s="6"/>
      <c r="H148" s="6"/>
      <c r="I148" s="6"/>
      <c r="J148" s="6"/>
      <c r="K148" s="6"/>
      <c r="L148" s="6"/>
      <c r="M148" s="6"/>
      <c r="N148" s="8"/>
      <c r="O148" s="8"/>
      <c r="P148" s="8"/>
      <c r="Q148" s="8"/>
      <c r="R148" s="9"/>
      <c r="S148" s="10"/>
    </row>
    <row r="149" spans="1:19" ht="14.25" customHeight="1" x14ac:dyDescent="0.35">
      <c r="A149" s="6"/>
      <c r="B149" s="6"/>
      <c r="C149" s="6"/>
      <c r="D149" s="6"/>
      <c r="E149" s="7"/>
      <c r="F149" s="6"/>
      <c r="G149" s="6"/>
      <c r="H149" s="6"/>
      <c r="I149" s="6"/>
      <c r="J149" s="6"/>
      <c r="K149" s="6"/>
      <c r="L149" s="6"/>
      <c r="M149" s="6"/>
      <c r="N149" s="8"/>
      <c r="O149" s="8"/>
      <c r="P149" s="8"/>
      <c r="Q149" s="8"/>
      <c r="R149" s="9"/>
      <c r="S149" s="10"/>
    </row>
    <row r="150" spans="1:19" ht="14.25" customHeight="1" x14ac:dyDescent="0.35">
      <c r="A150" s="6"/>
      <c r="B150" s="6"/>
      <c r="C150" s="6"/>
      <c r="D150" s="6"/>
      <c r="E150" s="7"/>
      <c r="F150" s="6"/>
      <c r="G150" s="6"/>
      <c r="H150" s="6"/>
      <c r="I150" s="6"/>
      <c r="J150" s="6"/>
      <c r="K150" s="6"/>
      <c r="L150" s="6"/>
      <c r="M150" s="6"/>
      <c r="N150" s="8"/>
      <c r="O150" s="8"/>
      <c r="P150" s="8"/>
      <c r="Q150" s="8"/>
      <c r="R150" s="9"/>
      <c r="S150" s="10"/>
    </row>
    <row r="151" spans="1:19" ht="14.25" customHeight="1" x14ac:dyDescent="0.35">
      <c r="A151" s="6"/>
      <c r="B151" s="6"/>
      <c r="C151" s="6"/>
      <c r="D151" s="6"/>
      <c r="E151" s="7"/>
      <c r="F151" s="6"/>
      <c r="G151" s="6"/>
      <c r="H151" s="6"/>
      <c r="I151" s="6"/>
      <c r="J151" s="6"/>
      <c r="K151" s="6"/>
      <c r="L151" s="6"/>
      <c r="M151" s="6"/>
      <c r="N151" s="8"/>
      <c r="O151" s="8"/>
      <c r="P151" s="8"/>
      <c r="Q151" s="8"/>
      <c r="R151" s="9"/>
      <c r="S151" s="10"/>
    </row>
    <row r="152" spans="1:19" ht="14.25" customHeight="1" x14ac:dyDescent="0.35">
      <c r="A152" s="6"/>
      <c r="B152" s="6"/>
      <c r="C152" s="6"/>
      <c r="D152" s="6"/>
      <c r="E152" s="7"/>
      <c r="F152" s="6"/>
      <c r="G152" s="6"/>
      <c r="H152" s="6"/>
      <c r="I152" s="6"/>
      <c r="J152" s="6"/>
      <c r="K152" s="6"/>
      <c r="L152" s="6"/>
      <c r="M152" s="6"/>
      <c r="N152" s="8"/>
      <c r="O152" s="8"/>
      <c r="P152" s="8"/>
      <c r="Q152" s="8"/>
      <c r="R152" s="9"/>
      <c r="S152" s="10"/>
    </row>
    <row r="153" spans="1:19" ht="14.25" customHeight="1" x14ac:dyDescent="0.35">
      <c r="A153" s="6"/>
      <c r="B153" s="6"/>
      <c r="C153" s="6"/>
      <c r="D153" s="6"/>
      <c r="E153" s="7"/>
      <c r="F153" s="6"/>
      <c r="G153" s="6"/>
      <c r="H153" s="6"/>
      <c r="I153" s="6"/>
      <c r="J153" s="6"/>
      <c r="K153" s="6"/>
      <c r="L153" s="6"/>
      <c r="M153" s="6"/>
      <c r="N153" s="8"/>
      <c r="O153" s="8"/>
      <c r="P153" s="8"/>
      <c r="Q153" s="8"/>
      <c r="R153" s="9"/>
      <c r="S153" s="10"/>
    </row>
    <row r="154" spans="1:19" ht="14.25" customHeight="1" x14ac:dyDescent="0.35">
      <c r="A154" s="6"/>
      <c r="B154" s="6"/>
      <c r="C154" s="6"/>
      <c r="D154" s="6"/>
      <c r="E154" s="7"/>
      <c r="F154" s="6"/>
      <c r="G154" s="6"/>
      <c r="H154" s="6"/>
      <c r="I154" s="6"/>
      <c r="J154" s="6"/>
      <c r="K154" s="6"/>
      <c r="L154" s="6"/>
      <c r="M154" s="6"/>
      <c r="N154" s="8"/>
      <c r="O154" s="8"/>
      <c r="P154" s="8"/>
      <c r="Q154" s="8"/>
      <c r="R154" s="9"/>
      <c r="S154" s="10"/>
    </row>
    <row r="155" spans="1:19" ht="14.25" customHeight="1" x14ac:dyDescent="0.35">
      <c r="A155" s="6"/>
      <c r="B155" s="6"/>
      <c r="C155" s="6"/>
      <c r="D155" s="6"/>
      <c r="E155" s="7"/>
      <c r="F155" s="6"/>
      <c r="G155" s="6"/>
      <c r="H155" s="6"/>
      <c r="I155" s="6"/>
      <c r="J155" s="6"/>
      <c r="K155" s="6"/>
      <c r="L155" s="6"/>
      <c r="M155" s="6"/>
      <c r="N155" s="8"/>
      <c r="O155" s="8"/>
      <c r="P155" s="8"/>
      <c r="Q155" s="8"/>
      <c r="R155" s="9"/>
      <c r="S155" s="10"/>
    </row>
    <row r="156" spans="1:19" ht="14.25" customHeight="1" x14ac:dyDescent="0.35">
      <c r="A156" s="6"/>
      <c r="B156" s="6"/>
      <c r="C156" s="6"/>
      <c r="D156" s="6"/>
      <c r="E156" s="7"/>
      <c r="F156" s="6"/>
      <c r="G156" s="6"/>
      <c r="H156" s="6"/>
      <c r="I156" s="6"/>
      <c r="J156" s="6"/>
      <c r="K156" s="6"/>
      <c r="L156" s="6"/>
      <c r="M156" s="6"/>
      <c r="N156" s="8"/>
      <c r="O156" s="8"/>
      <c r="P156" s="8"/>
      <c r="Q156" s="8"/>
      <c r="R156" s="9"/>
      <c r="S156" s="10"/>
    </row>
    <row r="157" spans="1:19" ht="14.25" customHeight="1" x14ac:dyDescent="0.35">
      <c r="A157" s="6"/>
      <c r="B157" s="6"/>
      <c r="C157" s="6"/>
      <c r="D157" s="6"/>
      <c r="E157" s="7"/>
      <c r="F157" s="6"/>
      <c r="G157" s="6"/>
      <c r="H157" s="6"/>
      <c r="I157" s="6"/>
      <c r="J157" s="6"/>
      <c r="K157" s="6"/>
      <c r="L157" s="6"/>
      <c r="M157" s="6"/>
      <c r="N157" s="8"/>
      <c r="O157" s="8"/>
      <c r="P157" s="8"/>
      <c r="Q157" s="8"/>
      <c r="R157" s="9"/>
      <c r="S157" s="10"/>
    </row>
    <row r="158" spans="1:19" ht="14.25" customHeight="1" x14ac:dyDescent="0.35">
      <c r="A158" s="6"/>
      <c r="B158" s="6"/>
      <c r="C158" s="6"/>
      <c r="D158" s="6"/>
      <c r="E158" s="7"/>
      <c r="F158" s="6"/>
      <c r="G158" s="6"/>
      <c r="H158" s="6"/>
      <c r="I158" s="6"/>
      <c r="J158" s="6"/>
      <c r="K158" s="6"/>
      <c r="L158" s="6"/>
      <c r="M158" s="6"/>
      <c r="N158" s="8"/>
      <c r="O158" s="8"/>
      <c r="P158" s="8"/>
      <c r="Q158" s="8"/>
      <c r="R158" s="9"/>
      <c r="S158" s="10"/>
    </row>
    <row r="159" spans="1:19" ht="14.25" customHeight="1" x14ac:dyDescent="0.35">
      <c r="A159" s="6"/>
      <c r="B159" s="6"/>
      <c r="C159" s="6"/>
      <c r="D159" s="6"/>
      <c r="E159" s="7"/>
      <c r="F159" s="6"/>
      <c r="G159" s="6"/>
      <c r="H159" s="6"/>
      <c r="I159" s="6"/>
      <c r="J159" s="6"/>
      <c r="K159" s="6"/>
      <c r="L159" s="6"/>
      <c r="M159" s="6"/>
      <c r="N159" s="8"/>
      <c r="O159" s="8"/>
      <c r="P159" s="8"/>
      <c r="Q159" s="8"/>
      <c r="R159" s="9"/>
      <c r="S159" s="10"/>
    </row>
    <row r="160" spans="1:19" ht="14.25" customHeight="1" x14ac:dyDescent="0.35">
      <c r="A160" s="6"/>
      <c r="B160" s="6"/>
      <c r="C160" s="6"/>
      <c r="D160" s="6"/>
      <c r="E160" s="7"/>
      <c r="F160" s="6"/>
      <c r="G160" s="6"/>
      <c r="H160" s="6"/>
      <c r="I160" s="6"/>
      <c r="J160" s="6"/>
      <c r="K160" s="6"/>
      <c r="L160" s="6"/>
      <c r="M160" s="6"/>
      <c r="N160" s="8"/>
      <c r="O160" s="8"/>
      <c r="P160" s="8"/>
      <c r="Q160" s="8"/>
      <c r="R160" s="9"/>
      <c r="S160" s="10"/>
    </row>
    <row r="161" spans="1:19" ht="14.25" customHeight="1" x14ac:dyDescent="0.35">
      <c r="A161" s="6"/>
      <c r="B161" s="6"/>
      <c r="C161" s="6"/>
      <c r="D161" s="6"/>
      <c r="E161" s="7"/>
      <c r="F161" s="6"/>
      <c r="G161" s="6"/>
      <c r="H161" s="6"/>
      <c r="I161" s="6"/>
      <c r="J161" s="6"/>
      <c r="K161" s="6"/>
      <c r="L161" s="6"/>
      <c r="M161" s="6"/>
      <c r="N161" s="8"/>
      <c r="O161" s="8"/>
      <c r="P161" s="8"/>
      <c r="Q161" s="8"/>
      <c r="R161" s="9"/>
      <c r="S161" s="10"/>
    </row>
    <row r="162" spans="1:19" ht="14.25" customHeight="1" x14ac:dyDescent="0.35">
      <c r="A162" s="6"/>
      <c r="B162" s="6"/>
      <c r="C162" s="6"/>
      <c r="D162" s="6"/>
      <c r="E162" s="7"/>
      <c r="F162" s="6"/>
      <c r="G162" s="6"/>
      <c r="H162" s="6"/>
      <c r="I162" s="6"/>
      <c r="J162" s="6"/>
      <c r="K162" s="6"/>
      <c r="L162" s="6"/>
      <c r="M162" s="6"/>
      <c r="N162" s="8"/>
      <c r="O162" s="8"/>
      <c r="P162" s="8"/>
      <c r="Q162" s="8"/>
      <c r="R162" s="9"/>
      <c r="S162" s="10"/>
    </row>
    <row r="163" spans="1:19" ht="14.25" customHeight="1" x14ac:dyDescent="0.35">
      <c r="A163" s="6"/>
      <c r="B163" s="6"/>
      <c r="C163" s="6"/>
      <c r="D163" s="6"/>
      <c r="E163" s="7"/>
      <c r="F163" s="6"/>
      <c r="G163" s="6"/>
      <c r="H163" s="6"/>
      <c r="I163" s="6"/>
      <c r="J163" s="6"/>
      <c r="K163" s="6"/>
      <c r="L163" s="6"/>
      <c r="M163" s="6"/>
      <c r="N163" s="8"/>
      <c r="O163" s="8"/>
      <c r="P163" s="8"/>
      <c r="Q163" s="8"/>
      <c r="R163" s="9"/>
      <c r="S163" s="10"/>
    </row>
    <row r="164" spans="1:19" ht="14.25" customHeight="1" x14ac:dyDescent="0.35">
      <c r="A164" s="6"/>
      <c r="B164" s="6"/>
      <c r="C164" s="6"/>
      <c r="D164" s="6"/>
      <c r="E164" s="7"/>
      <c r="F164" s="6"/>
      <c r="G164" s="6"/>
      <c r="H164" s="6"/>
      <c r="I164" s="6"/>
      <c r="J164" s="6"/>
      <c r="K164" s="6"/>
      <c r="L164" s="6"/>
      <c r="M164" s="6"/>
      <c r="N164" s="8"/>
      <c r="O164" s="8"/>
      <c r="P164" s="8"/>
      <c r="Q164" s="8"/>
      <c r="R164" s="9"/>
      <c r="S164" s="10"/>
    </row>
    <row r="165" spans="1:19" ht="14.25" customHeight="1" x14ac:dyDescent="0.35">
      <c r="A165" s="6"/>
      <c r="B165" s="6"/>
      <c r="C165" s="6"/>
      <c r="D165" s="6"/>
      <c r="E165" s="7"/>
      <c r="F165" s="6"/>
      <c r="G165" s="6"/>
      <c r="H165" s="6"/>
      <c r="I165" s="6"/>
      <c r="J165" s="6"/>
      <c r="K165" s="6"/>
      <c r="L165" s="6"/>
      <c r="M165" s="6"/>
      <c r="N165" s="8"/>
      <c r="O165" s="8"/>
      <c r="P165" s="8"/>
      <c r="Q165" s="8"/>
      <c r="R165" s="9"/>
      <c r="S165" s="10"/>
    </row>
    <row r="166" spans="1:19" ht="14.25" customHeight="1" x14ac:dyDescent="0.35">
      <c r="A166" s="6"/>
      <c r="B166" s="6"/>
      <c r="C166" s="6"/>
      <c r="D166" s="6"/>
      <c r="E166" s="7"/>
      <c r="F166" s="6"/>
      <c r="G166" s="6"/>
      <c r="H166" s="6"/>
      <c r="I166" s="6"/>
      <c r="J166" s="6"/>
      <c r="K166" s="6"/>
      <c r="L166" s="6"/>
      <c r="M166" s="6"/>
      <c r="N166" s="8"/>
      <c r="O166" s="8"/>
      <c r="P166" s="8"/>
      <c r="Q166" s="8"/>
      <c r="R166" s="9"/>
      <c r="S166" s="10"/>
    </row>
    <row r="167" spans="1:19" ht="14.25" customHeight="1" x14ac:dyDescent="0.35">
      <c r="A167" s="6"/>
      <c r="B167" s="6"/>
      <c r="C167" s="6"/>
      <c r="D167" s="6"/>
      <c r="E167" s="7"/>
      <c r="F167" s="6"/>
      <c r="G167" s="6"/>
      <c r="H167" s="6"/>
      <c r="I167" s="6"/>
      <c r="J167" s="6"/>
      <c r="K167" s="6"/>
      <c r="L167" s="6"/>
      <c r="M167" s="6"/>
      <c r="N167" s="8"/>
      <c r="O167" s="8"/>
      <c r="P167" s="8"/>
      <c r="Q167" s="8"/>
      <c r="R167" s="9"/>
      <c r="S167" s="10"/>
    </row>
    <row r="168" spans="1:19" ht="14.25" customHeight="1" x14ac:dyDescent="0.35">
      <c r="A168" s="6"/>
      <c r="B168" s="6"/>
      <c r="C168" s="6"/>
      <c r="D168" s="6"/>
      <c r="E168" s="7"/>
      <c r="F168" s="6"/>
      <c r="G168" s="6"/>
      <c r="H168" s="6"/>
      <c r="I168" s="6"/>
      <c r="J168" s="6"/>
      <c r="K168" s="6"/>
      <c r="L168" s="6"/>
      <c r="M168" s="6"/>
      <c r="N168" s="8"/>
      <c r="O168" s="8"/>
      <c r="P168" s="8"/>
      <c r="Q168" s="8"/>
      <c r="R168" s="9"/>
      <c r="S168" s="10"/>
    </row>
    <row r="169" spans="1:19" ht="14.25" customHeight="1" x14ac:dyDescent="0.35">
      <c r="A169" s="6"/>
      <c r="B169" s="6"/>
      <c r="C169" s="6"/>
      <c r="D169" s="6"/>
      <c r="E169" s="7"/>
      <c r="F169" s="6"/>
      <c r="G169" s="6"/>
      <c r="H169" s="6"/>
      <c r="I169" s="6"/>
      <c r="J169" s="6"/>
      <c r="K169" s="6"/>
      <c r="L169" s="6"/>
      <c r="M169" s="6"/>
      <c r="N169" s="8"/>
      <c r="O169" s="8"/>
      <c r="P169" s="8"/>
      <c r="Q169" s="8"/>
      <c r="R169" s="9"/>
      <c r="S169" s="10"/>
    </row>
    <row r="170" spans="1:19" ht="14.25" customHeight="1" x14ac:dyDescent="0.35">
      <c r="A170" s="6"/>
      <c r="B170" s="6"/>
      <c r="C170" s="6"/>
      <c r="D170" s="6"/>
      <c r="E170" s="7"/>
      <c r="F170" s="6"/>
      <c r="G170" s="6"/>
      <c r="H170" s="6"/>
      <c r="I170" s="6"/>
      <c r="J170" s="6"/>
      <c r="K170" s="6"/>
      <c r="L170" s="6"/>
      <c r="M170" s="6"/>
      <c r="N170" s="8"/>
      <c r="O170" s="8"/>
      <c r="P170" s="8"/>
      <c r="Q170" s="8"/>
      <c r="R170" s="9"/>
      <c r="S170" s="10"/>
    </row>
    <row r="171" spans="1:19" ht="14.25" customHeight="1" x14ac:dyDescent="0.35">
      <c r="A171" s="6"/>
      <c r="B171" s="6"/>
      <c r="C171" s="6"/>
      <c r="D171" s="6"/>
      <c r="E171" s="7"/>
      <c r="F171" s="6"/>
      <c r="G171" s="6"/>
      <c r="H171" s="6"/>
      <c r="I171" s="6"/>
      <c r="J171" s="6"/>
      <c r="K171" s="6"/>
      <c r="L171" s="6"/>
      <c r="M171" s="6"/>
      <c r="N171" s="8"/>
      <c r="O171" s="8"/>
      <c r="P171" s="8"/>
      <c r="Q171" s="8"/>
      <c r="R171" s="9"/>
      <c r="S171" s="10"/>
    </row>
    <row r="172" spans="1:19" ht="14.25" customHeight="1" x14ac:dyDescent="0.35">
      <c r="A172" s="6"/>
      <c r="B172" s="6"/>
      <c r="C172" s="6"/>
      <c r="D172" s="6"/>
      <c r="E172" s="7"/>
      <c r="F172" s="6"/>
      <c r="G172" s="6"/>
      <c r="H172" s="6"/>
      <c r="I172" s="6"/>
      <c r="J172" s="6"/>
      <c r="K172" s="6"/>
      <c r="L172" s="6"/>
      <c r="M172" s="6"/>
      <c r="N172" s="8"/>
      <c r="O172" s="8"/>
      <c r="P172" s="8"/>
      <c r="Q172" s="8"/>
      <c r="R172" s="9"/>
      <c r="S172" s="10"/>
    </row>
    <row r="173" spans="1:19" ht="14.25" customHeight="1" x14ac:dyDescent="0.35">
      <c r="A173" s="6"/>
      <c r="B173" s="6"/>
      <c r="C173" s="6"/>
      <c r="D173" s="6"/>
      <c r="E173" s="7"/>
      <c r="F173" s="6"/>
      <c r="G173" s="6"/>
      <c r="H173" s="6"/>
      <c r="I173" s="6"/>
      <c r="J173" s="6"/>
      <c r="K173" s="6"/>
      <c r="L173" s="6"/>
      <c r="M173" s="6"/>
      <c r="N173" s="8"/>
      <c r="O173" s="8"/>
      <c r="P173" s="8"/>
      <c r="Q173" s="8"/>
      <c r="R173" s="9"/>
      <c r="S173" s="10"/>
    </row>
    <row r="174" spans="1:19" ht="14.25" customHeight="1" x14ac:dyDescent="0.35">
      <c r="A174" s="6"/>
      <c r="B174" s="6"/>
      <c r="C174" s="6"/>
      <c r="D174" s="6"/>
      <c r="E174" s="7"/>
      <c r="F174" s="6"/>
      <c r="G174" s="6"/>
      <c r="H174" s="6"/>
      <c r="I174" s="6"/>
      <c r="J174" s="6"/>
      <c r="K174" s="6"/>
      <c r="L174" s="6"/>
      <c r="M174" s="6"/>
      <c r="N174" s="8"/>
      <c r="O174" s="8"/>
      <c r="P174" s="8"/>
      <c r="Q174" s="8"/>
      <c r="R174" s="9"/>
      <c r="S174" s="10"/>
    </row>
    <row r="175" spans="1:19" ht="14.25" customHeight="1" x14ac:dyDescent="0.35">
      <c r="A175" s="6"/>
      <c r="B175" s="6"/>
      <c r="C175" s="6"/>
      <c r="D175" s="6"/>
      <c r="E175" s="7"/>
      <c r="F175" s="6"/>
      <c r="G175" s="6"/>
      <c r="H175" s="6"/>
      <c r="I175" s="6"/>
      <c r="J175" s="6"/>
      <c r="K175" s="6"/>
      <c r="L175" s="6"/>
      <c r="M175" s="6"/>
      <c r="N175" s="8"/>
      <c r="O175" s="8"/>
      <c r="P175" s="8"/>
      <c r="Q175" s="8"/>
      <c r="R175" s="9"/>
      <c r="S175" s="10"/>
    </row>
    <row r="176" spans="1:19" ht="14.25" customHeight="1" x14ac:dyDescent="0.35">
      <c r="A176" s="6"/>
      <c r="B176" s="6"/>
      <c r="C176" s="6"/>
      <c r="D176" s="6"/>
      <c r="E176" s="7"/>
      <c r="F176" s="6"/>
      <c r="G176" s="6"/>
      <c r="H176" s="6"/>
      <c r="I176" s="6"/>
      <c r="J176" s="6"/>
      <c r="K176" s="6"/>
      <c r="L176" s="6"/>
      <c r="M176" s="6"/>
      <c r="N176" s="8"/>
      <c r="O176" s="8"/>
      <c r="P176" s="8"/>
      <c r="Q176" s="8"/>
      <c r="R176" s="9"/>
      <c r="S176" s="10"/>
    </row>
    <row r="177" spans="1:19" ht="14.25" customHeight="1" x14ac:dyDescent="0.35">
      <c r="A177" s="6"/>
      <c r="B177" s="6"/>
      <c r="C177" s="6"/>
      <c r="D177" s="6"/>
      <c r="E177" s="7"/>
      <c r="F177" s="6"/>
      <c r="G177" s="6"/>
      <c r="H177" s="6"/>
      <c r="I177" s="6"/>
      <c r="J177" s="6"/>
      <c r="K177" s="6"/>
      <c r="L177" s="6"/>
      <c r="M177" s="6"/>
      <c r="N177" s="8"/>
      <c r="O177" s="8"/>
      <c r="P177" s="8"/>
      <c r="Q177" s="8"/>
      <c r="R177" s="9"/>
      <c r="S177" s="10"/>
    </row>
    <row r="178" spans="1:19" ht="14.25" customHeight="1" x14ac:dyDescent="0.35">
      <c r="A178" s="6"/>
      <c r="B178" s="6"/>
      <c r="C178" s="6"/>
      <c r="D178" s="6"/>
      <c r="E178" s="7"/>
      <c r="F178" s="6"/>
      <c r="G178" s="6"/>
      <c r="H178" s="6"/>
      <c r="I178" s="6"/>
      <c r="J178" s="6"/>
      <c r="K178" s="6"/>
      <c r="L178" s="6"/>
      <c r="M178" s="6"/>
      <c r="N178" s="8"/>
      <c r="O178" s="8"/>
      <c r="P178" s="8"/>
      <c r="Q178" s="8"/>
      <c r="R178" s="9"/>
      <c r="S178" s="10"/>
    </row>
    <row r="179" spans="1:19" ht="14.25" customHeight="1" x14ac:dyDescent="0.35">
      <c r="A179" s="6"/>
      <c r="B179" s="6"/>
      <c r="C179" s="6"/>
      <c r="D179" s="6"/>
      <c r="E179" s="7"/>
      <c r="F179" s="6"/>
      <c r="G179" s="6"/>
      <c r="H179" s="6"/>
      <c r="I179" s="6"/>
      <c r="J179" s="6"/>
      <c r="K179" s="6"/>
      <c r="L179" s="6"/>
      <c r="M179" s="6"/>
      <c r="N179" s="8"/>
      <c r="O179" s="8"/>
      <c r="P179" s="8"/>
      <c r="Q179" s="8"/>
      <c r="R179" s="9"/>
      <c r="S179" s="10"/>
    </row>
    <row r="180" spans="1:19" ht="14.25" customHeight="1" x14ac:dyDescent="0.35">
      <c r="A180" s="6"/>
      <c r="B180" s="6"/>
      <c r="C180" s="6"/>
      <c r="D180" s="6"/>
      <c r="E180" s="7"/>
      <c r="F180" s="6"/>
      <c r="G180" s="6"/>
      <c r="H180" s="6"/>
      <c r="I180" s="6"/>
      <c r="J180" s="6"/>
      <c r="K180" s="6"/>
      <c r="L180" s="6"/>
      <c r="M180" s="6"/>
      <c r="N180" s="8"/>
      <c r="O180" s="8"/>
      <c r="P180" s="8"/>
      <c r="Q180" s="8"/>
      <c r="R180" s="9"/>
      <c r="S180" s="10"/>
    </row>
    <row r="181" spans="1:19" ht="14.25" customHeight="1" x14ac:dyDescent="0.35">
      <c r="A181" s="6"/>
      <c r="B181" s="6"/>
      <c r="C181" s="6"/>
      <c r="D181" s="6"/>
      <c r="E181" s="7"/>
      <c r="F181" s="6"/>
      <c r="G181" s="6"/>
      <c r="H181" s="6"/>
      <c r="I181" s="6"/>
      <c r="J181" s="6"/>
      <c r="K181" s="6"/>
      <c r="L181" s="6"/>
      <c r="M181" s="6"/>
      <c r="N181" s="8"/>
      <c r="O181" s="8"/>
      <c r="P181" s="8"/>
      <c r="Q181" s="8"/>
      <c r="R181" s="9"/>
      <c r="S181" s="10"/>
    </row>
    <row r="182" spans="1:19" ht="14.25" customHeight="1" x14ac:dyDescent="0.35">
      <c r="A182" s="6"/>
      <c r="B182" s="6"/>
      <c r="C182" s="6"/>
      <c r="D182" s="6"/>
      <c r="E182" s="7"/>
      <c r="F182" s="6"/>
      <c r="G182" s="6"/>
      <c r="H182" s="6"/>
      <c r="I182" s="6"/>
      <c r="J182" s="6"/>
      <c r="K182" s="6"/>
      <c r="L182" s="6"/>
      <c r="M182" s="6"/>
      <c r="N182" s="8"/>
      <c r="O182" s="8"/>
      <c r="P182" s="8"/>
      <c r="Q182" s="8"/>
      <c r="R182" s="9"/>
      <c r="S182" s="10"/>
    </row>
    <row r="183" spans="1:19" ht="14.25" customHeight="1" x14ac:dyDescent="0.35">
      <c r="A183" s="6"/>
      <c r="B183" s="6"/>
      <c r="C183" s="6"/>
      <c r="D183" s="6"/>
      <c r="E183" s="7"/>
      <c r="F183" s="6"/>
      <c r="G183" s="6"/>
      <c r="H183" s="6"/>
      <c r="I183" s="6"/>
      <c r="J183" s="6"/>
      <c r="K183" s="6"/>
      <c r="L183" s="6"/>
      <c r="M183" s="6"/>
      <c r="N183" s="8"/>
      <c r="O183" s="8"/>
      <c r="P183" s="8"/>
      <c r="Q183" s="8"/>
      <c r="R183" s="9"/>
      <c r="S183" s="10"/>
    </row>
    <row r="184" spans="1:19" ht="14.25" customHeight="1" x14ac:dyDescent="0.35">
      <c r="A184" s="6"/>
      <c r="B184" s="6"/>
      <c r="C184" s="6"/>
      <c r="D184" s="6"/>
      <c r="E184" s="7"/>
      <c r="F184" s="6"/>
      <c r="G184" s="6"/>
      <c r="H184" s="6"/>
      <c r="I184" s="6"/>
      <c r="J184" s="6"/>
      <c r="K184" s="6"/>
      <c r="L184" s="6"/>
      <c r="M184" s="6"/>
      <c r="N184" s="8"/>
      <c r="O184" s="8"/>
      <c r="P184" s="8"/>
      <c r="Q184" s="8"/>
      <c r="R184" s="9"/>
      <c r="S184" s="10"/>
    </row>
    <row r="185" spans="1:19" ht="14.25" customHeight="1" x14ac:dyDescent="0.35">
      <c r="A185" s="6"/>
      <c r="B185" s="6"/>
      <c r="C185" s="6"/>
      <c r="D185" s="6"/>
      <c r="E185" s="7"/>
      <c r="F185" s="6"/>
      <c r="G185" s="6"/>
      <c r="H185" s="6"/>
      <c r="I185" s="6"/>
      <c r="J185" s="6"/>
      <c r="K185" s="6"/>
      <c r="L185" s="6"/>
      <c r="M185" s="6"/>
      <c r="N185" s="8"/>
      <c r="O185" s="8"/>
      <c r="P185" s="8"/>
      <c r="Q185" s="8"/>
      <c r="R185" s="9"/>
      <c r="S185" s="10"/>
    </row>
    <row r="186" spans="1:19" ht="14.25" customHeight="1" x14ac:dyDescent="0.35">
      <c r="A186" s="6"/>
      <c r="B186" s="6"/>
      <c r="C186" s="6"/>
      <c r="D186" s="6"/>
      <c r="E186" s="7"/>
      <c r="F186" s="6"/>
      <c r="G186" s="6"/>
      <c r="H186" s="6"/>
      <c r="I186" s="6"/>
      <c r="J186" s="6"/>
      <c r="K186" s="6"/>
      <c r="L186" s="6"/>
      <c r="M186" s="6"/>
      <c r="N186" s="8"/>
      <c r="O186" s="8"/>
      <c r="P186" s="8"/>
      <c r="Q186" s="8"/>
      <c r="R186" s="9"/>
      <c r="S186" s="10"/>
    </row>
    <row r="187" spans="1:19" ht="14.25" customHeight="1" x14ac:dyDescent="0.35">
      <c r="A187" s="6"/>
      <c r="B187" s="6"/>
      <c r="C187" s="6"/>
      <c r="D187" s="6"/>
      <c r="E187" s="7"/>
      <c r="F187" s="6"/>
      <c r="G187" s="6"/>
      <c r="H187" s="6"/>
      <c r="I187" s="6"/>
      <c r="J187" s="6"/>
      <c r="K187" s="6"/>
      <c r="L187" s="6"/>
      <c r="M187" s="6"/>
      <c r="N187" s="8"/>
      <c r="O187" s="8"/>
      <c r="P187" s="8"/>
      <c r="Q187" s="8"/>
      <c r="R187" s="9"/>
      <c r="S187" s="10"/>
    </row>
    <row r="188" spans="1:19" ht="14.25" customHeight="1" x14ac:dyDescent="0.35">
      <c r="A188" s="6"/>
      <c r="B188" s="6"/>
      <c r="C188" s="6"/>
      <c r="D188" s="6"/>
      <c r="E188" s="7"/>
      <c r="F188" s="6"/>
      <c r="G188" s="6"/>
      <c r="H188" s="6"/>
      <c r="I188" s="6"/>
      <c r="J188" s="6"/>
      <c r="K188" s="6"/>
      <c r="L188" s="6"/>
      <c r="M188" s="6"/>
      <c r="N188" s="8"/>
      <c r="O188" s="8"/>
      <c r="P188" s="8"/>
      <c r="Q188" s="8"/>
      <c r="R188" s="9"/>
      <c r="S188" s="10"/>
    </row>
    <row r="189" spans="1:19" ht="14.25" customHeight="1" x14ac:dyDescent="0.35">
      <c r="A189" s="6"/>
      <c r="B189" s="6"/>
      <c r="C189" s="6"/>
      <c r="D189" s="6"/>
      <c r="E189" s="7"/>
      <c r="F189" s="6"/>
      <c r="G189" s="6"/>
      <c r="H189" s="6"/>
      <c r="I189" s="6"/>
      <c r="J189" s="6"/>
      <c r="K189" s="6"/>
      <c r="L189" s="6"/>
      <c r="M189" s="6"/>
      <c r="N189" s="8"/>
      <c r="O189" s="8"/>
      <c r="P189" s="8"/>
      <c r="Q189" s="8"/>
      <c r="R189" s="9"/>
      <c r="S189" s="10"/>
    </row>
    <row r="190" spans="1:19" ht="14.25" customHeight="1" x14ac:dyDescent="0.35">
      <c r="A190" s="6"/>
      <c r="B190" s="6"/>
      <c r="C190" s="6"/>
      <c r="D190" s="6"/>
      <c r="E190" s="7"/>
      <c r="F190" s="6"/>
      <c r="G190" s="6"/>
      <c r="H190" s="6"/>
      <c r="I190" s="6"/>
      <c r="J190" s="6"/>
      <c r="K190" s="6"/>
      <c r="L190" s="6"/>
      <c r="M190" s="6"/>
      <c r="N190" s="8"/>
      <c r="O190" s="8"/>
      <c r="P190" s="8"/>
      <c r="Q190" s="8"/>
      <c r="R190" s="9"/>
      <c r="S190" s="10"/>
    </row>
    <row r="191" spans="1:19" ht="14.25" customHeight="1" x14ac:dyDescent="0.35">
      <c r="A191" s="6"/>
      <c r="B191" s="6"/>
      <c r="C191" s="6"/>
      <c r="D191" s="6"/>
      <c r="E191" s="7"/>
      <c r="F191" s="6"/>
      <c r="G191" s="6"/>
      <c r="H191" s="6"/>
      <c r="I191" s="6"/>
      <c r="J191" s="6"/>
      <c r="K191" s="6"/>
      <c r="L191" s="6"/>
      <c r="M191" s="6"/>
      <c r="N191" s="8"/>
      <c r="O191" s="8"/>
      <c r="P191" s="8"/>
      <c r="Q191" s="8"/>
      <c r="R191" s="9"/>
      <c r="S191" s="10"/>
    </row>
    <row r="192" spans="1:19" ht="14.25" customHeight="1" x14ac:dyDescent="0.35">
      <c r="A192" s="6"/>
      <c r="B192" s="6"/>
      <c r="C192" s="6"/>
      <c r="D192" s="6"/>
      <c r="E192" s="7"/>
      <c r="F192" s="6"/>
      <c r="G192" s="6"/>
      <c r="H192" s="6"/>
      <c r="I192" s="6"/>
      <c r="J192" s="6"/>
      <c r="K192" s="6"/>
      <c r="L192" s="6"/>
      <c r="M192" s="6"/>
      <c r="N192" s="8"/>
      <c r="O192" s="8"/>
      <c r="P192" s="8"/>
      <c r="Q192" s="8"/>
      <c r="R192" s="9"/>
      <c r="S192" s="10"/>
    </row>
    <row r="193" spans="1:19" ht="14.25" customHeight="1" x14ac:dyDescent="0.35">
      <c r="A193" s="6"/>
      <c r="B193" s="6"/>
      <c r="C193" s="6"/>
      <c r="D193" s="6"/>
      <c r="E193" s="7"/>
      <c r="F193" s="6"/>
      <c r="G193" s="6"/>
      <c r="H193" s="6"/>
      <c r="I193" s="6"/>
      <c r="J193" s="6"/>
      <c r="K193" s="6"/>
      <c r="L193" s="6"/>
      <c r="M193" s="6"/>
      <c r="N193" s="8"/>
      <c r="O193" s="8"/>
      <c r="P193" s="8"/>
      <c r="Q193" s="8"/>
      <c r="R193" s="9"/>
      <c r="S193" s="10"/>
    </row>
    <row r="194" spans="1:19" ht="14.25" customHeight="1" x14ac:dyDescent="0.35">
      <c r="A194" s="6"/>
      <c r="B194" s="6"/>
      <c r="C194" s="6"/>
      <c r="D194" s="6"/>
      <c r="E194" s="7"/>
      <c r="F194" s="6"/>
      <c r="G194" s="6"/>
      <c r="H194" s="6"/>
      <c r="I194" s="6"/>
      <c r="J194" s="6"/>
      <c r="K194" s="6"/>
      <c r="L194" s="6"/>
      <c r="M194" s="6"/>
      <c r="N194" s="8"/>
      <c r="O194" s="8"/>
      <c r="P194" s="8"/>
      <c r="Q194" s="8"/>
      <c r="R194" s="9"/>
      <c r="S194" s="10"/>
    </row>
    <row r="195" spans="1:19" ht="14.25" customHeight="1" x14ac:dyDescent="0.35">
      <c r="A195" s="6"/>
      <c r="B195" s="6"/>
      <c r="C195" s="6"/>
      <c r="D195" s="6"/>
      <c r="E195" s="7"/>
      <c r="F195" s="6"/>
      <c r="G195" s="6"/>
      <c r="H195" s="6"/>
      <c r="I195" s="6"/>
      <c r="J195" s="6"/>
      <c r="K195" s="6"/>
      <c r="L195" s="6"/>
      <c r="M195" s="6"/>
      <c r="N195" s="8"/>
      <c r="O195" s="8"/>
      <c r="P195" s="8"/>
      <c r="Q195" s="8"/>
      <c r="R195" s="9"/>
      <c r="S195" s="10"/>
    </row>
    <row r="196" spans="1:19" ht="14.25" customHeight="1" x14ac:dyDescent="0.35">
      <c r="A196" s="6"/>
      <c r="B196" s="6"/>
      <c r="C196" s="6"/>
      <c r="D196" s="6"/>
      <c r="E196" s="7"/>
      <c r="F196" s="6"/>
      <c r="G196" s="6"/>
      <c r="H196" s="6"/>
      <c r="I196" s="6"/>
      <c r="J196" s="6"/>
      <c r="K196" s="6"/>
      <c r="L196" s="6"/>
      <c r="M196" s="6"/>
      <c r="N196" s="8"/>
      <c r="O196" s="8"/>
      <c r="P196" s="8"/>
      <c r="Q196" s="8"/>
      <c r="R196" s="9"/>
      <c r="S196" s="10"/>
    </row>
    <row r="197" spans="1:19" ht="14.25" customHeight="1" x14ac:dyDescent="0.35">
      <c r="A197" s="6"/>
      <c r="B197" s="6"/>
      <c r="C197" s="6"/>
      <c r="D197" s="6"/>
      <c r="E197" s="7"/>
      <c r="F197" s="6"/>
      <c r="G197" s="6"/>
      <c r="H197" s="6"/>
      <c r="I197" s="6"/>
      <c r="J197" s="6"/>
      <c r="K197" s="6"/>
      <c r="L197" s="6"/>
      <c r="M197" s="6"/>
      <c r="N197" s="8"/>
      <c r="O197" s="8"/>
      <c r="P197" s="8"/>
      <c r="Q197" s="8"/>
      <c r="R197" s="9"/>
      <c r="S197" s="10"/>
    </row>
    <row r="198" spans="1:19" ht="14.25" customHeight="1" x14ac:dyDescent="0.35">
      <c r="A198" s="6"/>
      <c r="B198" s="6"/>
      <c r="C198" s="6"/>
      <c r="D198" s="6"/>
      <c r="E198" s="7"/>
      <c r="F198" s="6"/>
      <c r="G198" s="6"/>
      <c r="H198" s="6"/>
      <c r="I198" s="6"/>
      <c r="J198" s="6"/>
      <c r="K198" s="6"/>
      <c r="L198" s="6"/>
      <c r="M198" s="6"/>
      <c r="N198" s="8"/>
      <c r="O198" s="8"/>
      <c r="P198" s="8"/>
      <c r="Q198" s="8"/>
      <c r="R198" s="9"/>
      <c r="S198" s="10"/>
    </row>
    <row r="199" spans="1:19" ht="14.25" customHeight="1" x14ac:dyDescent="0.35">
      <c r="A199" s="6"/>
      <c r="B199" s="6"/>
      <c r="C199" s="6"/>
      <c r="D199" s="6"/>
      <c r="E199" s="7"/>
      <c r="F199" s="6"/>
      <c r="G199" s="6"/>
      <c r="H199" s="6"/>
      <c r="I199" s="6"/>
      <c r="J199" s="6"/>
      <c r="K199" s="6"/>
      <c r="L199" s="6"/>
      <c r="M199" s="6"/>
      <c r="N199" s="8"/>
      <c r="O199" s="8"/>
      <c r="P199" s="8"/>
      <c r="Q199" s="8"/>
      <c r="R199" s="9"/>
      <c r="S199" s="10"/>
    </row>
    <row r="200" spans="1:19" ht="14.25" customHeight="1" x14ac:dyDescent="0.35">
      <c r="A200" s="6"/>
      <c r="B200" s="6"/>
      <c r="C200" s="6"/>
      <c r="D200" s="6"/>
      <c r="E200" s="7"/>
      <c r="F200" s="6"/>
      <c r="G200" s="6"/>
      <c r="H200" s="6"/>
      <c r="I200" s="6"/>
      <c r="J200" s="6"/>
      <c r="K200" s="6"/>
      <c r="L200" s="6"/>
      <c r="M200" s="6"/>
      <c r="N200" s="8"/>
      <c r="O200" s="8"/>
      <c r="P200" s="8"/>
      <c r="Q200" s="8"/>
      <c r="R200" s="9"/>
      <c r="S200" s="10"/>
    </row>
    <row r="201" spans="1:19" ht="14.25" customHeight="1" x14ac:dyDescent="0.35">
      <c r="A201" s="6"/>
      <c r="B201" s="6"/>
      <c r="C201" s="6"/>
      <c r="D201" s="6"/>
      <c r="E201" s="7"/>
      <c r="F201" s="6"/>
      <c r="G201" s="6"/>
      <c r="H201" s="6"/>
      <c r="I201" s="6"/>
      <c r="J201" s="6"/>
      <c r="K201" s="6"/>
      <c r="L201" s="6"/>
      <c r="M201" s="6"/>
      <c r="N201" s="8"/>
      <c r="O201" s="8"/>
      <c r="P201" s="8"/>
      <c r="Q201" s="8"/>
      <c r="R201" s="9"/>
      <c r="S201" s="10"/>
    </row>
    <row r="202" spans="1:19" ht="14.25" customHeight="1" x14ac:dyDescent="0.35">
      <c r="A202" s="6"/>
      <c r="B202" s="6"/>
      <c r="C202" s="6"/>
      <c r="D202" s="6"/>
      <c r="E202" s="7"/>
      <c r="F202" s="6"/>
      <c r="G202" s="6"/>
      <c r="H202" s="6"/>
      <c r="I202" s="6"/>
      <c r="J202" s="6"/>
      <c r="K202" s="6"/>
      <c r="L202" s="6"/>
      <c r="M202" s="6"/>
      <c r="N202" s="8"/>
      <c r="O202" s="8"/>
      <c r="P202" s="8"/>
      <c r="Q202" s="8"/>
      <c r="R202" s="9"/>
      <c r="S202" s="10"/>
    </row>
    <row r="203" spans="1:19" ht="14.25" customHeight="1" x14ac:dyDescent="0.35">
      <c r="A203" s="6"/>
      <c r="B203" s="6"/>
      <c r="C203" s="6"/>
      <c r="D203" s="6"/>
      <c r="E203" s="7"/>
      <c r="F203" s="6"/>
      <c r="G203" s="6"/>
      <c r="H203" s="6"/>
      <c r="I203" s="6"/>
      <c r="J203" s="6"/>
      <c r="K203" s="6"/>
      <c r="L203" s="6"/>
      <c r="M203" s="6"/>
      <c r="N203" s="8"/>
      <c r="O203" s="8"/>
      <c r="P203" s="8"/>
      <c r="Q203" s="8"/>
      <c r="R203" s="9"/>
      <c r="S203" s="10"/>
    </row>
    <row r="204" spans="1:19" ht="14.25" customHeight="1" x14ac:dyDescent="0.35">
      <c r="A204" s="6"/>
      <c r="B204" s="6"/>
      <c r="C204" s="6"/>
      <c r="D204" s="6"/>
      <c r="E204" s="7"/>
      <c r="F204" s="6"/>
      <c r="G204" s="6"/>
      <c r="H204" s="6"/>
      <c r="I204" s="6"/>
      <c r="J204" s="6"/>
      <c r="K204" s="6"/>
      <c r="L204" s="6"/>
      <c r="M204" s="6"/>
      <c r="N204" s="8"/>
      <c r="O204" s="8"/>
      <c r="P204" s="8"/>
      <c r="Q204" s="8"/>
      <c r="R204" s="9"/>
      <c r="S204" s="10"/>
    </row>
    <row r="205" spans="1:19" ht="14.25" customHeight="1" x14ac:dyDescent="0.35">
      <c r="A205" s="6"/>
      <c r="B205" s="6"/>
      <c r="C205" s="6"/>
      <c r="D205" s="6"/>
      <c r="E205" s="7"/>
      <c r="F205" s="6"/>
      <c r="G205" s="6"/>
      <c r="H205" s="6"/>
      <c r="I205" s="6"/>
      <c r="J205" s="6"/>
      <c r="K205" s="6"/>
      <c r="L205" s="6"/>
      <c r="M205" s="6"/>
      <c r="N205" s="8"/>
      <c r="O205" s="8"/>
      <c r="P205" s="8"/>
      <c r="Q205" s="8"/>
      <c r="R205" s="9"/>
      <c r="S205" s="10"/>
    </row>
    <row r="206" spans="1:19" ht="14.25" customHeight="1" x14ac:dyDescent="0.35">
      <c r="A206" s="6"/>
      <c r="B206" s="6"/>
      <c r="C206" s="6"/>
      <c r="D206" s="6"/>
      <c r="E206" s="7"/>
      <c r="F206" s="6"/>
      <c r="G206" s="6"/>
      <c r="H206" s="6"/>
      <c r="I206" s="6"/>
      <c r="J206" s="6"/>
      <c r="K206" s="6"/>
      <c r="L206" s="6"/>
      <c r="M206" s="6"/>
      <c r="N206" s="8"/>
      <c r="O206" s="8"/>
      <c r="P206" s="8"/>
      <c r="Q206" s="8"/>
      <c r="R206" s="9"/>
      <c r="S206" s="10"/>
    </row>
    <row r="207" spans="1:19" ht="14.25" customHeight="1" x14ac:dyDescent="0.35">
      <c r="A207" s="6"/>
      <c r="B207" s="6"/>
      <c r="C207" s="6"/>
      <c r="D207" s="6"/>
      <c r="E207" s="7"/>
      <c r="F207" s="6"/>
      <c r="G207" s="6"/>
      <c r="H207" s="6"/>
      <c r="I207" s="6"/>
      <c r="J207" s="6"/>
      <c r="K207" s="6"/>
      <c r="L207" s="6"/>
      <c r="M207" s="6"/>
      <c r="N207" s="8"/>
      <c r="O207" s="8"/>
      <c r="P207" s="8"/>
      <c r="Q207" s="8"/>
      <c r="R207" s="9"/>
      <c r="S207" s="10"/>
    </row>
    <row r="208" spans="1:19" ht="14.25" customHeight="1" x14ac:dyDescent="0.35">
      <c r="A208" s="6"/>
      <c r="B208" s="6"/>
      <c r="C208" s="6"/>
      <c r="D208" s="6"/>
      <c r="E208" s="7"/>
      <c r="F208" s="6"/>
      <c r="G208" s="6"/>
      <c r="H208" s="6"/>
      <c r="I208" s="6"/>
      <c r="J208" s="6"/>
      <c r="K208" s="6"/>
      <c r="L208" s="6"/>
      <c r="M208" s="6"/>
      <c r="N208" s="8"/>
      <c r="O208" s="8"/>
      <c r="P208" s="8"/>
      <c r="Q208" s="8"/>
      <c r="R208" s="9"/>
      <c r="S208" s="10"/>
    </row>
    <row r="209" spans="1:19" ht="14.25" customHeight="1" x14ac:dyDescent="0.35">
      <c r="A209" s="6"/>
      <c r="B209" s="6"/>
      <c r="C209" s="6"/>
      <c r="D209" s="6"/>
      <c r="E209" s="7"/>
      <c r="F209" s="6"/>
      <c r="G209" s="6"/>
      <c r="H209" s="6"/>
      <c r="I209" s="6"/>
      <c r="J209" s="6"/>
      <c r="K209" s="6"/>
      <c r="L209" s="6"/>
      <c r="M209" s="6"/>
      <c r="N209" s="8"/>
      <c r="O209" s="8"/>
      <c r="P209" s="8"/>
      <c r="Q209" s="8"/>
      <c r="R209" s="9"/>
      <c r="S209" s="10"/>
    </row>
    <row r="210" spans="1:19" ht="14.25" customHeight="1" x14ac:dyDescent="0.35">
      <c r="A210" s="6"/>
      <c r="B210" s="6"/>
      <c r="C210" s="6"/>
      <c r="D210" s="6"/>
      <c r="E210" s="7"/>
      <c r="F210" s="6"/>
      <c r="G210" s="6"/>
      <c r="H210" s="6"/>
      <c r="I210" s="6"/>
      <c r="J210" s="6"/>
      <c r="K210" s="6"/>
      <c r="L210" s="6"/>
      <c r="M210" s="6"/>
      <c r="N210" s="8"/>
      <c r="O210" s="8"/>
      <c r="P210" s="8"/>
      <c r="Q210" s="8"/>
      <c r="R210" s="9"/>
      <c r="S210" s="10"/>
    </row>
    <row r="211" spans="1:19" ht="14.25" customHeight="1" x14ac:dyDescent="0.35">
      <c r="A211" s="6"/>
      <c r="B211" s="6"/>
      <c r="C211" s="6"/>
      <c r="D211" s="6"/>
      <c r="E211" s="7"/>
      <c r="F211" s="6"/>
      <c r="G211" s="6"/>
      <c r="H211" s="6"/>
      <c r="I211" s="6"/>
      <c r="J211" s="6"/>
      <c r="K211" s="6"/>
      <c r="L211" s="6"/>
      <c r="M211" s="6"/>
      <c r="N211" s="8"/>
      <c r="O211" s="8"/>
      <c r="P211" s="8"/>
      <c r="Q211" s="8"/>
      <c r="R211" s="9"/>
      <c r="S211" s="10"/>
    </row>
    <row r="212" spans="1:19" ht="14.25" customHeight="1" x14ac:dyDescent="0.35">
      <c r="A212" s="6"/>
      <c r="B212" s="6"/>
      <c r="C212" s="6"/>
      <c r="D212" s="6"/>
      <c r="E212" s="7"/>
      <c r="F212" s="6"/>
      <c r="G212" s="6"/>
      <c r="H212" s="6"/>
      <c r="I212" s="6"/>
      <c r="J212" s="6"/>
      <c r="K212" s="6"/>
      <c r="L212" s="6"/>
      <c r="M212" s="6"/>
      <c r="N212" s="8"/>
      <c r="O212" s="8"/>
      <c r="P212" s="8"/>
      <c r="Q212" s="8"/>
      <c r="R212" s="9"/>
      <c r="S212" s="10"/>
    </row>
    <row r="213" spans="1:19" ht="14.25" customHeight="1" x14ac:dyDescent="0.35">
      <c r="A213" s="6"/>
      <c r="B213" s="6"/>
      <c r="C213" s="6"/>
      <c r="D213" s="6"/>
      <c r="E213" s="7"/>
      <c r="F213" s="6"/>
      <c r="G213" s="6"/>
      <c r="H213" s="6"/>
      <c r="I213" s="6"/>
      <c r="J213" s="6"/>
      <c r="K213" s="6"/>
      <c r="L213" s="6"/>
      <c r="M213" s="6"/>
      <c r="N213" s="8"/>
      <c r="O213" s="8"/>
      <c r="P213" s="8"/>
      <c r="Q213" s="8"/>
      <c r="R213" s="9"/>
      <c r="S213" s="10"/>
    </row>
    <row r="214" spans="1:19" ht="14.25" customHeight="1" x14ac:dyDescent="0.35">
      <c r="A214" s="6"/>
      <c r="B214" s="6"/>
      <c r="C214" s="6"/>
      <c r="D214" s="6"/>
      <c r="E214" s="7"/>
      <c r="F214" s="6"/>
      <c r="G214" s="6"/>
      <c r="H214" s="6"/>
      <c r="I214" s="6"/>
      <c r="J214" s="6"/>
      <c r="K214" s="6"/>
      <c r="L214" s="6"/>
      <c r="M214" s="6"/>
      <c r="N214" s="8"/>
      <c r="O214" s="8"/>
      <c r="P214" s="8"/>
      <c r="Q214" s="8"/>
      <c r="R214" s="9"/>
      <c r="S214" s="10"/>
    </row>
    <row r="215" spans="1:19" ht="14.25" customHeight="1" x14ac:dyDescent="0.35">
      <c r="A215" s="6"/>
      <c r="B215" s="6"/>
      <c r="C215" s="6"/>
      <c r="D215" s="6"/>
      <c r="E215" s="7"/>
      <c r="F215" s="6"/>
      <c r="G215" s="6"/>
      <c r="H215" s="6"/>
      <c r="I215" s="6"/>
      <c r="J215" s="6"/>
      <c r="K215" s="6"/>
      <c r="L215" s="6"/>
      <c r="M215" s="6"/>
      <c r="N215" s="8"/>
      <c r="O215" s="8"/>
      <c r="P215" s="8"/>
      <c r="Q215" s="8"/>
      <c r="R215" s="9"/>
      <c r="S215" s="10"/>
    </row>
    <row r="216" spans="1:19" ht="14.25" customHeight="1" x14ac:dyDescent="0.35">
      <c r="A216" s="6"/>
      <c r="B216" s="6"/>
      <c r="C216" s="6"/>
      <c r="D216" s="6"/>
      <c r="E216" s="7"/>
      <c r="F216" s="6"/>
      <c r="G216" s="6"/>
      <c r="H216" s="6"/>
      <c r="I216" s="6"/>
      <c r="J216" s="6"/>
      <c r="K216" s="6"/>
      <c r="L216" s="6"/>
      <c r="M216" s="6"/>
      <c r="N216" s="8"/>
      <c r="O216" s="8"/>
      <c r="P216" s="8"/>
      <c r="Q216" s="8"/>
      <c r="R216" s="9"/>
      <c r="S216" s="10"/>
    </row>
    <row r="217" spans="1:19" ht="14.25" customHeight="1" x14ac:dyDescent="0.35">
      <c r="A217" s="6"/>
      <c r="B217" s="6"/>
      <c r="C217" s="6"/>
      <c r="D217" s="6"/>
      <c r="E217" s="7"/>
      <c r="F217" s="6"/>
      <c r="G217" s="6"/>
      <c r="H217" s="6"/>
      <c r="I217" s="6"/>
      <c r="J217" s="6"/>
      <c r="K217" s="6"/>
      <c r="L217" s="6"/>
      <c r="M217" s="6"/>
      <c r="N217" s="8"/>
      <c r="O217" s="8"/>
      <c r="P217" s="8"/>
      <c r="Q217" s="8"/>
      <c r="R217" s="9"/>
      <c r="S217" s="10"/>
    </row>
    <row r="218" spans="1:19" ht="14.25" customHeight="1" x14ac:dyDescent="0.35">
      <c r="A218" s="6"/>
      <c r="B218" s="6"/>
      <c r="C218" s="6"/>
      <c r="D218" s="6"/>
      <c r="E218" s="7"/>
      <c r="F218" s="6"/>
      <c r="G218" s="6"/>
      <c r="H218" s="6"/>
      <c r="I218" s="6"/>
      <c r="J218" s="6"/>
      <c r="K218" s="6"/>
      <c r="L218" s="6"/>
      <c r="M218" s="6"/>
      <c r="N218" s="8"/>
      <c r="O218" s="8"/>
      <c r="P218" s="8"/>
      <c r="Q218" s="8"/>
      <c r="R218" s="9"/>
      <c r="S218" s="10"/>
    </row>
    <row r="219" spans="1:19" ht="14.25" customHeight="1" x14ac:dyDescent="0.35">
      <c r="A219" s="6"/>
      <c r="B219" s="6"/>
      <c r="C219" s="6"/>
      <c r="D219" s="6"/>
      <c r="E219" s="7"/>
      <c r="F219" s="6"/>
      <c r="G219" s="6"/>
      <c r="H219" s="6"/>
      <c r="I219" s="6"/>
      <c r="J219" s="6"/>
      <c r="K219" s="6"/>
      <c r="L219" s="6"/>
      <c r="M219" s="6"/>
      <c r="N219" s="8"/>
      <c r="O219" s="8"/>
      <c r="P219" s="8"/>
      <c r="Q219" s="8"/>
      <c r="R219" s="9"/>
      <c r="S219" s="10"/>
    </row>
    <row r="220" spans="1:19" ht="14.25" customHeight="1" x14ac:dyDescent="0.35">
      <c r="A220" s="6"/>
      <c r="B220" s="6"/>
      <c r="C220" s="6"/>
      <c r="D220" s="6"/>
      <c r="E220" s="7"/>
      <c r="F220" s="6"/>
      <c r="G220" s="6"/>
      <c r="H220" s="6"/>
      <c r="I220" s="6"/>
      <c r="J220" s="6"/>
      <c r="K220" s="6"/>
      <c r="L220" s="6"/>
      <c r="M220" s="6"/>
      <c r="N220" s="8"/>
      <c r="O220" s="8"/>
      <c r="P220" s="8"/>
      <c r="Q220" s="8"/>
      <c r="R220" s="9"/>
      <c r="S220" s="10"/>
    </row>
    <row r="221" spans="1:19" ht="14.25" customHeight="1" x14ac:dyDescent="0.35">
      <c r="A221" s="6"/>
      <c r="B221" s="6"/>
      <c r="C221" s="6"/>
      <c r="D221" s="6"/>
      <c r="E221" s="7"/>
      <c r="F221" s="6"/>
      <c r="G221" s="6"/>
      <c r="H221" s="6"/>
      <c r="I221" s="6"/>
      <c r="J221" s="6"/>
      <c r="K221" s="6"/>
      <c r="L221" s="6"/>
      <c r="M221" s="6"/>
      <c r="N221" s="8"/>
      <c r="O221" s="8"/>
      <c r="P221" s="8"/>
      <c r="Q221" s="8"/>
      <c r="R221" s="9"/>
      <c r="S221" s="10"/>
    </row>
    <row r="222" spans="1:19" ht="14.25" customHeight="1" x14ac:dyDescent="0.35">
      <c r="A222" s="6"/>
      <c r="B222" s="6"/>
      <c r="C222" s="6"/>
      <c r="D222" s="6"/>
      <c r="E222" s="7"/>
      <c r="F222" s="6"/>
      <c r="G222" s="6"/>
      <c r="H222" s="6"/>
      <c r="I222" s="6"/>
      <c r="J222" s="6"/>
      <c r="K222" s="6"/>
      <c r="L222" s="6"/>
      <c r="M222" s="6"/>
      <c r="N222" s="8"/>
      <c r="O222" s="8"/>
      <c r="P222" s="8"/>
      <c r="Q222" s="8"/>
      <c r="R222" s="9"/>
      <c r="S222" s="10"/>
    </row>
    <row r="223" spans="1:19" ht="14.25" customHeight="1" x14ac:dyDescent="0.35">
      <c r="A223" s="6"/>
      <c r="B223" s="6"/>
      <c r="C223" s="6"/>
      <c r="D223" s="6"/>
      <c r="E223" s="7"/>
      <c r="F223" s="6"/>
      <c r="G223" s="6"/>
      <c r="H223" s="6"/>
      <c r="I223" s="6"/>
      <c r="J223" s="6"/>
      <c r="K223" s="6"/>
      <c r="L223" s="6"/>
      <c r="M223" s="6"/>
      <c r="N223" s="8"/>
      <c r="O223" s="8"/>
      <c r="P223" s="8"/>
      <c r="Q223" s="8"/>
      <c r="R223" s="9"/>
      <c r="S223" s="10"/>
    </row>
    <row r="224" spans="1:19" ht="14.25" customHeight="1" x14ac:dyDescent="0.35">
      <c r="A224" s="6"/>
      <c r="B224" s="6"/>
      <c r="C224" s="6"/>
      <c r="D224" s="6"/>
      <c r="E224" s="7"/>
      <c r="F224" s="6"/>
      <c r="G224" s="6"/>
      <c r="H224" s="6"/>
      <c r="I224" s="6"/>
      <c r="J224" s="6"/>
      <c r="K224" s="6"/>
      <c r="L224" s="6"/>
      <c r="M224" s="6"/>
      <c r="N224" s="8"/>
      <c r="O224" s="8"/>
      <c r="P224" s="8"/>
      <c r="Q224" s="8"/>
      <c r="R224" s="9"/>
      <c r="S224" s="10"/>
    </row>
    <row r="225" spans="1:19" ht="14.25" customHeight="1" x14ac:dyDescent="0.35">
      <c r="A225" s="6"/>
      <c r="B225" s="6"/>
      <c r="C225" s="6"/>
      <c r="D225" s="6"/>
      <c r="E225" s="7"/>
      <c r="F225" s="6"/>
      <c r="G225" s="6"/>
      <c r="H225" s="6"/>
      <c r="I225" s="6"/>
      <c r="J225" s="6"/>
      <c r="K225" s="6"/>
      <c r="L225" s="6"/>
      <c r="M225" s="6"/>
      <c r="N225" s="8"/>
      <c r="O225" s="8"/>
      <c r="P225" s="8"/>
      <c r="Q225" s="8"/>
      <c r="R225" s="9"/>
      <c r="S225" s="10"/>
    </row>
    <row r="226" spans="1:19" ht="14.25" customHeight="1" x14ac:dyDescent="0.35">
      <c r="A226" s="6"/>
      <c r="B226" s="6"/>
      <c r="C226" s="6"/>
      <c r="D226" s="6"/>
      <c r="E226" s="7"/>
      <c r="F226" s="6"/>
      <c r="G226" s="6"/>
      <c r="H226" s="6"/>
      <c r="I226" s="6"/>
      <c r="J226" s="6"/>
      <c r="K226" s="6"/>
      <c r="L226" s="6"/>
      <c r="M226" s="6"/>
      <c r="N226" s="8"/>
      <c r="O226" s="8"/>
      <c r="P226" s="8"/>
      <c r="Q226" s="8"/>
      <c r="R226" s="9"/>
      <c r="S226" s="10"/>
    </row>
    <row r="227" spans="1:19" ht="14.25" customHeight="1" x14ac:dyDescent="0.35">
      <c r="A227" s="6"/>
      <c r="B227" s="6"/>
      <c r="C227" s="6"/>
      <c r="D227" s="6"/>
      <c r="E227" s="7"/>
      <c r="F227" s="6"/>
      <c r="G227" s="6"/>
      <c r="H227" s="6"/>
      <c r="I227" s="6"/>
      <c r="J227" s="6"/>
      <c r="K227" s="6"/>
      <c r="L227" s="6"/>
      <c r="M227" s="6"/>
      <c r="N227" s="8"/>
      <c r="O227" s="8"/>
      <c r="P227" s="8"/>
      <c r="Q227" s="8"/>
      <c r="R227" s="9"/>
      <c r="S227" s="10"/>
    </row>
    <row r="228" spans="1:19" ht="14.25" customHeight="1" x14ac:dyDescent="0.35">
      <c r="A228" s="6"/>
      <c r="B228" s="6"/>
      <c r="C228" s="6"/>
      <c r="D228" s="6"/>
      <c r="E228" s="7"/>
      <c r="F228" s="6"/>
      <c r="G228" s="6"/>
      <c r="H228" s="6"/>
      <c r="I228" s="6"/>
      <c r="J228" s="6"/>
      <c r="K228" s="6"/>
      <c r="L228" s="6"/>
      <c r="M228" s="6"/>
      <c r="N228" s="8"/>
      <c r="O228" s="8"/>
      <c r="P228" s="8"/>
      <c r="Q228" s="8"/>
      <c r="R228" s="9"/>
      <c r="S228" s="10"/>
    </row>
    <row r="229" spans="1:19" ht="14.25" customHeight="1" x14ac:dyDescent="0.35">
      <c r="A229" s="6"/>
      <c r="B229" s="6"/>
      <c r="C229" s="6"/>
      <c r="D229" s="6"/>
      <c r="E229" s="7"/>
      <c r="F229" s="6"/>
      <c r="G229" s="6"/>
      <c r="H229" s="6"/>
      <c r="I229" s="6"/>
      <c r="J229" s="6"/>
      <c r="K229" s="6"/>
      <c r="L229" s="6"/>
      <c r="M229" s="6"/>
      <c r="N229" s="8"/>
      <c r="O229" s="8"/>
      <c r="P229" s="8"/>
      <c r="Q229" s="8"/>
      <c r="R229" s="9"/>
      <c r="S229" s="10"/>
    </row>
    <row r="230" spans="1:19" ht="14.25" customHeight="1" x14ac:dyDescent="0.35">
      <c r="A230" s="6"/>
      <c r="B230" s="6"/>
      <c r="C230" s="6"/>
      <c r="D230" s="6"/>
      <c r="E230" s="7"/>
      <c r="F230" s="6"/>
      <c r="G230" s="6"/>
      <c r="H230" s="6"/>
      <c r="I230" s="6"/>
      <c r="J230" s="6"/>
      <c r="K230" s="6"/>
      <c r="L230" s="6"/>
      <c r="M230" s="6"/>
      <c r="N230" s="8"/>
      <c r="O230" s="8"/>
      <c r="P230" s="8"/>
      <c r="Q230" s="8"/>
      <c r="R230" s="9"/>
      <c r="S230" s="10"/>
    </row>
    <row r="231" spans="1:19" ht="14.25" customHeight="1" x14ac:dyDescent="0.35">
      <c r="A231" s="6"/>
      <c r="B231" s="6"/>
      <c r="C231" s="6"/>
      <c r="D231" s="6"/>
      <c r="E231" s="7"/>
      <c r="F231" s="6"/>
      <c r="G231" s="6"/>
      <c r="H231" s="6"/>
      <c r="I231" s="6"/>
      <c r="J231" s="6"/>
      <c r="K231" s="6"/>
      <c r="L231" s="6"/>
      <c r="M231" s="6"/>
      <c r="N231" s="8"/>
      <c r="O231" s="8"/>
      <c r="P231" s="8"/>
      <c r="Q231" s="8"/>
      <c r="R231" s="9"/>
      <c r="S231" s="10"/>
    </row>
    <row r="232" spans="1:19" ht="14.25" customHeight="1" x14ac:dyDescent="0.35">
      <c r="A232" s="6"/>
      <c r="B232" s="6"/>
      <c r="C232" s="6"/>
      <c r="D232" s="6"/>
      <c r="E232" s="7"/>
      <c r="F232" s="6"/>
      <c r="G232" s="6"/>
      <c r="H232" s="6"/>
      <c r="I232" s="6"/>
      <c r="J232" s="6"/>
      <c r="K232" s="6"/>
      <c r="L232" s="6"/>
      <c r="M232" s="6"/>
      <c r="N232" s="8"/>
      <c r="O232" s="8"/>
      <c r="P232" s="8"/>
      <c r="Q232" s="8"/>
      <c r="R232" s="9"/>
      <c r="S232" s="10"/>
    </row>
    <row r="233" spans="1:19" ht="14.25" customHeight="1" x14ac:dyDescent="0.35">
      <c r="A233" s="6"/>
      <c r="B233" s="6"/>
      <c r="C233" s="6"/>
      <c r="D233" s="6"/>
      <c r="E233" s="7"/>
      <c r="F233" s="6"/>
      <c r="G233" s="6"/>
      <c r="H233" s="6"/>
      <c r="I233" s="6"/>
      <c r="J233" s="6"/>
      <c r="K233" s="6"/>
      <c r="L233" s="6"/>
      <c r="M233" s="6"/>
      <c r="N233" s="8"/>
      <c r="O233" s="8"/>
      <c r="P233" s="8"/>
      <c r="Q233" s="8"/>
      <c r="R233" s="9"/>
      <c r="S233" s="10"/>
    </row>
    <row r="234" spans="1:19" ht="14.25" customHeight="1" x14ac:dyDescent="0.35">
      <c r="A234" s="6"/>
      <c r="B234" s="6"/>
      <c r="C234" s="6"/>
      <c r="D234" s="6"/>
      <c r="E234" s="7"/>
      <c r="F234" s="6"/>
      <c r="G234" s="6"/>
      <c r="H234" s="6"/>
      <c r="I234" s="6"/>
      <c r="J234" s="6"/>
      <c r="K234" s="6"/>
      <c r="L234" s="6"/>
      <c r="M234" s="6"/>
      <c r="N234" s="8"/>
      <c r="O234" s="8"/>
      <c r="P234" s="8"/>
      <c r="Q234" s="8"/>
      <c r="R234" s="9"/>
      <c r="S234" s="10"/>
    </row>
    <row r="235" spans="1:19" ht="14.25" customHeight="1" x14ac:dyDescent="0.35">
      <c r="A235" s="6"/>
      <c r="B235" s="6"/>
      <c r="C235" s="6"/>
      <c r="D235" s="6"/>
      <c r="E235" s="7"/>
      <c r="F235" s="6"/>
      <c r="G235" s="6"/>
      <c r="H235" s="6"/>
      <c r="I235" s="6"/>
      <c r="J235" s="6"/>
      <c r="K235" s="6"/>
      <c r="L235" s="6"/>
      <c r="M235" s="6"/>
      <c r="N235" s="8"/>
      <c r="O235" s="8"/>
      <c r="P235" s="8"/>
      <c r="Q235" s="8"/>
      <c r="R235" s="9"/>
      <c r="S235" s="10"/>
    </row>
    <row r="236" spans="1:19" ht="14.25" customHeight="1" x14ac:dyDescent="0.35">
      <c r="A236" s="6"/>
      <c r="B236" s="6"/>
      <c r="C236" s="6"/>
      <c r="D236" s="6"/>
      <c r="E236" s="7"/>
      <c r="F236" s="6"/>
      <c r="G236" s="6"/>
      <c r="H236" s="6"/>
      <c r="I236" s="6"/>
      <c r="J236" s="6"/>
      <c r="K236" s="6"/>
      <c r="L236" s="6"/>
      <c r="M236" s="6"/>
      <c r="N236" s="8"/>
      <c r="O236" s="8"/>
      <c r="P236" s="8"/>
      <c r="Q236" s="8"/>
      <c r="R236" s="9"/>
      <c r="S236" s="10"/>
    </row>
    <row r="237" spans="1:19" ht="14.25" customHeight="1" x14ac:dyDescent="0.35">
      <c r="A237" s="6"/>
      <c r="B237" s="6"/>
      <c r="C237" s="6"/>
      <c r="D237" s="6"/>
      <c r="E237" s="7"/>
      <c r="F237" s="6"/>
      <c r="G237" s="6"/>
      <c r="H237" s="6"/>
      <c r="I237" s="6"/>
      <c r="J237" s="6"/>
      <c r="K237" s="6"/>
      <c r="L237" s="6"/>
      <c r="M237" s="6"/>
      <c r="N237" s="8"/>
      <c r="O237" s="8"/>
      <c r="P237" s="8"/>
      <c r="Q237" s="8"/>
      <c r="R237" s="9"/>
      <c r="S237" s="10"/>
    </row>
    <row r="238" spans="1:19" ht="14.25" customHeight="1" x14ac:dyDescent="0.35">
      <c r="A238" s="6"/>
      <c r="B238" s="6"/>
      <c r="C238" s="6"/>
      <c r="D238" s="6"/>
      <c r="E238" s="7"/>
      <c r="F238" s="6"/>
      <c r="G238" s="6"/>
      <c r="H238" s="6"/>
      <c r="I238" s="6"/>
      <c r="J238" s="6"/>
      <c r="K238" s="6"/>
      <c r="L238" s="6"/>
      <c r="M238" s="6"/>
      <c r="N238" s="8"/>
      <c r="O238" s="8"/>
      <c r="P238" s="8"/>
      <c r="Q238" s="8"/>
      <c r="R238" s="9"/>
      <c r="S238" s="10"/>
    </row>
    <row r="239" spans="1:19" ht="14.25" customHeight="1" x14ac:dyDescent="0.35">
      <c r="A239" s="6"/>
      <c r="B239" s="6"/>
      <c r="C239" s="6"/>
      <c r="D239" s="6"/>
      <c r="E239" s="7"/>
      <c r="F239" s="6"/>
      <c r="G239" s="6"/>
      <c r="H239" s="6"/>
      <c r="I239" s="6"/>
      <c r="J239" s="6"/>
      <c r="K239" s="6"/>
      <c r="L239" s="6"/>
      <c r="M239" s="6"/>
      <c r="N239" s="8"/>
      <c r="O239" s="8"/>
      <c r="P239" s="8"/>
      <c r="Q239" s="8"/>
      <c r="R239" s="9"/>
      <c r="S239" s="10"/>
    </row>
    <row r="240" spans="1:19" ht="14.25" customHeight="1" x14ac:dyDescent="0.35">
      <c r="A240" s="6"/>
      <c r="B240" s="6"/>
      <c r="C240" s="6"/>
      <c r="D240" s="6"/>
      <c r="E240" s="7"/>
      <c r="F240" s="6"/>
      <c r="G240" s="6"/>
      <c r="H240" s="6"/>
      <c r="I240" s="6"/>
      <c r="J240" s="6"/>
      <c r="K240" s="6"/>
      <c r="L240" s="6"/>
      <c r="M240" s="6"/>
      <c r="N240" s="8"/>
      <c r="O240" s="8"/>
      <c r="P240" s="8"/>
      <c r="Q240" s="8"/>
      <c r="R240" s="9"/>
      <c r="S240" s="10"/>
    </row>
    <row r="241" spans="1:19" ht="14.25" customHeight="1" x14ac:dyDescent="0.35">
      <c r="A241" s="6"/>
      <c r="B241" s="6"/>
      <c r="C241" s="6"/>
      <c r="D241" s="6"/>
      <c r="E241" s="7"/>
      <c r="F241" s="6"/>
      <c r="G241" s="6"/>
      <c r="H241" s="6"/>
      <c r="I241" s="6"/>
      <c r="J241" s="6"/>
      <c r="K241" s="6"/>
      <c r="L241" s="6"/>
      <c r="M241" s="6"/>
      <c r="N241" s="8"/>
      <c r="O241" s="8"/>
      <c r="P241" s="8"/>
      <c r="Q241" s="8"/>
      <c r="R241" s="9"/>
      <c r="S241" s="10"/>
    </row>
    <row r="242" spans="1:19" ht="14.25" customHeight="1" x14ac:dyDescent="0.35">
      <c r="A242" s="6"/>
      <c r="B242" s="6"/>
      <c r="C242" s="6"/>
      <c r="D242" s="6"/>
      <c r="E242" s="7"/>
      <c r="F242" s="6"/>
      <c r="G242" s="6"/>
      <c r="H242" s="6"/>
      <c r="I242" s="6"/>
      <c r="J242" s="6"/>
      <c r="K242" s="6"/>
      <c r="L242" s="6"/>
      <c r="M242" s="6"/>
      <c r="N242" s="8"/>
      <c r="O242" s="8"/>
      <c r="P242" s="8"/>
      <c r="Q242" s="8"/>
      <c r="R242" s="9"/>
      <c r="S242" s="10"/>
    </row>
    <row r="243" spans="1:19" ht="14.25" customHeight="1" x14ac:dyDescent="0.35">
      <c r="A243" s="6"/>
      <c r="B243" s="6"/>
      <c r="C243" s="6"/>
      <c r="D243" s="6"/>
      <c r="E243" s="7"/>
      <c r="F243" s="6"/>
      <c r="G243" s="6"/>
      <c r="H243" s="6"/>
      <c r="I243" s="6"/>
      <c r="J243" s="6"/>
      <c r="K243" s="6"/>
      <c r="L243" s="6"/>
      <c r="M243" s="6"/>
      <c r="N243" s="8"/>
      <c r="O243" s="8"/>
      <c r="P243" s="8"/>
      <c r="Q243" s="8"/>
      <c r="R243" s="9"/>
      <c r="S243" s="10"/>
    </row>
    <row r="244" spans="1:19" ht="14.25" customHeight="1" x14ac:dyDescent="0.35">
      <c r="A244" s="6"/>
      <c r="B244" s="6"/>
      <c r="C244" s="6"/>
      <c r="D244" s="6"/>
      <c r="E244" s="7"/>
      <c r="F244" s="6"/>
      <c r="G244" s="6"/>
      <c r="H244" s="6"/>
      <c r="I244" s="6"/>
      <c r="J244" s="6"/>
      <c r="K244" s="6"/>
      <c r="L244" s="6"/>
      <c r="M244" s="6"/>
      <c r="N244" s="8"/>
      <c r="O244" s="8"/>
      <c r="P244" s="8"/>
      <c r="Q244" s="8"/>
      <c r="R244" s="9"/>
      <c r="S244" s="10"/>
    </row>
    <row r="245" spans="1:19" ht="14.25" customHeight="1" x14ac:dyDescent="0.35">
      <c r="A245" s="6"/>
      <c r="B245" s="6"/>
      <c r="C245" s="6"/>
      <c r="D245" s="6"/>
      <c r="E245" s="7"/>
      <c r="F245" s="6"/>
      <c r="G245" s="6"/>
      <c r="H245" s="6"/>
      <c r="I245" s="6"/>
      <c r="J245" s="6"/>
      <c r="K245" s="6"/>
      <c r="L245" s="6"/>
      <c r="M245" s="6"/>
      <c r="N245" s="8"/>
      <c r="O245" s="8"/>
      <c r="P245" s="8"/>
      <c r="Q245" s="8"/>
      <c r="R245" s="9"/>
      <c r="S245" s="10"/>
    </row>
    <row r="246" spans="1:19" ht="14.25" customHeight="1" x14ac:dyDescent="0.35">
      <c r="A246" s="6"/>
      <c r="B246" s="6"/>
      <c r="C246" s="6"/>
      <c r="D246" s="6"/>
      <c r="E246" s="7"/>
      <c r="F246" s="6"/>
      <c r="G246" s="6"/>
      <c r="H246" s="6"/>
      <c r="I246" s="6"/>
      <c r="J246" s="6"/>
      <c r="K246" s="6"/>
      <c r="L246" s="6"/>
      <c r="M246" s="6"/>
      <c r="N246" s="8"/>
      <c r="O246" s="8"/>
      <c r="P246" s="8"/>
      <c r="Q246" s="8"/>
      <c r="R246" s="9"/>
      <c r="S246" s="10"/>
    </row>
    <row r="247" spans="1:19" ht="14.25" customHeight="1" x14ac:dyDescent="0.35">
      <c r="A247" s="6"/>
      <c r="B247" s="6"/>
      <c r="C247" s="6"/>
      <c r="D247" s="6"/>
      <c r="E247" s="7"/>
      <c r="F247" s="6"/>
      <c r="G247" s="6"/>
      <c r="H247" s="6"/>
      <c r="I247" s="6"/>
      <c r="J247" s="6"/>
      <c r="K247" s="6"/>
      <c r="L247" s="6"/>
      <c r="M247" s="6"/>
      <c r="N247" s="8"/>
      <c r="O247" s="8"/>
      <c r="P247" s="8"/>
      <c r="Q247" s="8"/>
      <c r="R247" s="9"/>
      <c r="S247" s="10"/>
    </row>
    <row r="248" spans="1:19" ht="14.25" customHeight="1" x14ac:dyDescent="0.35">
      <c r="A248" s="6"/>
      <c r="B248" s="6"/>
      <c r="C248" s="6"/>
      <c r="D248" s="6"/>
      <c r="E248" s="7"/>
      <c r="F248" s="6"/>
      <c r="G248" s="6"/>
      <c r="H248" s="6"/>
      <c r="I248" s="6"/>
      <c r="J248" s="6"/>
      <c r="K248" s="6"/>
      <c r="L248" s="6"/>
      <c r="M248" s="6"/>
      <c r="N248" s="8"/>
      <c r="O248" s="8"/>
      <c r="P248" s="8"/>
      <c r="Q248" s="8"/>
      <c r="R248" s="9"/>
      <c r="S248" s="10"/>
    </row>
    <row r="249" spans="1:19" ht="14.25" customHeight="1" x14ac:dyDescent="0.35">
      <c r="A249" s="6"/>
      <c r="B249" s="6"/>
      <c r="C249" s="6"/>
      <c r="D249" s="6"/>
      <c r="E249" s="7"/>
      <c r="F249" s="6"/>
      <c r="G249" s="6"/>
      <c r="H249" s="6"/>
      <c r="I249" s="6"/>
      <c r="J249" s="6"/>
      <c r="K249" s="6"/>
      <c r="L249" s="6"/>
      <c r="M249" s="6"/>
      <c r="N249" s="8"/>
      <c r="O249" s="8"/>
      <c r="P249" s="8"/>
      <c r="Q249" s="8"/>
      <c r="R249" s="9"/>
      <c r="S249" s="10"/>
    </row>
    <row r="250" spans="1:19" ht="14.25" customHeight="1" x14ac:dyDescent="0.35">
      <c r="A250" s="6"/>
      <c r="B250" s="6"/>
      <c r="C250" s="6"/>
      <c r="D250" s="6"/>
      <c r="E250" s="7"/>
      <c r="F250" s="6"/>
      <c r="G250" s="6"/>
      <c r="H250" s="6"/>
      <c r="I250" s="6"/>
      <c r="J250" s="6"/>
      <c r="K250" s="6"/>
      <c r="L250" s="6"/>
      <c r="M250" s="6"/>
      <c r="N250" s="8"/>
      <c r="O250" s="8"/>
      <c r="P250" s="8"/>
      <c r="Q250" s="8"/>
      <c r="R250" s="9"/>
      <c r="S250" s="10"/>
    </row>
    <row r="251" spans="1:19" ht="14.25" customHeight="1" x14ac:dyDescent="0.35">
      <c r="A251" s="6"/>
      <c r="B251" s="6"/>
      <c r="C251" s="6"/>
      <c r="D251" s="6"/>
      <c r="E251" s="7"/>
      <c r="F251" s="6"/>
      <c r="G251" s="6"/>
      <c r="H251" s="6"/>
      <c r="I251" s="6"/>
      <c r="J251" s="6"/>
      <c r="K251" s="6"/>
      <c r="L251" s="6"/>
      <c r="M251" s="6"/>
      <c r="N251" s="8"/>
      <c r="O251" s="8"/>
      <c r="P251" s="8"/>
      <c r="Q251" s="8"/>
      <c r="R251" s="9"/>
      <c r="S251" s="10"/>
    </row>
    <row r="252" spans="1:19" ht="14.25" customHeight="1" x14ac:dyDescent="0.35">
      <c r="A252" s="6"/>
      <c r="B252" s="6"/>
      <c r="C252" s="6"/>
      <c r="D252" s="6"/>
      <c r="E252" s="7"/>
      <c r="F252" s="6"/>
      <c r="G252" s="6"/>
      <c r="H252" s="6"/>
      <c r="I252" s="6"/>
      <c r="J252" s="6"/>
      <c r="K252" s="6"/>
      <c r="L252" s="6"/>
      <c r="M252" s="6"/>
      <c r="N252" s="8"/>
      <c r="O252" s="8"/>
      <c r="P252" s="8"/>
      <c r="Q252" s="8"/>
      <c r="R252" s="9"/>
      <c r="S252" s="10"/>
    </row>
    <row r="253" spans="1:19" ht="14.25" customHeight="1" x14ac:dyDescent="0.35">
      <c r="A253" s="6"/>
      <c r="B253" s="6"/>
      <c r="C253" s="6"/>
      <c r="D253" s="6"/>
      <c r="E253" s="7"/>
      <c r="F253" s="6"/>
      <c r="G253" s="6"/>
      <c r="H253" s="6"/>
      <c r="I253" s="6"/>
      <c r="J253" s="6"/>
      <c r="K253" s="6"/>
      <c r="L253" s="6"/>
      <c r="M253" s="6"/>
      <c r="N253" s="8"/>
      <c r="O253" s="8"/>
      <c r="P253" s="8"/>
      <c r="Q253" s="8"/>
      <c r="R253" s="9"/>
      <c r="S253" s="10"/>
    </row>
    <row r="254" spans="1:19" ht="14.25" customHeight="1" x14ac:dyDescent="0.35">
      <c r="A254" s="6"/>
      <c r="B254" s="6"/>
      <c r="C254" s="6"/>
      <c r="D254" s="6"/>
      <c r="E254" s="7"/>
      <c r="F254" s="6"/>
      <c r="G254" s="6"/>
      <c r="H254" s="6"/>
      <c r="I254" s="6"/>
      <c r="J254" s="6"/>
      <c r="K254" s="6"/>
      <c r="L254" s="6"/>
      <c r="M254" s="6"/>
      <c r="N254" s="8"/>
      <c r="O254" s="8"/>
      <c r="P254" s="8"/>
      <c r="Q254" s="8"/>
      <c r="R254" s="9"/>
      <c r="S254" s="10"/>
    </row>
    <row r="255" spans="1:19" ht="14.25" customHeight="1" x14ac:dyDescent="0.35">
      <c r="A255" s="6"/>
      <c r="B255" s="6"/>
      <c r="C255" s="6"/>
      <c r="D255" s="6"/>
      <c r="E255" s="7"/>
      <c r="F255" s="6"/>
      <c r="G255" s="6"/>
      <c r="H255" s="6"/>
      <c r="I255" s="6"/>
      <c r="J255" s="6"/>
      <c r="K255" s="6"/>
      <c r="L255" s="6"/>
      <c r="M255" s="6"/>
      <c r="N255" s="8"/>
      <c r="O255" s="8"/>
      <c r="P255" s="8"/>
      <c r="Q255" s="8"/>
      <c r="R255" s="9"/>
      <c r="S255" s="10"/>
    </row>
    <row r="256" spans="1:19" ht="14.25" customHeight="1" x14ac:dyDescent="0.35">
      <c r="A256" s="6"/>
      <c r="B256" s="6"/>
      <c r="C256" s="6"/>
      <c r="D256" s="6"/>
      <c r="E256" s="7"/>
      <c r="F256" s="6"/>
      <c r="G256" s="6"/>
      <c r="H256" s="6"/>
      <c r="I256" s="6"/>
      <c r="J256" s="6"/>
      <c r="K256" s="6"/>
      <c r="L256" s="6"/>
      <c r="M256" s="6"/>
      <c r="N256" s="8"/>
      <c r="O256" s="8"/>
      <c r="P256" s="8"/>
      <c r="Q256" s="8"/>
      <c r="R256" s="9"/>
      <c r="S256" s="10"/>
    </row>
    <row r="257" spans="1:19" ht="14.25" customHeight="1" x14ac:dyDescent="0.35">
      <c r="A257" s="6"/>
      <c r="B257" s="6"/>
      <c r="C257" s="6"/>
      <c r="D257" s="6"/>
      <c r="E257" s="7"/>
      <c r="F257" s="6"/>
      <c r="G257" s="6"/>
      <c r="H257" s="6"/>
      <c r="I257" s="6"/>
      <c r="J257" s="6"/>
      <c r="K257" s="6"/>
      <c r="L257" s="6"/>
      <c r="M257" s="6"/>
      <c r="N257" s="8"/>
      <c r="O257" s="8"/>
      <c r="P257" s="8"/>
      <c r="Q257" s="8"/>
      <c r="R257" s="9"/>
      <c r="S257" s="10"/>
    </row>
    <row r="258" spans="1:19" ht="14.25" customHeight="1" x14ac:dyDescent="0.35">
      <c r="A258" s="6"/>
      <c r="B258" s="6"/>
      <c r="C258" s="6"/>
      <c r="D258" s="6"/>
      <c r="E258" s="7"/>
      <c r="F258" s="6"/>
      <c r="G258" s="6"/>
      <c r="H258" s="6"/>
      <c r="I258" s="6"/>
      <c r="J258" s="6"/>
      <c r="K258" s="6"/>
      <c r="L258" s="6"/>
      <c r="M258" s="6"/>
      <c r="N258" s="8"/>
      <c r="O258" s="8"/>
      <c r="P258" s="8"/>
      <c r="Q258" s="8"/>
      <c r="R258" s="9"/>
      <c r="S258" s="10"/>
    </row>
    <row r="259" spans="1:19" ht="14.25" customHeight="1" x14ac:dyDescent="0.35">
      <c r="A259" s="6"/>
      <c r="B259" s="6"/>
      <c r="C259" s="6"/>
      <c r="D259" s="6"/>
      <c r="E259" s="7"/>
      <c r="F259" s="6"/>
      <c r="G259" s="6"/>
      <c r="H259" s="6"/>
      <c r="I259" s="6"/>
      <c r="J259" s="6"/>
      <c r="K259" s="6"/>
      <c r="L259" s="6"/>
      <c r="M259" s="6"/>
      <c r="N259" s="8"/>
      <c r="O259" s="8"/>
      <c r="P259" s="8"/>
      <c r="Q259" s="8"/>
      <c r="R259" s="9"/>
      <c r="S259" s="10"/>
    </row>
    <row r="260" spans="1:19" ht="14.25" customHeight="1" x14ac:dyDescent="0.35">
      <c r="A260" s="6"/>
      <c r="B260" s="6"/>
      <c r="C260" s="6"/>
      <c r="D260" s="6"/>
      <c r="E260" s="7"/>
      <c r="F260" s="6"/>
      <c r="G260" s="6"/>
      <c r="H260" s="6"/>
      <c r="I260" s="6"/>
      <c r="J260" s="6"/>
      <c r="K260" s="6"/>
      <c r="L260" s="6"/>
      <c r="M260" s="6"/>
      <c r="N260" s="8"/>
      <c r="O260" s="8"/>
      <c r="P260" s="8"/>
      <c r="Q260" s="8"/>
      <c r="R260" s="9"/>
      <c r="S260" s="10"/>
    </row>
    <row r="261" spans="1:19" ht="14.25" customHeight="1" x14ac:dyDescent="0.35">
      <c r="A261" s="6"/>
      <c r="B261" s="6"/>
      <c r="C261" s="6"/>
      <c r="D261" s="6"/>
      <c r="E261" s="7"/>
      <c r="F261" s="6"/>
      <c r="G261" s="6"/>
      <c r="H261" s="6"/>
      <c r="I261" s="6"/>
      <c r="J261" s="6"/>
      <c r="K261" s="6"/>
      <c r="L261" s="6"/>
      <c r="M261" s="6"/>
      <c r="N261" s="8"/>
      <c r="O261" s="8"/>
      <c r="P261" s="8"/>
      <c r="Q261" s="8"/>
      <c r="R261" s="9"/>
      <c r="S261" s="10"/>
    </row>
    <row r="262" spans="1:19" ht="14.25" customHeight="1" x14ac:dyDescent="0.35">
      <c r="A262" s="6"/>
      <c r="B262" s="6"/>
      <c r="C262" s="6"/>
      <c r="D262" s="6"/>
      <c r="E262" s="7"/>
      <c r="F262" s="6"/>
      <c r="G262" s="6"/>
      <c r="H262" s="6"/>
      <c r="I262" s="6"/>
      <c r="J262" s="6"/>
      <c r="K262" s="6"/>
      <c r="L262" s="6"/>
      <c r="M262" s="6"/>
      <c r="N262" s="8"/>
      <c r="O262" s="8"/>
      <c r="P262" s="8"/>
      <c r="Q262" s="8"/>
      <c r="R262" s="9"/>
      <c r="S262" s="10"/>
    </row>
    <row r="263" spans="1:19" ht="14.25" customHeight="1" x14ac:dyDescent="0.35">
      <c r="A263" s="6"/>
      <c r="B263" s="6"/>
      <c r="C263" s="6"/>
      <c r="D263" s="6"/>
      <c r="E263" s="7"/>
      <c r="F263" s="6"/>
      <c r="G263" s="6"/>
      <c r="H263" s="6"/>
      <c r="I263" s="6"/>
      <c r="J263" s="6"/>
      <c r="K263" s="6"/>
      <c r="L263" s="6"/>
      <c r="M263" s="6"/>
      <c r="N263" s="8"/>
      <c r="O263" s="8"/>
      <c r="P263" s="8"/>
      <c r="Q263" s="8"/>
      <c r="R263" s="9"/>
      <c r="S263" s="10"/>
    </row>
    <row r="264" spans="1:19" ht="14.25" customHeight="1" x14ac:dyDescent="0.35">
      <c r="A264" s="6"/>
      <c r="B264" s="6"/>
      <c r="C264" s="6"/>
      <c r="D264" s="6"/>
      <c r="E264" s="7"/>
      <c r="F264" s="6"/>
      <c r="G264" s="6"/>
      <c r="H264" s="6"/>
      <c r="I264" s="6"/>
      <c r="J264" s="6"/>
      <c r="K264" s="6"/>
      <c r="L264" s="6"/>
      <c r="M264" s="6"/>
      <c r="N264" s="8"/>
      <c r="O264" s="8"/>
      <c r="P264" s="8"/>
      <c r="Q264" s="8"/>
      <c r="R264" s="9"/>
      <c r="S264" s="10"/>
    </row>
    <row r="265" spans="1:19" ht="14.25" customHeight="1" x14ac:dyDescent="0.35">
      <c r="A265" s="6"/>
      <c r="B265" s="6"/>
      <c r="C265" s="6"/>
      <c r="D265" s="6"/>
      <c r="E265" s="7"/>
      <c r="F265" s="6"/>
      <c r="G265" s="6"/>
      <c r="H265" s="6"/>
      <c r="I265" s="6"/>
      <c r="J265" s="6"/>
      <c r="K265" s="6"/>
      <c r="L265" s="6"/>
      <c r="M265" s="6"/>
      <c r="N265" s="8"/>
      <c r="O265" s="8"/>
      <c r="P265" s="8"/>
      <c r="Q265" s="8"/>
      <c r="R265" s="9"/>
      <c r="S265" s="10"/>
    </row>
    <row r="266" spans="1:19" ht="14.25" customHeight="1" x14ac:dyDescent="0.35">
      <c r="A266" s="6"/>
      <c r="B266" s="6"/>
      <c r="C266" s="6"/>
      <c r="D266" s="6"/>
      <c r="E266" s="7"/>
      <c r="F266" s="6"/>
      <c r="G266" s="6"/>
      <c r="H266" s="6"/>
      <c r="I266" s="6"/>
      <c r="J266" s="6"/>
      <c r="K266" s="6"/>
      <c r="L266" s="6"/>
      <c r="M266" s="6"/>
      <c r="N266" s="8"/>
      <c r="O266" s="8"/>
      <c r="P266" s="8"/>
      <c r="Q266" s="8"/>
      <c r="R266" s="9"/>
      <c r="S266" s="10"/>
    </row>
    <row r="267" spans="1:19" ht="14.25" customHeight="1" x14ac:dyDescent="0.35">
      <c r="A267" s="6"/>
      <c r="B267" s="6"/>
      <c r="C267" s="6"/>
      <c r="D267" s="6"/>
      <c r="E267" s="7"/>
      <c r="F267" s="6"/>
      <c r="G267" s="6"/>
      <c r="H267" s="6"/>
      <c r="I267" s="6"/>
      <c r="J267" s="6"/>
      <c r="K267" s="6"/>
      <c r="L267" s="6"/>
      <c r="M267" s="6"/>
      <c r="N267" s="8"/>
      <c r="O267" s="8"/>
      <c r="P267" s="8"/>
      <c r="Q267" s="8"/>
      <c r="R267" s="9"/>
      <c r="S267" s="10"/>
    </row>
    <row r="268" spans="1:19" ht="14.25" customHeight="1" x14ac:dyDescent="0.35">
      <c r="A268" s="6"/>
      <c r="B268" s="6"/>
      <c r="C268" s="6"/>
      <c r="D268" s="6"/>
      <c r="E268" s="7"/>
      <c r="F268" s="6"/>
      <c r="G268" s="6"/>
      <c r="H268" s="6"/>
      <c r="I268" s="6"/>
      <c r="J268" s="6"/>
      <c r="K268" s="6"/>
      <c r="L268" s="6"/>
      <c r="M268" s="6"/>
      <c r="N268" s="8"/>
      <c r="O268" s="8"/>
      <c r="P268" s="8"/>
      <c r="Q268" s="8"/>
      <c r="R268" s="9"/>
      <c r="S268" s="10"/>
    </row>
    <row r="269" spans="1:19" ht="14.25" customHeight="1" x14ac:dyDescent="0.35">
      <c r="A269" s="6"/>
      <c r="B269" s="6"/>
      <c r="C269" s="6"/>
      <c r="D269" s="6"/>
      <c r="E269" s="7"/>
      <c r="F269" s="6"/>
      <c r="G269" s="6"/>
      <c r="H269" s="6"/>
      <c r="I269" s="6"/>
      <c r="J269" s="6"/>
      <c r="K269" s="6"/>
      <c r="L269" s="6"/>
      <c r="M269" s="6"/>
      <c r="N269" s="8"/>
      <c r="O269" s="8"/>
      <c r="P269" s="8"/>
      <c r="Q269" s="8"/>
      <c r="R269" s="9"/>
      <c r="S269" s="10"/>
    </row>
    <row r="270" spans="1:19" ht="14.25" customHeight="1" x14ac:dyDescent="0.35">
      <c r="A270" s="6"/>
      <c r="B270" s="6"/>
      <c r="C270" s="6"/>
      <c r="D270" s="6"/>
      <c r="E270" s="7"/>
      <c r="F270" s="6"/>
      <c r="G270" s="6"/>
      <c r="H270" s="6"/>
      <c r="I270" s="6"/>
      <c r="J270" s="6"/>
      <c r="K270" s="6"/>
      <c r="L270" s="6"/>
      <c r="M270" s="6"/>
      <c r="N270" s="8"/>
      <c r="O270" s="8"/>
      <c r="P270" s="8"/>
      <c r="Q270" s="8"/>
      <c r="R270" s="9"/>
      <c r="S270" s="10"/>
    </row>
    <row r="271" spans="1:19" ht="14.25" customHeight="1" x14ac:dyDescent="0.35">
      <c r="A271" s="6"/>
      <c r="B271" s="6"/>
      <c r="C271" s="6"/>
      <c r="D271" s="6"/>
      <c r="E271" s="7"/>
      <c r="F271" s="6"/>
      <c r="G271" s="6"/>
      <c r="H271" s="6"/>
      <c r="I271" s="6"/>
      <c r="J271" s="6"/>
      <c r="K271" s="6"/>
      <c r="L271" s="6"/>
      <c r="M271" s="6"/>
      <c r="N271" s="8"/>
      <c r="O271" s="8"/>
      <c r="P271" s="8"/>
      <c r="Q271" s="8"/>
      <c r="R271" s="9"/>
      <c r="S271" s="10"/>
    </row>
    <row r="272" spans="1:19" ht="14.25" customHeight="1" x14ac:dyDescent="0.35">
      <c r="A272" s="6"/>
      <c r="B272" s="6"/>
      <c r="C272" s="6"/>
      <c r="D272" s="6"/>
      <c r="E272" s="7"/>
      <c r="F272" s="6"/>
      <c r="G272" s="6"/>
      <c r="H272" s="6"/>
      <c r="I272" s="6"/>
      <c r="J272" s="6"/>
      <c r="K272" s="6"/>
      <c r="L272" s="6"/>
      <c r="M272" s="6"/>
      <c r="N272" s="8"/>
      <c r="O272" s="8"/>
      <c r="P272" s="8"/>
      <c r="Q272" s="8"/>
      <c r="R272" s="9"/>
      <c r="S272" s="10"/>
    </row>
    <row r="273" spans="1:19" ht="14.25" customHeight="1" x14ac:dyDescent="0.35">
      <c r="A273" s="6"/>
      <c r="B273" s="6"/>
      <c r="C273" s="6"/>
      <c r="D273" s="6"/>
      <c r="E273" s="7"/>
      <c r="F273" s="6"/>
      <c r="G273" s="6"/>
      <c r="H273" s="6"/>
      <c r="I273" s="6"/>
      <c r="J273" s="6"/>
      <c r="K273" s="6"/>
      <c r="L273" s="6"/>
      <c r="M273" s="6"/>
      <c r="N273" s="8"/>
      <c r="O273" s="8"/>
      <c r="P273" s="8"/>
      <c r="Q273" s="8"/>
      <c r="R273" s="9"/>
      <c r="S273" s="10"/>
    </row>
    <row r="274" spans="1:19" ht="14.25" customHeight="1" x14ac:dyDescent="0.35">
      <c r="A274" s="6"/>
      <c r="B274" s="6"/>
      <c r="C274" s="6"/>
      <c r="D274" s="6"/>
      <c r="E274" s="7"/>
      <c r="F274" s="6"/>
      <c r="G274" s="6"/>
      <c r="H274" s="6"/>
      <c r="I274" s="6"/>
      <c r="J274" s="6"/>
      <c r="K274" s="6"/>
      <c r="L274" s="6"/>
      <c r="M274" s="6"/>
      <c r="N274" s="8"/>
      <c r="O274" s="8"/>
      <c r="P274" s="8"/>
      <c r="Q274" s="8"/>
      <c r="R274" s="9"/>
      <c r="S274" s="10"/>
    </row>
    <row r="275" spans="1:19" ht="14.25" customHeight="1" x14ac:dyDescent="0.35">
      <c r="A275" s="6"/>
      <c r="B275" s="6"/>
      <c r="C275" s="6"/>
      <c r="D275" s="6"/>
      <c r="E275" s="7"/>
      <c r="F275" s="6"/>
      <c r="G275" s="6"/>
      <c r="H275" s="6"/>
      <c r="I275" s="6"/>
      <c r="J275" s="6"/>
      <c r="K275" s="6"/>
      <c r="L275" s="6"/>
      <c r="M275" s="6"/>
      <c r="N275" s="8"/>
      <c r="O275" s="8"/>
      <c r="P275" s="8"/>
      <c r="Q275" s="8"/>
      <c r="R275" s="9"/>
      <c r="S275" s="10"/>
    </row>
    <row r="276" spans="1:19" ht="14.25" customHeight="1" x14ac:dyDescent="0.35">
      <c r="A276" s="6"/>
      <c r="B276" s="6"/>
      <c r="C276" s="6"/>
      <c r="D276" s="6"/>
      <c r="E276" s="7"/>
      <c r="F276" s="6"/>
      <c r="G276" s="6"/>
      <c r="H276" s="6"/>
      <c r="I276" s="6"/>
      <c r="J276" s="6"/>
      <c r="K276" s="6"/>
      <c r="L276" s="6"/>
      <c r="M276" s="6"/>
      <c r="N276" s="8"/>
      <c r="O276" s="8"/>
      <c r="P276" s="8"/>
      <c r="Q276" s="8"/>
      <c r="R276" s="9"/>
      <c r="S276" s="10"/>
    </row>
    <row r="277" spans="1:19" ht="14.25" customHeight="1" x14ac:dyDescent="0.35">
      <c r="A277" s="6"/>
      <c r="B277" s="6"/>
      <c r="C277" s="6"/>
      <c r="D277" s="6"/>
      <c r="E277" s="7"/>
      <c r="F277" s="6"/>
      <c r="G277" s="6"/>
      <c r="H277" s="6"/>
      <c r="I277" s="6"/>
      <c r="J277" s="6"/>
      <c r="K277" s="6"/>
      <c r="L277" s="6"/>
      <c r="M277" s="6"/>
      <c r="N277" s="8"/>
      <c r="O277" s="8"/>
      <c r="P277" s="8"/>
      <c r="Q277" s="8"/>
      <c r="R277" s="9"/>
      <c r="S277" s="10"/>
    </row>
    <row r="278" spans="1:19" ht="14.25" customHeight="1" x14ac:dyDescent="0.35">
      <c r="A278" s="6"/>
      <c r="B278" s="6"/>
      <c r="C278" s="6"/>
      <c r="D278" s="6"/>
      <c r="E278" s="7"/>
      <c r="F278" s="6"/>
      <c r="G278" s="6"/>
      <c r="H278" s="6"/>
      <c r="I278" s="6"/>
      <c r="J278" s="6"/>
      <c r="K278" s="6"/>
      <c r="L278" s="6"/>
      <c r="M278" s="6"/>
      <c r="N278" s="8"/>
      <c r="O278" s="8"/>
      <c r="P278" s="8"/>
      <c r="Q278" s="8"/>
      <c r="R278" s="9"/>
      <c r="S278" s="10"/>
    </row>
    <row r="279" spans="1:19" ht="14.25" customHeight="1" x14ac:dyDescent="0.35">
      <c r="A279" s="6"/>
      <c r="B279" s="6"/>
      <c r="C279" s="6"/>
      <c r="D279" s="6"/>
      <c r="E279" s="7"/>
      <c r="F279" s="6"/>
      <c r="G279" s="6"/>
      <c r="H279" s="6"/>
      <c r="I279" s="6"/>
      <c r="J279" s="6"/>
      <c r="K279" s="6"/>
      <c r="L279" s="6"/>
      <c r="M279" s="6"/>
      <c r="N279" s="8"/>
      <c r="O279" s="8"/>
      <c r="P279" s="8"/>
      <c r="Q279" s="8"/>
      <c r="R279" s="9"/>
      <c r="S279" s="10"/>
    </row>
    <row r="280" spans="1:19" ht="14.25" customHeight="1" x14ac:dyDescent="0.35">
      <c r="A280" s="6"/>
      <c r="B280" s="6"/>
      <c r="C280" s="6"/>
      <c r="D280" s="6"/>
      <c r="E280" s="7"/>
      <c r="F280" s="6"/>
      <c r="G280" s="6"/>
      <c r="H280" s="6"/>
      <c r="I280" s="6"/>
      <c r="J280" s="6"/>
      <c r="K280" s="6"/>
      <c r="L280" s="6"/>
      <c r="M280" s="6"/>
      <c r="N280" s="8"/>
      <c r="O280" s="8"/>
      <c r="P280" s="8"/>
      <c r="Q280" s="8"/>
      <c r="R280" s="9"/>
      <c r="S280" s="10"/>
    </row>
    <row r="281" spans="1:19" ht="14.25" customHeight="1" x14ac:dyDescent="0.35">
      <c r="A281" s="6"/>
      <c r="B281" s="6"/>
      <c r="C281" s="6"/>
      <c r="D281" s="6"/>
      <c r="E281" s="7"/>
      <c r="F281" s="6"/>
      <c r="G281" s="6"/>
      <c r="H281" s="6"/>
      <c r="I281" s="6"/>
      <c r="J281" s="6"/>
      <c r="K281" s="6"/>
      <c r="L281" s="6"/>
      <c r="M281" s="6"/>
      <c r="N281" s="8"/>
      <c r="O281" s="8"/>
      <c r="P281" s="8"/>
      <c r="Q281" s="8"/>
      <c r="R281" s="9"/>
      <c r="S281" s="10"/>
    </row>
    <row r="282" spans="1:19" ht="14.25" customHeight="1" x14ac:dyDescent="0.35">
      <c r="A282" s="6"/>
      <c r="B282" s="6"/>
      <c r="C282" s="6"/>
      <c r="D282" s="6"/>
      <c r="E282" s="7"/>
      <c r="F282" s="6"/>
      <c r="G282" s="6"/>
      <c r="H282" s="6"/>
      <c r="I282" s="6"/>
      <c r="J282" s="6"/>
      <c r="K282" s="6"/>
      <c r="L282" s="6"/>
      <c r="M282" s="6"/>
      <c r="N282" s="8"/>
      <c r="O282" s="8"/>
      <c r="P282" s="8"/>
      <c r="Q282" s="8"/>
      <c r="R282" s="9"/>
      <c r="S282" s="10"/>
    </row>
    <row r="283" spans="1:19" ht="14.25" customHeight="1" x14ac:dyDescent="0.35">
      <c r="A283" s="6"/>
      <c r="B283" s="6"/>
      <c r="C283" s="6"/>
      <c r="D283" s="6"/>
      <c r="E283" s="7"/>
      <c r="F283" s="6"/>
      <c r="G283" s="6"/>
      <c r="H283" s="6"/>
      <c r="I283" s="6"/>
      <c r="J283" s="6"/>
      <c r="K283" s="6"/>
      <c r="L283" s="6"/>
      <c r="M283" s="6"/>
      <c r="N283" s="8"/>
      <c r="O283" s="8"/>
      <c r="P283" s="8"/>
      <c r="Q283" s="8"/>
      <c r="R283" s="9"/>
      <c r="S283" s="10"/>
    </row>
    <row r="284" spans="1:19" ht="14.25" customHeight="1" x14ac:dyDescent="0.35">
      <c r="A284" s="6"/>
      <c r="B284" s="6"/>
      <c r="C284" s="6"/>
      <c r="D284" s="6"/>
      <c r="E284" s="7"/>
      <c r="F284" s="6"/>
      <c r="G284" s="6"/>
      <c r="H284" s="6"/>
      <c r="I284" s="6"/>
      <c r="J284" s="6"/>
      <c r="K284" s="6"/>
      <c r="L284" s="6"/>
      <c r="M284" s="6"/>
      <c r="N284" s="8"/>
      <c r="O284" s="8"/>
      <c r="P284" s="8"/>
      <c r="Q284" s="8"/>
      <c r="R284" s="9"/>
      <c r="S284" s="10"/>
    </row>
    <row r="285" spans="1:19" ht="14.25" customHeight="1" x14ac:dyDescent="0.35">
      <c r="A285" s="6"/>
      <c r="B285" s="6"/>
      <c r="C285" s="6"/>
      <c r="D285" s="6"/>
      <c r="E285" s="7"/>
      <c r="F285" s="6"/>
      <c r="G285" s="6"/>
      <c r="H285" s="6"/>
      <c r="I285" s="6"/>
      <c r="J285" s="6"/>
      <c r="K285" s="6"/>
      <c r="L285" s="6"/>
      <c r="M285" s="6"/>
      <c r="N285" s="8"/>
      <c r="O285" s="8"/>
      <c r="P285" s="8"/>
      <c r="Q285" s="8"/>
      <c r="R285" s="9"/>
      <c r="S285" s="10"/>
    </row>
    <row r="286" spans="1:19" ht="14.25" customHeight="1" x14ac:dyDescent="0.35">
      <c r="A286" s="6"/>
      <c r="B286" s="6"/>
      <c r="C286" s="6"/>
      <c r="D286" s="6"/>
      <c r="E286" s="7"/>
      <c r="F286" s="6"/>
      <c r="G286" s="6"/>
      <c r="H286" s="6"/>
      <c r="I286" s="6"/>
      <c r="J286" s="6"/>
      <c r="K286" s="6"/>
      <c r="L286" s="6"/>
      <c r="M286" s="6"/>
      <c r="N286" s="8"/>
      <c r="O286" s="8"/>
      <c r="P286" s="8"/>
      <c r="Q286" s="8"/>
      <c r="R286" s="9"/>
      <c r="S286" s="10"/>
    </row>
    <row r="287" spans="1:19" ht="14.25" customHeight="1" x14ac:dyDescent="0.35">
      <c r="A287" s="6"/>
      <c r="B287" s="6"/>
      <c r="C287" s="6"/>
      <c r="D287" s="6"/>
      <c r="E287" s="7"/>
      <c r="F287" s="6"/>
      <c r="G287" s="6"/>
      <c r="H287" s="6"/>
      <c r="I287" s="6"/>
      <c r="J287" s="6"/>
      <c r="K287" s="6"/>
      <c r="L287" s="6"/>
      <c r="M287" s="6"/>
      <c r="N287" s="8"/>
      <c r="O287" s="8"/>
      <c r="P287" s="8"/>
      <c r="Q287" s="8"/>
      <c r="R287" s="9"/>
      <c r="S287" s="10"/>
    </row>
    <row r="288" spans="1:19" ht="14.25" customHeight="1" x14ac:dyDescent="0.35">
      <c r="A288" s="6"/>
      <c r="B288" s="6"/>
      <c r="C288" s="6"/>
      <c r="D288" s="6"/>
      <c r="E288" s="7"/>
      <c r="F288" s="6"/>
      <c r="G288" s="6"/>
      <c r="H288" s="6"/>
      <c r="I288" s="6"/>
      <c r="J288" s="6"/>
      <c r="K288" s="6"/>
      <c r="L288" s="6"/>
      <c r="M288" s="6"/>
      <c r="N288" s="8"/>
      <c r="O288" s="8"/>
      <c r="P288" s="8"/>
      <c r="Q288" s="8"/>
      <c r="R288" s="9"/>
      <c r="S288" s="10"/>
    </row>
    <row r="289" spans="1:19" ht="14.25" customHeight="1" x14ac:dyDescent="0.35">
      <c r="A289" s="6"/>
      <c r="B289" s="6"/>
      <c r="C289" s="6"/>
      <c r="D289" s="6"/>
      <c r="E289" s="7"/>
      <c r="F289" s="6"/>
      <c r="G289" s="6"/>
      <c r="H289" s="6"/>
      <c r="I289" s="6"/>
      <c r="J289" s="6"/>
      <c r="K289" s="6"/>
      <c r="L289" s="6"/>
      <c r="M289" s="6"/>
      <c r="N289" s="8"/>
      <c r="O289" s="8"/>
      <c r="P289" s="8"/>
      <c r="Q289" s="8"/>
      <c r="R289" s="9"/>
      <c r="S289" s="10"/>
    </row>
    <row r="290" spans="1:19" ht="14.25" customHeight="1" x14ac:dyDescent="0.35">
      <c r="A290" s="6"/>
      <c r="B290" s="6"/>
      <c r="C290" s="6"/>
      <c r="D290" s="6"/>
      <c r="E290" s="7"/>
      <c r="F290" s="6"/>
      <c r="G290" s="6"/>
      <c r="H290" s="6"/>
      <c r="I290" s="6"/>
      <c r="J290" s="6"/>
      <c r="K290" s="6"/>
      <c r="L290" s="6"/>
      <c r="M290" s="6"/>
      <c r="N290" s="8"/>
      <c r="O290" s="8"/>
      <c r="P290" s="8"/>
      <c r="Q290" s="8"/>
      <c r="R290" s="9"/>
      <c r="S290" s="10"/>
    </row>
    <row r="291" spans="1:19" ht="14.25" customHeight="1" x14ac:dyDescent="0.35">
      <c r="A291" s="6"/>
      <c r="B291" s="6"/>
      <c r="C291" s="6"/>
      <c r="D291" s="6"/>
      <c r="E291" s="7"/>
      <c r="F291" s="6"/>
      <c r="G291" s="6"/>
      <c r="H291" s="6"/>
      <c r="I291" s="6"/>
      <c r="J291" s="6"/>
      <c r="K291" s="6"/>
      <c r="L291" s="6"/>
      <c r="M291" s="6"/>
      <c r="N291" s="8"/>
      <c r="O291" s="8"/>
      <c r="P291" s="8"/>
      <c r="Q291" s="8"/>
      <c r="R291" s="9"/>
      <c r="S291" s="10"/>
    </row>
    <row r="292" spans="1:19" ht="14.25" customHeight="1" x14ac:dyDescent="0.35">
      <c r="A292" s="6"/>
      <c r="B292" s="6"/>
      <c r="C292" s="6"/>
      <c r="D292" s="6"/>
      <c r="E292" s="7"/>
      <c r="F292" s="6"/>
      <c r="G292" s="6"/>
      <c r="H292" s="6"/>
      <c r="I292" s="6"/>
      <c r="J292" s="6"/>
      <c r="K292" s="6"/>
      <c r="L292" s="6"/>
      <c r="M292" s="6"/>
      <c r="N292" s="8"/>
      <c r="O292" s="8"/>
      <c r="P292" s="8"/>
      <c r="Q292" s="8"/>
      <c r="R292" s="9"/>
      <c r="S292" s="10"/>
    </row>
    <row r="293" spans="1:19" ht="14.25" customHeight="1" x14ac:dyDescent="0.35">
      <c r="A293" s="6"/>
      <c r="B293" s="6"/>
      <c r="C293" s="6"/>
      <c r="D293" s="6"/>
      <c r="E293" s="7"/>
      <c r="F293" s="6"/>
      <c r="G293" s="6"/>
      <c r="H293" s="6"/>
      <c r="I293" s="6"/>
      <c r="J293" s="6"/>
      <c r="K293" s="6"/>
      <c r="L293" s="6"/>
      <c r="M293" s="6"/>
      <c r="N293" s="8"/>
      <c r="O293" s="8"/>
      <c r="P293" s="8"/>
      <c r="Q293" s="8"/>
      <c r="R293" s="9"/>
      <c r="S293" s="10"/>
    </row>
    <row r="294" spans="1:19" ht="14.25" customHeight="1" x14ac:dyDescent="0.35">
      <c r="A294" s="6"/>
      <c r="B294" s="6"/>
      <c r="C294" s="6"/>
      <c r="D294" s="6"/>
      <c r="E294" s="7"/>
      <c r="F294" s="6"/>
      <c r="G294" s="6"/>
      <c r="H294" s="6"/>
      <c r="I294" s="6"/>
      <c r="J294" s="6"/>
      <c r="K294" s="6"/>
      <c r="L294" s="6"/>
      <c r="M294" s="6"/>
      <c r="N294" s="8"/>
      <c r="O294" s="8"/>
      <c r="P294" s="8"/>
      <c r="Q294" s="8"/>
      <c r="R294" s="9"/>
      <c r="S294" s="10"/>
    </row>
    <row r="295" spans="1:19" ht="14.25" customHeight="1" x14ac:dyDescent="0.35">
      <c r="A295" s="6"/>
      <c r="B295" s="6"/>
      <c r="C295" s="6"/>
      <c r="D295" s="6"/>
      <c r="E295" s="7"/>
      <c r="F295" s="6"/>
      <c r="G295" s="6"/>
      <c r="H295" s="6"/>
      <c r="I295" s="6"/>
      <c r="J295" s="6"/>
      <c r="K295" s="6"/>
      <c r="L295" s="6"/>
      <c r="M295" s="6"/>
      <c r="N295" s="8"/>
      <c r="O295" s="8"/>
      <c r="P295" s="8"/>
      <c r="Q295" s="8"/>
      <c r="R295" s="9"/>
      <c r="S295" s="10"/>
    </row>
    <row r="296" spans="1:19" ht="14.25" customHeight="1" x14ac:dyDescent="0.35">
      <c r="A296" s="6"/>
      <c r="B296" s="6"/>
      <c r="C296" s="6"/>
      <c r="D296" s="6"/>
      <c r="E296" s="7"/>
      <c r="F296" s="6"/>
      <c r="G296" s="6"/>
      <c r="H296" s="6"/>
      <c r="I296" s="6"/>
      <c r="J296" s="6"/>
      <c r="K296" s="6"/>
      <c r="L296" s="6"/>
      <c r="M296" s="6"/>
      <c r="N296" s="8"/>
      <c r="O296" s="8"/>
      <c r="P296" s="8"/>
      <c r="Q296" s="8"/>
      <c r="R296" s="9"/>
      <c r="S296" s="10"/>
    </row>
    <row r="297" spans="1:19" ht="14.25" customHeight="1" x14ac:dyDescent="0.35">
      <c r="A297" s="6"/>
      <c r="B297" s="6"/>
      <c r="C297" s="6"/>
      <c r="D297" s="6"/>
      <c r="E297" s="7"/>
      <c r="F297" s="6"/>
      <c r="G297" s="6"/>
      <c r="H297" s="6"/>
      <c r="I297" s="6"/>
      <c r="J297" s="6"/>
      <c r="K297" s="6"/>
      <c r="L297" s="6"/>
      <c r="M297" s="6"/>
      <c r="N297" s="8"/>
      <c r="O297" s="8"/>
      <c r="P297" s="8"/>
      <c r="Q297" s="8"/>
      <c r="R297" s="9"/>
      <c r="S297" s="10"/>
    </row>
    <row r="298" spans="1:19" ht="14.25" customHeight="1" x14ac:dyDescent="0.35">
      <c r="A298" s="6"/>
      <c r="B298" s="6"/>
      <c r="C298" s="6"/>
      <c r="D298" s="6"/>
      <c r="E298" s="7"/>
      <c r="F298" s="6"/>
      <c r="G298" s="6"/>
      <c r="H298" s="6"/>
      <c r="I298" s="6"/>
      <c r="J298" s="6"/>
      <c r="K298" s="6"/>
      <c r="L298" s="6"/>
      <c r="M298" s="6"/>
      <c r="N298" s="8"/>
      <c r="O298" s="8"/>
      <c r="P298" s="8"/>
      <c r="Q298" s="8"/>
      <c r="R298" s="9"/>
      <c r="S298" s="10"/>
    </row>
    <row r="299" spans="1:19" ht="14.25" customHeight="1" x14ac:dyDescent="0.35">
      <c r="A299" s="6"/>
      <c r="B299" s="6"/>
      <c r="C299" s="6"/>
      <c r="D299" s="6"/>
      <c r="E299" s="7"/>
      <c r="F299" s="6"/>
      <c r="G299" s="6"/>
      <c r="H299" s="6"/>
      <c r="I299" s="6"/>
      <c r="J299" s="6"/>
      <c r="K299" s="6"/>
      <c r="L299" s="6"/>
      <c r="M299" s="6"/>
      <c r="N299" s="8"/>
      <c r="O299" s="8"/>
      <c r="P299" s="8"/>
      <c r="Q299" s="8"/>
      <c r="R299" s="9"/>
      <c r="S299" s="10"/>
    </row>
    <row r="300" spans="1:19" ht="14.25" customHeight="1" x14ac:dyDescent="0.35">
      <c r="A300" s="6"/>
      <c r="B300" s="6"/>
      <c r="C300" s="6"/>
      <c r="D300" s="6"/>
      <c r="E300" s="7"/>
      <c r="F300" s="6"/>
      <c r="G300" s="6"/>
      <c r="H300" s="6"/>
      <c r="I300" s="6"/>
      <c r="J300" s="6"/>
      <c r="K300" s="6"/>
      <c r="L300" s="6"/>
      <c r="M300" s="6"/>
      <c r="N300" s="8"/>
      <c r="O300" s="8"/>
      <c r="P300" s="8"/>
      <c r="Q300" s="8"/>
      <c r="R300" s="9"/>
      <c r="S300" s="10"/>
    </row>
    <row r="301" spans="1:19" ht="14.25" customHeight="1" x14ac:dyDescent="0.35">
      <c r="A301" s="6"/>
      <c r="B301" s="6"/>
      <c r="C301" s="6"/>
      <c r="D301" s="6"/>
      <c r="E301" s="7"/>
      <c r="F301" s="6"/>
      <c r="G301" s="6"/>
      <c r="H301" s="6"/>
      <c r="I301" s="6"/>
      <c r="J301" s="6"/>
      <c r="K301" s="6"/>
      <c r="L301" s="6"/>
      <c r="M301" s="6"/>
      <c r="N301" s="8"/>
      <c r="O301" s="8"/>
      <c r="P301" s="8"/>
      <c r="Q301" s="8"/>
      <c r="R301" s="9"/>
      <c r="S301" s="10"/>
    </row>
    <row r="302" spans="1:19" ht="14.25" customHeight="1" x14ac:dyDescent="0.35">
      <c r="A302" s="6"/>
      <c r="B302" s="6"/>
      <c r="C302" s="6"/>
      <c r="D302" s="6"/>
      <c r="E302" s="7"/>
      <c r="F302" s="6"/>
      <c r="G302" s="6"/>
      <c r="H302" s="6"/>
      <c r="I302" s="6"/>
      <c r="J302" s="6"/>
      <c r="K302" s="6"/>
      <c r="L302" s="6"/>
      <c r="M302" s="6"/>
      <c r="N302" s="8"/>
      <c r="O302" s="8"/>
      <c r="P302" s="8"/>
      <c r="Q302" s="8"/>
      <c r="R302" s="9"/>
      <c r="S302" s="10"/>
    </row>
    <row r="303" spans="1:19" ht="14.25" customHeight="1" x14ac:dyDescent="0.35">
      <c r="A303" s="6"/>
      <c r="B303" s="6"/>
      <c r="C303" s="6"/>
      <c r="D303" s="6"/>
      <c r="E303" s="7"/>
      <c r="F303" s="6"/>
      <c r="G303" s="6"/>
      <c r="H303" s="6"/>
      <c r="I303" s="6"/>
      <c r="J303" s="6"/>
      <c r="K303" s="6"/>
      <c r="L303" s="6"/>
      <c r="M303" s="6"/>
      <c r="N303" s="8"/>
      <c r="O303" s="8"/>
      <c r="P303" s="8"/>
      <c r="Q303" s="8"/>
      <c r="R303" s="9"/>
      <c r="S303" s="10"/>
    </row>
    <row r="304" spans="1:19" ht="14.25" customHeight="1" x14ac:dyDescent="0.35">
      <c r="A304" s="6"/>
      <c r="B304" s="6"/>
      <c r="C304" s="6"/>
      <c r="D304" s="6"/>
      <c r="E304" s="7"/>
      <c r="F304" s="6"/>
      <c r="G304" s="6"/>
      <c r="H304" s="6"/>
      <c r="I304" s="6"/>
      <c r="J304" s="6"/>
      <c r="K304" s="6"/>
      <c r="L304" s="6"/>
      <c r="M304" s="6"/>
      <c r="N304" s="8"/>
      <c r="O304" s="8"/>
      <c r="P304" s="8"/>
      <c r="Q304" s="8"/>
      <c r="R304" s="9"/>
      <c r="S304" s="10"/>
    </row>
    <row r="305" spans="1:19" ht="14.25" customHeight="1" x14ac:dyDescent="0.35">
      <c r="A305" s="6"/>
      <c r="B305" s="6"/>
      <c r="C305" s="6"/>
      <c r="D305" s="6"/>
      <c r="E305" s="7"/>
      <c r="F305" s="6"/>
      <c r="G305" s="6"/>
      <c r="H305" s="6"/>
      <c r="I305" s="6"/>
      <c r="J305" s="6"/>
      <c r="K305" s="6"/>
      <c r="L305" s="6"/>
      <c r="M305" s="6"/>
      <c r="N305" s="8"/>
      <c r="O305" s="8"/>
      <c r="P305" s="8"/>
      <c r="Q305" s="8"/>
      <c r="R305" s="9"/>
      <c r="S305" s="10"/>
    </row>
    <row r="306" spans="1:19" ht="14.25" customHeight="1" x14ac:dyDescent="0.35">
      <c r="A306" s="6"/>
      <c r="B306" s="6"/>
      <c r="C306" s="6"/>
      <c r="D306" s="6"/>
      <c r="E306" s="7"/>
      <c r="F306" s="6"/>
      <c r="G306" s="6"/>
      <c r="H306" s="6"/>
      <c r="I306" s="6"/>
      <c r="J306" s="6"/>
      <c r="K306" s="6"/>
      <c r="L306" s="6"/>
      <c r="M306" s="6"/>
      <c r="N306" s="8"/>
      <c r="O306" s="8"/>
      <c r="P306" s="8"/>
      <c r="Q306" s="8"/>
      <c r="R306" s="9"/>
      <c r="S306" s="10"/>
    </row>
    <row r="307" spans="1:19" ht="14.25" customHeight="1" x14ac:dyDescent="0.35">
      <c r="A307" s="6"/>
      <c r="B307" s="6"/>
      <c r="C307" s="6"/>
      <c r="D307" s="6"/>
      <c r="E307" s="7"/>
      <c r="F307" s="6"/>
      <c r="G307" s="6"/>
      <c r="H307" s="6"/>
      <c r="I307" s="6"/>
      <c r="J307" s="6"/>
      <c r="K307" s="6"/>
      <c r="L307" s="6"/>
      <c r="M307" s="6"/>
      <c r="N307" s="8"/>
      <c r="O307" s="8"/>
      <c r="P307" s="8"/>
      <c r="Q307" s="8"/>
      <c r="R307" s="9"/>
      <c r="S307" s="10"/>
    </row>
    <row r="308" spans="1:19" ht="14.25" customHeight="1" x14ac:dyDescent="0.35">
      <c r="A308" s="6"/>
      <c r="B308" s="6"/>
      <c r="C308" s="6"/>
      <c r="D308" s="6"/>
      <c r="E308" s="7"/>
      <c r="F308" s="6"/>
      <c r="G308" s="6"/>
      <c r="H308" s="6"/>
      <c r="I308" s="6"/>
      <c r="J308" s="6"/>
      <c r="K308" s="6"/>
      <c r="L308" s="6"/>
      <c r="M308" s="6"/>
      <c r="N308" s="8"/>
      <c r="O308" s="8"/>
      <c r="P308" s="8"/>
      <c r="Q308" s="8"/>
      <c r="R308" s="9"/>
      <c r="S308" s="10"/>
    </row>
    <row r="309" spans="1:19" ht="14.25" customHeight="1" x14ac:dyDescent="0.35">
      <c r="A309" s="6"/>
      <c r="B309" s="6"/>
      <c r="C309" s="6"/>
      <c r="D309" s="6"/>
      <c r="E309" s="7"/>
      <c r="F309" s="6"/>
      <c r="G309" s="6"/>
      <c r="H309" s="6"/>
      <c r="I309" s="6"/>
      <c r="J309" s="6"/>
      <c r="K309" s="6"/>
      <c r="L309" s="6"/>
      <c r="M309" s="6"/>
      <c r="N309" s="8"/>
      <c r="O309" s="8"/>
      <c r="P309" s="8"/>
      <c r="Q309" s="8"/>
      <c r="R309" s="9"/>
      <c r="S309" s="10"/>
    </row>
    <row r="310" spans="1:19" ht="14.25" customHeight="1" x14ac:dyDescent="0.35">
      <c r="A310" s="6"/>
      <c r="B310" s="6"/>
      <c r="C310" s="6"/>
      <c r="D310" s="6"/>
      <c r="E310" s="7"/>
      <c r="F310" s="6"/>
      <c r="G310" s="6"/>
      <c r="H310" s="6"/>
      <c r="I310" s="6"/>
      <c r="J310" s="6"/>
      <c r="K310" s="6"/>
      <c r="L310" s="6"/>
      <c r="M310" s="6"/>
      <c r="N310" s="8"/>
      <c r="O310" s="8"/>
      <c r="P310" s="8"/>
      <c r="Q310" s="8"/>
      <c r="R310" s="9"/>
      <c r="S310" s="10"/>
    </row>
    <row r="311" spans="1:19" ht="14.25" customHeight="1" x14ac:dyDescent="0.35">
      <c r="A311" s="6"/>
      <c r="B311" s="6"/>
      <c r="C311" s="6"/>
      <c r="D311" s="6"/>
      <c r="E311" s="7"/>
      <c r="F311" s="6"/>
      <c r="G311" s="6"/>
      <c r="H311" s="6"/>
      <c r="I311" s="6"/>
      <c r="J311" s="6"/>
      <c r="K311" s="6"/>
      <c r="L311" s="6"/>
      <c r="M311" s="6"/>
      <c r="N311" s="8"/>
      <c r="O311" s="8"/>
      <c r="P311" s="8"/>
      <c r="Q311" s="8"/>
      <c r="R311" s="9"/>
      <c r="S311" s="10"/>
    </row>
    <row r="312" spans="1:19" ht="14.25" customHeight="1" x14ac:dyDescent="0.35">
      <c r="A312" s="6"/>
      <c r="B312" s="6"/>
      <c r="C312" s="6"/>
      <c r="D312" s="6"/>
      <c r="E312" s="7"/>
      <c r="F312" s="6"/>
      <c r="G312" s="6"/>
      <c r="H312" s="6"/>
      <c r="I312" s="6"/>
      <c r="J312" s="6"/>
      <c r="K312" s="6"/>
      <c r="L312" s="6"/>
      <c r="M312" s="6"/>
      <c r="N312" s="8"/>
      <c r="O312" s="8"/>
      <c r="P312" s="8"/>
      <c r="Q312" s="8"/>
      <c r="R312" s="9"/>
      <c r="S312" s="10"/>
    </row>
    <row r="313" spans="1:19" ht="14.25" customHeight="1" x14ac:dyDescent="0.35">
      <c r="A313" s="6"/>
      <c r="B313" s="6"/>
      <c r="C313" s="6"/>
      <c r="D313" s="6"/>
      <c r="E313" s="7"/>
      <c r="F313" s="6"/>
      <c r="G313" s="6"/>
      <c r="H313" s="6"/>
      <c r="I313" s="6"/>
      <c r="J313" s="6"/>
      <c r="K313" s="6"/>
      <c r="L313" s="6"/>
      <c r="M313" s="6"/>
      <c r="N313" s="8"/>
      <c r="O313" s="8"/>
      <c r="P313" s="8"/>
      <c r="Q313" s="8"/>
      <c r="R313" s="9"/>
      <c r="S313" s="10"/>
    </row>
    <row r="314" spans="1:19" ht="14.25" customHeight="1" x14ac:dyDescent="0.35">
      <c r="A314" s="6"/>
      <c r="B314" s="6"/>
      <c r="C314" s="6"/>
      <c r="D314" s="6"/>
      <c r="E314" s="7"/>
      <c r="F314" s="6"/>
      <c r="G314" s="6"/>
      <c r="H314" s="6"/>
      <c r="I314" s="6"/>
      <c r="J314" s="6"/>
      <c r="K314" s="6"/>
      <c r="L314" s="6"/>
      <c r="M314" s="6"/>
      <c r="N314" s="8"/>
      <c r="O314" s="8"/>
      <c r="P314" s="8"/>
      <c r="Q314" s="8"/>
      <c r="R314" s="9"/>
      <c r="S314" s="10"/>
    </row>
    <row r="315" spans="1:19" ht="14.25" customHeight="1" x14ac:dyDescent="0.35">
      <c r="A315" s="6"/>
      <c r="B315" s="6"/>
      <c r="C315" s="6"/>
      <c r="D315" s="6"/>
      <c r="E315" s="7"/>
      <c r="F315" s="6"/>
      <c r="G315" s="6"/>
      <c r="H315" s="6"/>
      <c r="I315" s="6"/>
      <c r="J315" s="6"/>
      <c r="K315" s="6"/>
      <c r="L315" s="6"/>
      <c r="M315" s="6"/>
      <c r="N315" s="8"/>
      <c r="O315" s="8"/>
      <c r="P315" s="8"/>
      <c r="Q315" s="8"/>
      <c r="R315" s="9"/>
      <c r="S315" s="10"/>
    </row>
    <row r="316" spans="1:19" ht="14.25" customHeight="1" x14ac:dyDescent="0.35">
      <c r="A316" s="6"/>
      <c r="B316" s="6"/>
      <c r="C316" s="6"/>
      <c r="D316" s="6"/>
      <c r="E316" s="7"/>
      <c r="F316" s="6"/>
      <c r="G316" s="6"/>
      <c r="H316" s="6"/>
      <c r="I316" s="6"/>
      <c r="J316" s="6"/>
      <c r="K316" s="6"/>
      <c r="L316" s="6"/>
      <c r="M316" s="6"/>
      <c r="N316" s="8"/>
      <c r="O316" s="8"/>
      <c r="P316" s="8"/>
      <c r="Q316" s="8"/>
      <c r="R316" s="9"/>
      <c r="S316" s="10"/>
    </row>
    <row r="317" spans="1:19" ht="14.25" customHeight="1" x14ac:dyDescent="0.35">
      <c r="A317" s="6"/>
      <c r="B317" s="6"/>
      <c r="C317" s="6"/>
      <c r="D317" s="6"/>
      <c r="E317" s="7"/>
      <c r="F317" s="6"/>
      <c r="G317" s="6"/>
      <c r="H317" s="6"/>
      <c r="I317" s="6"/>
      <c r="J317" s="6"/>
      <c r="K317" s="6"/>
      <c r="L317" s="6"/>
      <c r="M317" s="6"/>
      <c r="N317" s="8"/>
      <c r="O317" s="8"/>
      <c r="P317" s="8"/>
      <c r="Q317" s="8"/>
      <c r="R317" s="9"/>
      <c r="S317" s="10"/>
    </row>
    <row r="318" spans="1:19" ht="14.25" customHeight="1" x14ac:dyDescent="0.35">
      <c r="A318" s="6"/>
      <c r="B318" s="6"/>
      <c r="C318" s="6"/>
      <c r="D318" s="6"/>
      <c r="E318" s="7"/>
      <c r="F318" s="6"/>
      <c r="G318" s="6"/>
      <c r="H318" s="6"/>
      <c r="I318" s="6"/>
      <c r="J318" s="6"/>
      <c r="K318" s="6"/>
      <c r="L318" s="6"/>
      <c r="M318" s="6"/>
      <c r="N318" s="8"/>
      <c r="O318" s="8"/>
      <c r="P318" s="8"/>
      <c r="Q318" s="8"/>
      <c r="R318" s="9"/>
      <c r="S318" s="10"/>
    </row>
    <row r="319" spans="1:19" ht="14.25" customHeight="1" x14ac:dyDescent="0.35">
      <c r="A319" s="6"/>
      <c r="B319" s="6"/>
      <c r="C319" s="6"/>
      <c r="D319" s="6"/>
      <c r="E319" s="7"/>
      <c r="F319" s="6"/>
      <c r="G319" s="6"/>
      <c r="H319" s="6"/>
      <c r="I319" s="6"/>
      <c r="J319" s="6"/>
      <c r="K319" s="6"/>
      <c r="L319" s="6"/>
      <c r="M319" s="6"/>
      <c r="N319" s="8"/>
      <c r="O319" s="8"/>
      <c r="P319" s="8"/>
      <c r="Q319" s="8"/>
      <c r="R319" s="9"/>
      <c r="S319" s="10"/>
    </row>
    <row r="320" spans="1:19" ht="14.25" customHeight="1" x14ac:dyDescent="0.35">
      <c r="A320" s="6"/>
      <c r="B320" s="6"/>
      <c r="C320" s="6"/>
      <c r="D320" s="6"/>
      <c r="E320" s="7"/>
      <c r="F320" s="6"/>
      <c r="G320" s="6"/>
      <c r="H320" s="6"/>
      <c r="I320" s="6"/>
      <c r="J320" s="6"/>
      <c r="K320" s="6"/>
      <c r="L320" s="6"/>
      <c r="M320" s="6"/>
      <c r="N320" s="8"/>
      <c r="O320" s="8"/>
      <c r="P320" s="8"/>
      <c r="Q320" s="8"/>
      <c r="R320" s="9"/>
      <c r="S320" s="10"/>
    </row>
    <row r="321" spans="1:19" ht="14.25" customHeight="1" x14ac:dyDescent="0.35">
      <c r="A321" s="6"/>
      <c r="B321" s="6"/>
      <c r="C321" s="6"/>
      <c r="D321" s="6"/>
      <c r="E321" s="7"/>
      <c r="F321" s="6"/>
      <c r="G321" s="6"/>
      <c r="H321" s="6"/>
      <c r="I321" s="6"/>
      <c r="J321" s="6"/>
      <c r="K321" s="6"/>
      <c r="L321" s="6"/>
      <c r="M321" s="6"/>
      <c r="N321" s="8"/>
      <c r="O321" s="8"/>
      <c r="P321" s="8"/>
      <c r="Q321" s="8"/>
      <c r="R321" s="9"/>
      <c r="S321" s="10"/>
    </row>
    <row r="322" spans="1:19" ht="14.25" customHeight="1" x14ac:dyDescent="0.35">
      <c r="A322" s="6"/>
      <c r="B322" s="6"/>
      <c r="C322" s="6"/>
      <c r="D322" s="6"/>
      <c r="E322" s="7"/>
      <c r="F322" s="6"/>
      <c r="G322" s="6"/>
      <c r="H322" s="6"/>
      <c r="I322" s="6"/>
      <c r="J322" s="6"/>
      <c r="K322" s="6"/>
      <c r="L322" s="6"/>
      <c r="M322" s="6"/>
      <c r="N322" s="8"/>
      <c r="O322" s="8"/>
      <c r="P322" s="8"/>
      <c r="Q322" s="8"/>
      <c r="R322" s="9"/>
      <c r="S322" s="10"/>
    </row>
    <row r="323" spans="1:19" ht="14.25" customHeight="1" x14ac:dyDescent="0.35">
      <c r="A323" s="6"/>
      <c r="B323" s="6"/>
      <c r="C323" s="6"/>
      <c r="D323" s="6"/>
      <c r="E323" s="7"/>
      <c r="F323" s="6"/>
      <c r="G323" s="6"/>
      <c r="H323" s="6"/>
      <c r="I323" s="6"/>
      <c r="J323" s="6"/>
      <c r="K323" s="6"/>
      <c r="L323" s="6"/>
      <c r="M323" s="6"/>
      <c r="N323" s="8"/>
      <c r="O323" s="8"/>
      <c r="P323" s="8"/>
      <c r="Q323" s="8"/>
      <c r="R323" s="9"/>
      <c r="S323" s="10"/>
    </row>
    <row r="324" spans="1:19" ht="14.25" customHeight="1" x14ac:dyDescent="0.35">
      <c r="A324" s="6"/>
      <c r="B324" s="6"/>
      <c r="C324" s="6"/>
      <c r="D324" s="6"/>
      <c r="E324" s="7"/>
      <c r="F324" s="6"/>
      <c r="G324" s="6"/>
      <c r="H324" s="6"/>
      <c r="I324" s="6"/>
      <c r="J324" s="6"/>
      <c r="K324" s="6"/>
      <c r="L324" s="6"/>
      <c r="M324" s="6"/>
      <c r="N324" s="8"/>
      <c r="O324" s="8"/>
      <c r="P324" s="8"/>
      <c r="Q324" s="8"/>
      <c r="R324" s="9"/>
      <c r="S324" s="10"/>
    </row>
    <row r="325" spans="1:19" ht="14.25" customHeight="1" x14ac:dyDescent="0.35">
      <c r="A325" s="6"/>
      <c r="B325" s="6"/>
      <c r="C325" s="6"/>
      <c r="D325" s="6"/>
      <c r="E325" s="7"/>
      <c r="F325" s="6"/>
      <c r="G325" s="6"/>
      <c r="H325" s="6"/>
      <c r="I325" s="6"/>
      <c r="J325" s="6"/>
      <c r="K325" s="6"/>
      <c r="L325" s="6"/>
      <c r="M325" s="6"/>
      <c r="N325" s="8"/>
      <c r="O325" s="8"/>
      <c r="P325" s="8"/>
      <c r="Q325" s="8"/>
      <c r="R325" s="9"/>
      <c r="S325" s="10"/>
    </row>
    <row r="326" spans="1:19" ht="14.25" customHeight="1" x14ac:dyDescent="0.35">
      <c r="A326" s="6"/>
      <c r="B326" s="6"/>
      <c r="C326" s="6"/>
      <c r="D326" s="6"/>
      <c r="E326" s="7"/>
      <c r="F326" s="6"/>
      <c r="G326" s="6"/>
      <c r="H326" s="6"/>
      <c r="I326" s="6"/>
      <c r="J326" s="6"/>
      <c r="K326" s="6"/>
      <c r="L326" s="6"/>
      <c r="M326" s="6"/>
      <c r="N326" s="8"/>
      <c r="O326" s="8"/>
      <c r="P326" s="8"/>
      <c r="Q326" s="8"/>
      <c r="R326" s="9"/>
      <c r="S326" s="10"/>
    </row>
    <row r="327" spans="1:19" ht="14.25" customHeight="1" x14ac:dyDescent="0.35">
      <c r="A327" s="6"/>
      <c r="B327" s="6"/>
      <c r="C327" s="6"/>
      <c r="D327" s="6"/>
      <c r="E327" s="7"/>
      <c r="F327" s="6"/>
      <c r="G327" s="6"/>
      <c r="H327" s="6"/>
      <c r="I327" s="6"/>
      <c r="J327" s="6"/>
      <c r="K327" s="6"/>
      <c r="L327" s="6"/>
      <c r="M327" s="6"/>
      <c r="N327" s="8"/>
      <c r="O327" s="8"/>
      <c r="P327" s="8"/>
      <c r="Q327" s="8"/>
      <c r="R327" s="9"/>
      <c r="S327" s="10"/>
    </row>
    <row r="328" spans="1:19" ht="14.25" customHeight="1" x14ac:dyDescent="0.35">
      <c r="A328" s="6"/>
      <c r="B328" s="6"/>
      <c r="C328" s="6"/>
      <c r="D328" s="6"/>
      <c r="E328" s="7"/>
      <c r="F328" s="6"/>
      <c r="G328" s="6"/>
      <c r="H328" s="6"/>
      <c r="I328" s="6"/>
      <c r="J328" s="6"/>
      <c r="K328" s="6"/>
      <c r="L328" s="6"/>
      <c r="M328" s="6"/>
      <c r="N328" s="8"/>
      <c r="O328" s="8"/>
      <c r="P328" s="8"/>
      <c r="Q328" s="8"/>
      <c r="R328" s="9"/>
      <c r="S328" s="10"/>
    </row>
    <row r="329" spans="1:19" ht="14.25" customHeight="1" x14ac:dyDescent="0.35">
      <c r="A329" s="6"/>
      <c r="B329" s="6"/>
      <c r="C329" s="6"/>
      <c r="D329" s="6"/>
      <c r="E329" s="7"/>
      <c r="F329" s="6"/>
      <c r="G329" s="6"/>
      <c r="H329" s="6"/>
      <c r="I329" s="6"/>
      <c r="J329" s="6"/>
      <c r="K329" s="6"/>
      <c r="L329" s="6"/>
      <c r="M329" s="6"/>
      <c r="N329" s="8"/>
      <c r="O329" s="8"/>
      <c r="P329" s="8"/>
      <c r="Q329" s="8"/>
      <c r="R329" s="9"/>
      <c r="S329" s="10"/>
    </row>
    <row r="330" spans="1:19" ht="14.25" customHeight="1" x14ac:dyDescent="0.35">
      <c r="A330" s="6"/>
      <c r="B330" s="6"/>
      <c r="C330" s="6"/>
      <c r="D330" s="6"/>
      <c r="E330" s="7"/>
      <c r="F330" s="6"/>
      <c r="G330" s="6"/>
      <c r="H330" s="6"/>
      <c r="I330" s="6"/>
      <c r="J330" s="6"/>
      <c r="K330" s="6"/>
      <c r="L330" s="6"/>
      <c r="M330" s="6"/>
      <c r="N330" s="8"/>
      <c r="O330" s="8"/>
      <c r="P330" s="8"/>
      <c r="Q330" s="8"/>
      <c r="R330" s="9"/>
      <c r="S330" s="10"/>
    </row>
    <row r="331" spans="1:19" ht="14.25" customHeight="1" x14ac:dyDescent="0.35">
      <c r="A331" s="6"/>
      <c r="B331" s="6"/>
      <c r="C331" s="6"/>
      <c r="D331" s="6"/>
      <c r="E331" s="7"/>
      <c r="F331" s="6"/>
      <c r="G331" s="6"/>
      <c r="H331" s="6"/>
      <c r="I331" s="6"/>
      <c r="J331" s="6"/>
      <c r="K331" s="6"/>
      <c r="L331" s="6"/>
      <c r="M331" s="6"/>
      <c r="N331" s="8"/>
      <c r="O331" s="8"/>
      <c r="P331" s="8"/>
      <c r="Q331" s="8"/>
      <c r="R331" s="9"/>
      <c r="S331" s="10"/>
    </row>
    <row r="332" spans="1:19" ht="14.25" customHeight="1" x14ac:dyDescent="0.35">
      <c r="A332" s="6"/>
      <c r="B332" s="6"/>
      <c r="C332" s="6"/>
      <c r="D332" s="6"/>
      <c r="E332" s="7"/>
      <c r="F332" s="6"/>
      <c r="G332" s="6"/>
      <c r="H332" s="6"/>
      <c r="I332" s="6"/>
      <c r="J332" s="6"/>
      <c r="K332" s="6"/>
      <c r="L332" s="6"/>
      <c r="M332" s="6"/>
      <c r="N332" s="8"/>
      <c r="O332" s="8"/>
      <c r="P332" s="8"/>
      <c r="Q332" s="8"/>
      <c r="R332" s="9"/>
      <c r="S332" s="10"/>
    </row>
    <row r="333" spans="1:19" ht="14.25" customHeight="1" x14ac:dyDescent="0.35">
      <c r="A333" s="6"/>
      <c r="B333" s="6"/>
      <c r="C333" s="6"/>
      <c r="D333" s="6"/>
      <c r="E333" s="7"/>
      <c r="F333" s="6"/>
      <c r="G333" s="6"/>
      <c r="H333" s="6"/>
      <c r="I333" s="6"/>
      <c r="J333" s="6"/>
      <c r="K333" s="6"/>
      <c r="L333" s="6"/>
      <c r="M333" s="6"/>
      <c r="N333" s="8"/>
      <c r="O333" s="8"/>
      <c r="P333" s="8"/>
      <c r="Q333" s="8"/>
      <c r="R333" s="9"/>
      <c r="S333" s="10"/>
    </row>
    <row r="334" spans="1:19" ht="14.25" customHeight="1" x14ac:dyDescent="0.35">
      <c r="A334" s="6"/>
      <c r="B334" s="6"/>
      <c r="C334" s="6"/>
      <c r="D334" s="6"/>
      <c r="E334" s="7"/>
      <c r="F334" s="6"/>
      <c r="G334" s="6"/>
      <c r="H334" s="6"/>
      <c r="I334" s="6"/>
      <c r="J334" s="6"/>
      <c r="K334" s="6"/>
      <c r="L334" s="6"/>
      <c r="M334" s="6"/>
      <c r="N334" s="8"/>
      <c r="O334" s="8"/>
      <c r="P334" s="8"/>
      <c r="Q334" s="8"/>
      <c r="R334" s="9"/>
      <c r="S334" s="10"/>
    </row>
    <row r="335" spans="1:19" ht="14.25" customHeight="1" x14ac:dyDescent="0.35">
      <c r="A335" s="6"/>
      <c r="B335" s="6"/>
      <c r="C335" s="6"/>
      <c r="D335" s="6"/>
      <c r="E335" s="7"/>
      <c r="F335" s="6"/>
      <c r="G335" s="6"/>
      <c r="H335" s="6"/>
      <c r="I335" s="6"/>
      <c r="J335" s="6"/>
      <c r="K335" s="6"/>
      <c r="L335" s="6"/>
      <c r="M335" s="6"/>
      <c r="N335" s="8"/>
      <c r="O335" s="8"/>
      <c r="P335" s="8"/>
      <c r="Q335" s="8"/>
      <c r="R335" s="9"/>
      <c r="S335" s="10"/>
    </row>
    <row r="336" spans="1:19" ht="14.25" customHeight="1" x14ac:dyDescent="0.35">
      <c r="A336" s="6"/>
      <c r="B336" s="6"/>
      <c r="C336" s="6"/>
      <c r="D336" s="6"/>
      <c r="E336" s="7"/>
      <c r="F336" s="6"/>
      <c r="G336" s="6"/>
      <c r="H336" s="6"/>
      <c r="I336" s="6"/>
      <c r="J336" s="6"/>
      <c r="K336" s="6"/>
      <c r="L336" s="6"/>
      <c r="M336" s="6"/>
      <c r="N336" s="8"/>
      <c r="O336" s="8"/>
      <c r="P336" s="8"/>
      <c r="Q336" s="8"/>
      <c r="R336" s="9"/>
      <c r="S336" s="10"/>
    </row>
    <row r="337" spans="1:19" ht="14.25" customHeight="1" x14ac:dyDescent="0.35">
      <c r="A337" s="6"/>
      <c r="B337" s="6"/>
      <c r="C337" s="6"/>
      <c r="D337" s="6"/>
      <c r="E337" s="7"/>
      <c r="F337" s="6"/>
      <c r="G337" s="6"/>
      <c r="H337" s="6"/>
      <c r="I337" s="6"/>
      <c r="J337" s="6"/>
      <c r="K337" s="6"/>
      <c r="L337" s="6"/>
      <c r="M337" s="6"/>
      <c r="N337" s="8"/>
      <c r="O337" s="8"/>
      <c r="P337" s="8"/>
      <c r="Q337" s="8"/>
      <c r="R337" s="9"/>
      <c r="S337" s="10"/>
    </row>
    <row r="338" spans="1:19" ht="14.25" customHeight="1" x14ac:dyDescent="0.35">
      <c r="A338" s="6"/>
      <c r="B338" s="6"/>
      <c r="C338" s="6"/>
      <c r="D338" s="6"/>
      <c r="E338" s="7"/>
      <c r="F338" s="6"/>
      <c r="G338" s="6"/>
      <c r="H338" s="6"/>
      <c r="I338" s="6"/>
      <c r="J338" s="6"/>
      <c r="K338" s="6"/>
      <c r="L338" s="6"/>
      <c r="M338" s="6"/>
      <c r="N338" s="8"/>
      <c r="O338" s="8"/>
      <c r="P338" s="8"/>
      <c r="Q338" s="8"/>
      <c r="R338" s="9"/>
      <c r="S338" s="10"/>
    </row>
    <row r="339" spans="1:19" ht="14.25" customHeight="1" x14ac:dyDescent="0.35">
      <c r="A339" s="6"/>
      <c r="B339" s="6"/>
      <c r="C339" s="6"/>
      <c r="D339" s="6"/>
      <c r="E339" s="7"/>
      <c r="F339" s="6"/>
      <c r="G339" s="6"/>
      <c r="H339" s="6"/>
      <c r="I339" s="6"/>
      <c r="J339" s="6"/>
      <c r="K339" s="6"/>
      <c r="L339" s="6"/>
      <c r="M339" s="6"/>
      <c r="N339" s="8"/>
      <c r="O339" s="8"/>
      <c r="P339" s="8"/>
      <c r="Q339" s="8"/>
      <c r="R339" s="9"/>
      <c r="S339" s="10"/>
    </row>
    <row r="340" spans="1:19" ht="14.25" customHeight="1" x14ac:dyDescent="0.35">
      <c r="A340" s="6"/>
      <c r="B340" s="6"/>
      <c r="C340" s="6"/>
      <c r="D340" s="6"/>
      <c r="E340" s="7"/>
      <c r="F340" s="6"/>
      <c r="G340" s="6"/>
      <c r="H340" s="6"/>
      <c r="I340" s="6"/>
      <c r="J340" s="6"/>
      <c r="K340" s="6"/>
      <c r="L340" s="6"/>
      <c r="M340" s="6"/>
      <c r="N340" s="8"/>
      <c r="O340" s="8"/>
      <c r="P340" s="8"/>
      <c r="Q340" s="8"/>
      <c r="R340" s="9"/>
      <c r="S340" s="10"/>
    </row>
    <row r="341" spans="1:19" ht="14.25" customHeight="1" x14ac:dyDescent="0.35">
      <c r="A341" s="6"/>
      <c r="B341" s="6"/>
      <c r="C341" s="6"/>
      <c r="D341" s="6"/>
      <c r="E341" s="7"/>
      <c r="F341" s="6"/>
      <c r="G341" s="6"/>
      <c r="H341" s="6"/>
      <c r="I341" s="6"/>
      <c r="J341" s="6"/>
      <c r="K341" s="6"/>
      <c r="L341" s="6"/>
      <c r="M341" s="6"/>
      <c r="N341" s="8"/>
      <c r="O341" s="8"/>
      <c r="P341" s="8"/>
      <c r="Q341" s="8"/>
      <c r="R341" s="9"/>
      <c r="S341" s="10"/>
    </row>
    <row r="342" spans="1:19" ht="14.25" customHeight="1" x14ac:dyDescent="0.35">
      <c r="A342" s="6"/>
      <c r="B342" s="6"/>
      <c r="C342" s="6"/>
      <c r="D342" s="6"/>
      <c r="E342" s="7"/>
      <c r="F342" s="6"/>
      <c r="G342" s="6"/>
      <c r="H342" s="6"/>
      <c r="I342" s="6"/>
      <c r="J342" s="6"/>
      <c r="K342" s="6"/>
      <c r="L342" s="6"/>
      <c r="M342" s="6"/>
      <c r="N342" s="8"/>
      <c r="O342" s="8"/>
      <c r="P342" s="8"/>
      <c r="Q342" s="8"/>
      <c r="R342" s="9"/>
      <c r="S342" s="10"/>
    </row>
    <row r="343" spans="1:19" ht="14.25" customHeight="1" x14ac:dyDescent="0.35">
      <c r="A343" s="6"/>
      <c r="B343" s="6"/>
      <c r="C343" s="6"/>
      <c r="D343" s="6"/>
      <c r="E343" s="7"/>
      <c r="F343" s="6"/>
      <c r="G343" s="6"/>
      <c r="H343" s="6"/>
      <c r="I343" s="6"/>
      <c r="J343" s="6"/>
      <c r="K343" s="6"/>
      <c r="L343" s="6"/>
      <c r="M343" s="6"/>
      <c r="N343" s="8"/>
      <c r="O343" s="8"/>
      <c r="P343" s="8"/>
      <c r="Q343" s="8"/>
      <c r="R343" s="9"/>
      <c r="S343" s="10"/>
    </row>
    <row r="344" spans="1:19" ht="14.25" customHeight="1" x14ac:dyDescent="0.35">
      <c r="A344" s="6"/>
      <c r="B344" s="6"/>
      <c r="C344" s="6"/>
      <c r="D344" s="6"/>
      <c r="E344" s="7"/>
      <c r="F344" s="6"/>
      <c r="G344" s="6"/>
      <c r="H344" s="6"/>
      <c r="I344" s="6"/>
      <c r="J344" s="6"/>
      <c r="K344" s="6"/>
      <c r="L344" s="6"/>
      <c r="M344" s="6"/>
      <c r="N344" s="8"/>
      <c r="O344" s="8"/>
      <c r="P344" s="8"/>
      <c r="Q344" s="8"/>
      <c r="R344" s="9"/>
      <c r="S344" s="10"/>
    </row>
    <row r="345" spans="1:19" ht="14.25" customHeight="1" x14ac:dyDescent="0.35">
      <c r="A345" s="6"/>
      <c r="B345" s="6"/>
      <c r="C345" s="6"/>
      <c r="D345" s="6"/>
      <c r="E345" s="7"/>
      <c r="F345" s="6"/>
      <c r="G345" s="6"/>
      <c r="H345" s="6"/>
      <c r="I345" s="6"/>
      <c r="J345" s="6"/>
      <c r="K345" s="6"/>
      <c r="L345" s="6"/>
      <c r="M345" s="6"/>
      <c r="N345" s="8"/>
      <c r="O345" s="8"/>
      <c r="P345" s="8"/>
      <c r="Q345" s="8"/>
      <c r="R345" s="9"/>
      <c r="S345" s="10"/>
    </row>
    <row r="346" spans="1:19" ht="14.25" customHeight="1" x14ac:dyDescent="0.35">
      <c r="A346" s="6"/>
      <c r="B346" s="6"/>
      <c r="C346" s="6"/>
      <c r="D346" s="6"/>
      <c r="E346" s="7"/>
      <c r="F346" s="6"/>
      <c r="G346" s="6"/>
      <c r="H346" s="6"/>
      <c r="I346" s="6"/>
      <c r="J346" s="6"/>
      <c r="K346" s="6"/>
      <c r="L346" s="6"/>
      <c r="M346" s="6"/>
      <c r="N346" s="8"/>
      <c r="O346" s="8"/>
      <c r="P346" s="8"/>
      <c r="Q346" s="8"/>
      <c r="R346" s="9"/>
      <c r="S346" s="10"/>
    </row>
    <row r="347" spans="1:19" ht="14.25" customHeight="1" x14ac:dyDescent="0.35">
      <c r="A347" s="6"/>
      <c r="B347" s="6"/>
      <c r="C347" s="6"/>
      <c r="D347" s="6"/>
      <c r="E347" s="7"/>
      <c r="F347" s="6"/>
      <c r="G347" s="6"/>
      <c r="H347" s="6"/>
      <c r="I347" s="6"/>
      <c r="J347" s="6"/>
      <c r="K347" s="6"/>
      <c r="L347" s="6"/>
      <c r="M347" s="6"/>
      <c r="N347" s="8"/>
      <c r="O347" s="8"/>
      <c r="P347" s="8"/>
      <c r="Q347" s="8"/>
      <c r="R347" s="9"/>
      <c r="S347" s="10"/>
    </row>
    <row r="348" spans="1:19" ht="14.25" customHeight="1" x14ac:dyDescent="0.35">
      <c r="A348" s="6"/>
      <c r="B348" s="6"/>
      <c r="C348" s="6"/>
      <c r="D348" s="6"/>
      <c r="E348" s="7"/>
      <c r="F348" s="6"/>
      <c r="G348" s="6"/>
      <c r="H348" s="6"/>
      <c r="I348" s="6"/>
      <c r="J348" s="6"/>
      <c r="K348" s="6"/>
      <c r="L348" s="6"/>
      <c r="M348" s="6"/>
      <c r="N348" s="8"/>
      <c r="O348" s="8"/>
      <c r="P348" s="8"/>
      <c r="Q348" s="8"/>
      <c r="R348" s="9"/>
      <c r="S348" s="10"/>
    </row>
    <row r="349" spans="1:19" ht="14.25" customHeight="1" x14ac:dyDescent="0.35">
      <c r="A349" s="6"/>
      <c r="B349" s="6"/>
      <c r="C349" s="6"/>
      <c r="D349" s="6"/>
      <c r="E349" s="7"/>
      <c r="F349" s="6"/>
      <c r="G349" s="6"/>
      <c r="H349" s="6"/>
      <c r="I349" s="6"/>
      <c r="J349" s="6"/>
      <c r="K349" s="6"/>
      <c r="L349" s="6"/>
      <c r="M349" s="6"/>
      <c r="N349" s="8"/>
      <c r="O349" s="8"/>
      <c r="P349" s="8"/>
      <c r="Q349" s="8"/>
      <c r="R349" s="9"/>
      <c r="S349" s="10"/>
    </row>
    <row r="350" spans="1:19" ht="14.25" customHeight="1" x14ac:dyDescent="0.35">
      <c r="A350" s="6"/>
      <c r="B350" s="6"/>
      <c r="C350" s="6"/>
      <c r="D350" s="6"/>
      <c r="E350" s="7"/>
      <c r="F350" s="6"/>
      <c r="G350" s="6"/>
      <c r="H350" s="6"/>
      <c r="I350" s="6"/>
      <c r="J350" s="6"/>
      <c r="K350" s="6"/>
      <c r="L350" s="6"/>
      <c r="M350" s="6"/>
      <c r="N350" s="8"/>
      <c r="O350" s="8"/>
      <c r="P350" s="8"/>
      <c r="Q350" s="8"/>
      <c r="R350" s="9"/>
      <c r="S350" s="10"/>
    </row>
    <row r="351" spans="1:19" ht="14.25" customHeight="1" x14ac:dyDescent="0.35">
      <c r="A351" s="6"/>
      <c r="B351" s="6"/>
      <c r="C351" s="6"/>
      <c r="D351" s="6"/>
      <c r="E351" s="7"/>
      <c r="F351" s="6"/>
      <c r="G351" s="6"/>
      <c r="H351" s="6"/>
      <c r="I351" s="6"/>
      <c r="J351" s="6"/>
      <c r="K351" s="6"/>
      <c r="L351" s="6"/>
      <c r="M351" s="6"/>
      <c r="N351" s="8"/>
      <c r="O351" s="8"/>
      <c r="P351" s="8"/>
      <c r="Q351" s="8"/>
      <c r="R351" s="9"/>
      <c r="S351" s="10"/>
    </row>
    <row r="352" spans="1:19" ht="14.25" customHeight="1" x14ac:dyDescent="0.35">
      <c r="A352" s="6"/>
      <c r="B352" s="6"/>
      <c r="C352" s="6"/>
      <c r="D352" s="6"/>
      <c r="E352" s="7"/>
      <c r="F352" s="6"/>
      <c r="G352" s="6"/>
      <c r="H352" s="6"/>
      <c r="I352" s="6"/>
      <c r="J352" s="6"/>
      <c r="K352" s="6"/>
      <c r="L352" s="6"/>
      <c r="M352" s="6"/>
      <c r="N352" s="8"/>
      <c r="O352" s="8"/>
      <c r="P352" s="8"/>
      <c r="Q352" s="8"/>
      <c r="R352" s="9"/>
      <c r="S352" s="10"/>
    </row>
    <row r="353" spans="1:19" ht="14.25" customHeight="1" x14ac:dyDescent="0.35">
      <c r="A353" s="6"/>
      <c r="B353" s="6"/>
      <c r="C353" s="6"/>
      <c r="D353" s="6"/>
      <c r="E353" s="7"/>
      <c r="F353" s="6"/>
      <c r="G353" s="6"/>
      <c r="H353" s="6"/>
      <c r="I353" s="6"/>
      <c r="J353" s="6"/>
      <c r="K353" s="6"/>
      <c r="L353" s="6"/>
      <c r="M353" s="6"/>
      <c r="N353" s="8"/>
      <c r="O353" s="8"/>
      <c r="P353" s="8"/>
      <c r="Q353" s="8"/>
      <c r="R353" s="9"/>
      <c r="S353" s="10"/>
    </row>
    <row r="354" spans="1:19" ht="14.25" customHeight="1" x14ac:dyDescent="0.35">
      <c r="A354" s="6"/>
      <c r="B354" s="6"/>
      <c r="C354" s="6"/>
      <c r="D354" s="6"/>
      <c r="E354" s="7"/>
      <c r="F354" s="6"/>
      <c r="G354" s="6"/>
      <c r="H354" s="6"/>
      <c r="I354" s="6"/>
      <c r="J354" s="6"/>
      <c r="K354" s="6"/>
      <c r="L354" s="6"/>
      <c r="M354" s="6"/>
      <c r="N354" s="8"/>
      <c r="O354" s="8"/>
      <c r="P354" s="8"/>
      <c r="Q354" s="8"/>
      <c r="R354" s="9"/>
      <c r="S354" s="10"/>
    </row>
    <row r="355" spans="1:19" ht="14.25" customHeight="1" x14ac:dyDescent="0.35">
      <c r="A355" s="6"/>
      <c r="B355" s="6"/>
      <c r="C355" s="6"/>
      <c r="D355" s="6"/>
      <c r="E355" s="7"/>
      <c r="F355" s="6"/>
      <c r="G355" s="6"/>
      <c r="H355" s="6"/>
      <c r="I355" s="6"/>
      <c r="J355" s="6"/>
      <c r="K355" s="6"/>
      <c r="L355" s="6"/>
      <c r="M355" s="6"/>
      <c r="N355" s="8"/>
      <c r="O355" s="8"/>
      <c r="P355" s="8"/>
      <c r="Q355" s="8"/>
      <c r="R355" s="9"/>
      <c r="S355" s="10"/>
    </row>
    <row r="356" spans="1:19" ht="14.25" customHeight="1" x14ac:dyDescent="0.35">
      <c r="A356" s="6"/>
      <c r="B356" s="6"/>
      <c r="C356" s="6"/>
      <c r="D356" s="6"/>
      <c r="E356" s="7"/>
      <c r="F356" s="6"/>
      <c r="G356" s="6"/>
      <c r="H356" s="6"/>
      <c r="I356" s="6"/>
      <c r="J356" s="6"/>
      <c r="K356" s="6"/>
      <c r="L356" s="6"/>
      <c r="M356" s="6"/>
      <c r="N356" s="8"/>
      <c r="O356" s="8"/>
      <c r="P356" s="8"/>
      <c r="Q356" s="8"/>
      <c r="R356" s="9"/>
      <c r="S356" s="10"/>
    </row>
    <row r="357" spans="1:19" ht="14.25" customHeight="1" x14ac:dyDescent="0.35">
      <c r="A357" s="6"/>
      <c r="B357" s="6"/>
      <c r="C357" s="6"/>
      <c r="D357" s="6"/>
      <c r="E357" s="7"/>
      <c r="F357" s="6"/>
      <c r="G357" s="6"/>
      <c r="H357" s="6"/>
      <c r="I357" s="6"/>
      <c r="J357" s="6"/>
      <c r="K357" s="6"/>
      <c r="L357" s="6"/>
      <c r="M357" s="6"/>
      <c r="N357" s="8"/>
      <c r="O357" s="8"/>
      <c r="P357" s="8"/>
      <c r="Q357" s="8"/>
      <c r="R357" s="9"/>
      <c r="S357" s="10"/>
    </row>
    <row r="358" spans="1:19" ht="14.25" customHeight="1" x14ac:dyDescent="0.35">
      <c r="A358" s="6"/>
      <c r="B358" s="6"/>
      <c r="C358" s="6"/>
      <c r="D358" s="6"/>
      <c r="E358" s="7"/>
      <c r="F358" s="6"/>
      <c r="G358" s="6"/>
      <c r="H358" s="6"/>
      <c r="I358" s="6"/>
      <c r="J358" s="6"/>
      <c r="K358" s="6"/>
      <c r="L358" s="6"/>
      <c r="M358" s="6"/>
      <c r="N358" s="8"/>
      <c r="O358" s="8"/>
      <c r="P358" s="8"/>
      <c r="Q358" s="8"/>
      <c r="R358" s="9"/>
      <c r="S358" s="10"/>
    </row>
    <row r="359" spans="1:19" ht="14.25" customHeight="1" x14ac:dyDescent="0.35">
      <c r="A359" s="6"/>
      <c r="B359" s="6"/>
      <c r="C359" s="6"/>
      <c r="D359" s="6"/>
      <c r="E359" s="7"/>
      <c r="F359" s="6"/>
      <c r="G359" s="6"/>
      <c r="H359" s="6"/>
      <c r="I359" s="6"/>
      <c r="J359" s="6"/>
      <c r="K359" s="6"/>
      <c r="L359" s="6"/>
      <c r="M359" s="6"/>
      <c r="N359" s="8"/>
      <c r="O359" s="8"/>
      <c r="P359" s="8"/>
      <c r="Q359" s="8"/>
      <c r="R359" s="9"/>
      <c r="S359" s="10"/>
    </row>
    <row r="360" spans="1:19" ht="14.25" customHeight="1" x14ac:dyDescent="0.35">
      <c r="A360" s="6"/>
      <c r="B360" s="6"/>
      <c r="C360" s="6"/>
      <c r="D360" s="6"/>
      <c r="E360" s="7"/>
      <c r="F360" s="6"/>
      <c r="G360" s="6"/>
      <c r="H360" s="6"/>
      <c r="I360" s="6"/>
      <c r="J360" s="6"/>
      <c r="K360" s="6"/>
      <c r="L360" s="6"/>
      <c r="M360" s="6"/>
      <c r="N360" s="8"/>
      <c r="O360" s="8"/>
      <c r="P360" s="8"/>
      <c r="Q360" s="8"/>
      <c r="R360" s="9"/>
      <c r="S360" s="10"/>
    </row>
    <row r="361" spans="1:19" ht="14.25" customHeight="1" x14ac:dyDescent="0.35">
      <c r="A361" s="6"/>
      <c r="B361" s="6"/>
      <c r="C361" s="6"/>
      <c r="D361" s="6"/>
      <c r="E361" s="7"/>
      <c r="F361" s="6"/>
      <c r="G361" s="6"/>
      <c r="H361" s="6"/>
      <c r="I361" s="6"/>
      <c r="J361" s="6"/>
      <c r="K361" s="6"/>
      <c r="L361" s="6"/>
      <c r="M361" s="6"/>
      <c r="N361" s="8"/>
      <c r="O361" s="8"/>
      <c r="P361" s="8"/>
      <c r="Q361" s="8"/>
      <c r="R361" s="9"/>
      <c r="S361" s="10"/>
    </row>
    <row r="362" spans="1:19" ht="14.25" customHeight="1" x14ac:dyDescent="0.35">
      <c r="A362" s="6"/>
      <c r="B362" s="6"/>
      <c r="C362" s="6"/>
      <c r="D362" s="6"/>
      <c r="E362" s="7"/>
      <c r="F362" s="6"/>
      <c r="G362" s="6"/>
      <c r="H362" s="6"/>
      <c r="I362" s="6"/>
      <c r="J362" s="6"/>
      <c r="K362" s="6"/>
      <c r="L362" s="6"/>
      <c r="M362" s="6"/>
      <c r="N362" s="8"/>
      <c r="O362" s="8"/>
      <c r="P362" s="8"/>
      <c r="Q362" s="8"/>
      <c r="R362" s="9"/>
      <c r="S362" s="10"/>
    </row>
    <row r="363" spans="1:19" ht="14.25" customHeight="1" x14ac:dyDescent="0.35">
      <c r="A363" s="6"/>
      <c r="B363" s="6"/>
      <c r="C363" s="6"/>
      <c r="D363" s="6"/>
      <c r="E363" s="7"/>
      <c r="F363" s="6"/>
      <c r="G363" s="6"/>
      <c r="H363" s="6"/>
      <c r="I363" s="6"/>
      <c r="J363" s="6"/>
      <c r="K363" s="6"/>
      <c r="L363" s="6"/>
      <c r="M363" s="6"/>
      <c r="N363" s="8"/>
      <c r="O363" s="8"/>
      <c r="P363" s="8"/>
      <c r="Q363" s="8"/>
      <c r="R363" s="9"/>
      <c r="S363" s="10"/>
    </row>
    <row r="364" spans="1:19" ht="14.25" customHeight="1" x14ac:dyDescent="0.35">
      <c r="A364" s="6"/>
      <c r="B364" s="6"/>
      <c r="C364" s="6"/>
      <c r="D364" s="6"/>
      <c r="E364" s="7"/>
      <c r="F364" s="6"/>
      <c r="G364" s="6"/>
      <c r="H364" s="6"/>
      <c r="I364" s="6"/>
      <c r="J364" s="6"/>
      <c r="K364" s="6"/>
      <c r="L364" s="6"/>
      <c r="M364" s="6"/>
      <c r="N364" s="8"/>
      <c r="O364" s="8"/>
      <c r="P364" s="8"/>
      <c r="Q364" s="8"/>
      <c r="R364" s="9"/>
      <c r="S364" s="10"/>
    </row>
    <row r="365" spans="1:19" ht="14.25" customHeight="1" x14ac:dyDescent="0.35">
      <c r="A365" s="6"/>
      <c r="B365" s="6"/>
      <c r="C365" s="6"/>
      <c r="D365" s="6"/>
      <c r="E365" s="7"/>
      <c r="F365" s="6"/>
      <c r="G365" s="6"/>
      <c r="H365" s="6"/>
      <c r="I365" s="6"/>
      <c r="J365" s="6"/>
      <c r="K365" s="6"/>
      <c r="L365" s="6"/>
      <c r="M365" s="6"/>
      <c r="N365" s="8"/>
      <c r="O365" s="8"/>
      <c r="P365" s="8"/>
      <c r="Q365" s="8"/>
      <c r="R365" s="9"/>
      <c r="S365" s="10"/>
    </row>
    <row r="366" spans="1:19" ht="14.25" customHeight="1" x14ac:dyDescent="0.35">
      <c r="A366" s="6"/>
      <c r="B366" s="6"/>
      <c r="C366" s="6"/>
      <c r="D366" s="6"/>
      <c r="E366" s="7"/>
      <c r="F366" s="6"/>
      <c r="G366" s="6"/>
      <c r="H366" s="6"/>
      <c r="I366" s="6"/>
      <c r="J366" s="6"/>
      <c r="K366" s="6"/>
      <c r="L366" s="6"/>
      <c r="M366" s="6"/>
      <c r="N366" s="8"/>
      <c r="O366" s="8"/>
      <c r="P366" s="8"/>
      <c r="Q366" s="8"/>
      <c r="R366" s="9"/>
      <c r="S366" s="10"/>
    </row>
    <row r="367" spans="1:19" ht="14.25" customHeight="1" x14ac:dyDescent="0.35">
      <c r="A367" s="6"/>
      <c r="B367" s="6"/>
      <c r="C367" s="6"/>
      <c r="D367" s="6"/>
      <c r="E367" s="7"/>
      <c r="F367" s="6"/>
      <c r="G367" s="6"/>
      <c r="H367" s="6"/>
      <c r="I367" s="6"/>
      <c r="J367" s="6"/>
      <c r="K367" s="6"/>
      <c r="L367" s="6"/>
      <c r="M367" s="6"/>
      <c r="N367" s="8"/>
      <c r="O367" s="8"/>
      <c r="P367" s="8"/>
      <c r="Q367" s="8"/>
      <c r="R367" s="9"/>
      <c r="S367" s="10"/>
    </row>
    <row r="368" spans="1:19" ht="14.25" customHeight="1" x14ac:dyDescent="0.35">
      <c r="A368" s="6"/>
      <c r="B368" s="6"/>
      <c r="C368" s="6"/>
      <c r="D368" s="6"/>
      <c r="E368" s="7"/>
      <c r="F368" s="6"/>
      <c r="G368" s="6"/>
      <c r="H368" s="6"/>
      <c r="I368" s="6"/>
      <c r="J368" s="6"/>
      <c r="K368" s="6"/>
      <c r="L368" s="6"/>
      <c r="M368" s="6"/>
      <c r="N368" s="8"/>
      <c r="O368" s="8"/>
      <c r="P368" s="8"/>
      <c r="Q368" s="8"/>
      <c r="R368" s="9"/>
      <c r="S368" s="10"/>
    </row>
    <row r="369" spans="1:19" ht="14.25" customHeight="1" x14ac:dyDescent="0.35">
      <c r="A369" s="6"/>
      <c r="B369" s="6"/>
      <c r="C369" s="6"/>
      <c r="D369" s="6"/>
      <c r="E369" s="7"/>
      <c r="F369" s="6"/>
      <c r="G369" s="6"/>
      <c r="H369" s="6"/>
      <c r="I369" s="6"/>
      <c r="J369" s="6"/>
      <c r="K369" s="6"/>
      <c r="L369" s="6"/>
      <c r="M369" s="6"/>
      <c r="N369" s="8"/>
      <c r="O369" s="8"/>
      <c r="P369" s="8"/>
      <c r="Q369" s="8"/>
      <c r="R369" s="9"/>
      <c r="S369" s="10"/>
    </row>
    <row r="370" spans="1:19" ht="14.25" customHeight="1" x14ac:dyDescent="0.35">
      <c r="A370" s="6"/>
      <c r="B370" s="6"/>
      <c r="C370" s="6"/>
      <c r="D370" s="6"/>
      <c r="E370" s="7"/>
      <c r="F370" s="6"/>
      <c r="G370" s="6"/>
      <c r="H370" s="6"/>
      <c r="I370" s="6"/>
      <c r="J370" s="6"/>
      <c r="K370" s="6"/>
      <c r="L370" s="6"/>
      <c r="M370" s="6"/>
      <c r="N370" s="8"/>
      <c r="O370" s="8"/>
      <c r="P370" s="8"/>
      <c r="Q370" s="8"/>
      <c r="R370" s="9"/>
      <c r="S370" s="10"/>
    </row>
    <row r="371" spans="1:19" ht="14.25" customHeight="1" x14ac:dyDescent="0.35">
      <c r="A371" s="6"/>
      <c r="B371" s="6"/>
      <c r="C371" s="6"/>
      <c r="D371" s="6"/>
      <c r="E371" s="7"/>
      <c r="F371" s="6"/>
      <c r="G371" s="6"/>
      <c r="H371" s="6"/>
      <c r="I371" s="6"/>
      <c r="J371" s="6"/>
      <c r="K371" s="6"/>
      <c r="L371" s="6"/>
      <c r="M371" s="6"/>
      <c r="N371" s="8"/>
      <c r="O371" s="8"/>
      <c r="P371" s="8"/>
      <c r="Q371" s="8"/>
      <c r="R371" s="9"/>
      <c r="S371" s="10"/>
    </row>
    <row r="372" spans="1:19" ht="14.25" customHeight="1" x14ac:dyDescent="0.35">
      <c r="A372" s="6"/>
      <c r="B372" s="6"/>
      <c r="C372" s="6"/>
      <c r="D372" s="6"/>
      <c r="E372" s="7"/>
      <c r="F372" s="6"/>
      <c r="G372" s="6"/>
      <c r="H372" s="6"/>
      <c r="I372" s="6"/>
      <c r="J372" s="6"/>
      <c r="K372" s="6"/>
      <c r="L372" s="6"/>
      <c r="M372" s="6"/>
      <c r="N372" s="8"/>
      <c r="O372" s="8"/>
      <c r="P372" s="8"/>
      <c r="Q372" s="8"/>
      <c r="R372" s="9"/>
      <c r="S372" s="10"/>
    </row>
    <row r="373" spans="1:19" ht="14.25" customHeight="1" x14ac:dyDescent="0.35">
      <c r="A373" s="6"/>
      <c r="B373" s="6"/>
      <c r="C373" s="6"/>
      <c r="D373" s="6"/>
      <c r="E373" s="7"/>
      <c r="F373" s="6"/>
      <c r="G373" s="6"/>
      <c r="H373" s="6"/>
      <c r="I373" s="6"/>
      <c r="J373" s="6"/>
      <c r="K373" s="6"/>
      <c r="L373" s="6"/>
      <c r="M373" s="6"/>
      <c r="N373" s="8"/>
      <c r="O373" s="8"/>
      <c r="P373" s="8"/>
      <c r="Q373" s="8"/>
      <c r="R373" s="9"/>
      <c r="S373" s="10"/>
    </row>
    <row r="374" spans="1:19" ht="14.25" customHeight="1" x14ac:dyDescent="0.35">
      <c r="A374" s="6"/>
      <c r="B374" s="6"/>
      <c r="C374" s="6"/>
      <c r="D374" s="6"/>
      <c r="E374" s="7"/>
      <c r="F374" s="6"/>
      <c r="G374" s="6"/>
      <c r="H374" s="6"/>
      <c r="I374" s="6"/>
      <c r="J374" s="6"/>
      <c r="K374" s="6"/>
      <c r="L374" s="6"/>
      <c r="M374" s="6"/>
      <c r="N374" s="8"/>
      <c r="O374" s="8"/>
      <c r="P374" s="8"/>
      <c r="Q374" s="8"/>
      <c r="R374" s="9"/>
      <c r="S374" s="10"/>
    </row>
    <row r="375" spans="1:19" ht="14.25" customHeight="1" x14ac:dyDescent="0.35">
      <c r="A375" s="6"/>
      <c r="B375" s="6"/>
      <c r="C375" s="6"/>
      <c r="D375" s="6"/>
      <c r="E375" s="7"/>
      <c r="F375" s="6"/>
      <c r="G375" s="6"/>
      <c r="H375" s="6"/>
      <c r="I375" s="6"/>
      <c r="J375" s="6"/>
      <c r="K375" s="6"/>
      <c r="L375" s="6"/>
      <c r="M375" s="6"/>
      <c r="N375" s="8"/>
      <c r="O375" s="8"/>
      <c r="P375" s="8"/>
      <c r="Q375" s="8"/>
      <c r="R375" s="9"/>
      <c r="S375" s="10"/>
    </row>
    <row r="376" spans="1:19" ht="14.25" customHeight="1" x14ac:dyDescent="0.35">
      <c r="A376" s="6"/>
      <c r="B376" s="6"/>
      <c r="C376" s="6"/>
      <c r="D376" s="6"/>
      <c r="E376" s="7"/>
      <c r="F376" s="6"/>
      <c r="G376" s="6"/>
      <c r="H376" s="6"/>
      <c r="I376" s="6"/>
      <c r="J376" s="6"/>
      <c r="K376" s="6"/>
      <c r="L376" s="6"/>
      <c r="M376" s="6"/>
      <c r="N376" s="8"/>
      <c r="O376" s="8"/>
      <c r="P376" s="8"/>
      <c r="Q376" s="8"/>
      <c r="R376" s="9"/>
      <c r="S376" s="10"/>
    </row>
    <row r="377" spans="1:19" ht="14.25" customHeight="1" x14ac:dyDescent="0.35">
      <c r="A377" s="6"/>
      <c r="B377" s="6"/>
      <c r="C377" s="6"/>
      <c r="D377" s="6"/>
      <c r="E377" s="7"/>
      <c r="F377" s="6"/>
      <c r="G377" s="6"/>
      <c r="H377" s="6"/>
      <c r="I377" s="6"/>
      <c r="J377" s="6"/>
      <c r="K377" s="6"/>
      <c r="L377" s="6"/>
      <c r="M377" s="6"/>
      <c r="N377" s="8"/>
      <c r="O377" s="8"/>
      <c r="P377" s="8"/>
      <c r="Q377" s="8"/>
      <c r="R377" s="9"/>
      <c r="S377" s="10"/>
    </row>
    <row r="378" spans="1:19" ht="14.25" customHeight="1" x14ac:dyDescent="0.35">
      <c r="A378" s="6"/>
      <c r="B378" s="6"/>
      <c r="C378" s="6"/>
      <c r="D378" s="6"/>
      <c r="E378" s="7"/>
      <c r="F378" s="6"/>
      <c r="G378" s="6"/>
      <c r="H378" s="6"/>
      <c r="I378" s="6"/>
      <c r="J378" s="6"/>
      <c r="K378" s="6"/>
      <c r="L378" s="6"/>
      <c r="M378" s="6"/>
      <c r="N378" s="8"/>
      <c r="O378" s="8"/>
      <c r="P378" s="8"/>
      <c r="Q378" s="8"/>
      <c r="R378" s="9"/>
      <c r="S378" s="10"/>
    </row>
    <row r="379" spans="1:19" ht="14.25" customHeight="1" x14ac:dyDescent="0.35">
      <c r="A379" s="6"/>
      <c r="B379" s="6"/>
      <c r="C379" s="6"/>
      <c r="D379" s="6"/>
      <c r="E379" s="7"/>
      <c r="F379" s="6"/>
      <c r="G379" s="6"/>
      <c r="H379" s="6"/>
      <c r="I379" s="6"/>
      <c r="J379" s="6"/>
      <c r="K379" s="6"/>
      <c r="L379" s="6"/>
      <c r="M379" s="6"/>
      <c r="N379" s="8"/>
      <c r="O379" s="8"/>
      <c r="P379" s="8"/>
      <c r="Q379" s="8"/>
      <c r="R379" s="9"/>
      <c r="S379" s="10"/>
    </row>
    <row r="380" spans="1:19" ht="14.25" customHeight="1" x14ac:dyDescent="0.35">
      <c r="A380" s="6"/>
      <c r="B380" s="6"/>
      <c r="C380" s="6"/>
      <c r="D380" s="6"/>
      <c r="E380" s="7"/>
      <c r="F380" s="6"/>
      <c r="G380" s="6"/>
      <c r="H380" s="6"/>
      <c r="I380" s="6"/>
      <c r="J380" s="6"/>
      <c r="K380" s="6"/>
      <c r="L380" s="6"/>
      <c r="M380" s="6"/>
      <c r="N380" s="8"/>
      <c r="O380" s="8"/>
      <c r="P380" s="8"/>
      <c r="Q380" s="8"/>
      <c r="R380" s="9"/>
      <c r="S380" s="10"/>
    </row>
    <row r="381" spans="1:19" ht="14.25" customHeight="1" x14ac:dyDescent="0.35">
      <c r="A381" s="6"/>
      <c r="B381" s="6"/>
      <c r="C381" s="6"/>
      <c r="D381" s="6"/>
      <c r="E381" s="7"/>
      <c r="F381" s="6"/>
      <c r="G381" s="6"/>
      <c r="H381" s="6"/>
      <c r="I381" s="6"/>
      <c r="J381" s="6"/>
      <c r="K381" s="6"/>
      <c r="L381" s="6"/>
      <c r="M381" s="6"/>
      <c r="N381" s="8"/>
      <c r="O381" s="8"/>
      <c r="P381" s="8"/>
      <c r="Q381" s="8"/>
      <c r="R381" s="9"/>
      <c r="S381" s="10"/>
    </row>
    <row r="382" spans="1:19" ht="14.25" customHeight="1" x14ac:dyDescent="0.35">
      <c r="A382" s="6"/>
      <c r="B382" s="6"/>
      <c r="C382" s="6"/>
      <c r="D382" s="6"/>
      <c r="E382" s="7"/>
      <c r="F382" s="6"/>
      <c r="G382" s="6"/>
      <c r="H382" s="6"/>
      <c r="I382" s="6"/>
      <c r="J382" s="6"/>
      <c r="K382" s="6"/>
      <c r="L382" s="6"/>
      <c r="M382" s="6"/>
      <c r="N382" s="8"/>
      <c r="O382" s="8"/>
      <c r="P382" s="8"/>
      <c r="Q382" s="8"/>
      <c r="R382" s="9"/>
      <c r="S382" s="10"/>
    </row>
    <row r="383" spans="1:19" ht="14.25" customHeight="1" x14ac:dyDescent="0.35">
      <c r="A383" s="6"/>
      <c r="B383" s="6"/>
      <c r="C383" s="6"/>
      <c r="D383" s="6"/>
      <c r="E383" s="7"/>
      <c r="F383" s="6"/>
      <c r="G383" s="6"/>
      <c r="H383" s="6"/>
      <c r="I383" s="6"/>
      <c r="J383" s="6"/>
      <c r="K383" s="6"/>
      <c r="L383" s="6"/>
      <c r="M383" s="6"/>
      <c r="N383" s="8"/>
      <c r="O383" s="8"/>
      <c r="P383" s="8"/>
      <c r="Q383" s="8"/>
      <c r="R383" s="9"/>
      <c r="S383" s="10"/>
    </row>
    <row r="384" spans="1:19" ht="14.25" customHeight="1" x14ac:dyDescent="0.35">
      <c r="A384" s="6"/>
      <c r="B384" s="6"/>
      <c r="C384" s="6"/>
      <c r="D384" s="6"/>
      <c r="E384" s="7"/>
      <c r="F384" s="6"/>
      <c r="G384" s="6"/>
      <c r="H384" s="6"/>
      <c r="I384" s="6"/>
      <c r="J384" s="6"/>
      <c r="K384" s="6"/>
      <c r="L384" s="6"/>
      <c r="M384" s="6"/>
      <c r="N384" s="8"/>
      <c r="O384" s="8"/>
      <c r="P384" s="8"/>
      <c r="Q384" s="8"/>
      <c r="R384" s="9"/>
      <c r="S384" s="10"/>
    </row>
    <row r="385" spans="1:19" ht="14.25" customHeight="1" x14ac:dyDescent="0.35">
      <c r="A385" s="6"/>
      <c r="B385" s="6"/>
      <c r="C385" s="6"/>
      <c r="D385" s="6"/>
      <c r="E385" s="7"/>
      <c r="F385" s="6"/>
      <c r="G385" s="6"/>
      <c r="H385" s="6"/>
      <c r="I385" s="6"/>
      <c r="J385" s="6"/>
      <c r="K385" s="6"/>
      <c r="L385" s="6"/>
      <c r="M385" s="6"/>
      <c r="N385" s="8"/>
      <c r="O385" s="8"/>
      <c r="P385" s="8"/>
      <c r="Q385" s="8"/>
      <c r="R385" s="9"/>
      <c r="S385" s="10"/>
    </row>
    <row r="386" spans="1:19" ht="14.25" customHeight="1" x14ac:dyDescent="0.35">
      <c r="A386" s="6"/>
      <c r="B386" s="6"/>
      <c r="C386" s="6"/>
      <c r="D386" s="6"/>
      <c r="E386" s="7"/>
      <c r="F386" s="6"/>
      <c r="G386" s="6"/>
      <c r="H386" s="6"/>
      <c r="I386" s="6"/>
      <c r="J386" s="6"/>
      <c r="K386" s="6"/>
      <c r="L386" s="6"/>
      <c r="M386" s="6"/>
      <c r="N386" s="8"/>
      <c r="O386" s="8"/>
      <c r="P386" s="8"/>
      <c r="Q386" s="8"/>
      <c r="R386" s="9"/>
      <c r="S386" s="10"/>
    </row>
    <row r="387" spans="1:19" ht="14.25" customHeight="1" x14ac:dyDescent="0.35">
      <c r="A387" s="6"/>
      <c r="B387" s="6"/>
      <c r="C387" s="6"/>
      <c r="D387" s="6"/>
      <c r="E387" s="7"/>
      <c r="F387" s="6"/>
      <c r="G387" s="6"/>
      <c r="H387" s="6"/>
      <c r="I387" s="6"/>
      <c r="J387" s="6"/>
      <c r="K387" s="6"/>
      <c r="L387" s="6"/>
      <c r="M387" s="6"/>
      <c r="N387" s="8"/>
      <c r="O387" s="8"/>
      <c r="P387" s="8"/>
      <c r="Q387" s="8"/>
      <c r="R387" s="9"/>
      <c r="S387" s="10"/>
    </row>
    <row r="388" spans="1:19" ht="14.25" customHeight="1" x14ac:dyDescent="0.35">
      <c r="A388" s="6"/>
      <c r="B388" s="6"/>
      <c r="C388" s="6"/>
      <c r="D388" s="6"/>
      <c r="E388" s="7"/>
      <c r="F388" s="6"/>
      <c r="G388" s="6"/>
      <c r="H388" s="6"/>
      <c r="I388" s="6"/>
      <c r="J388" s="6"/>
      <c r="K388" s="6"/>
      <c r="L388" s="6"/>
      <c r="M388" s="6"/>
      <c r="N388" s="8"/>
      <c r="O388" s="8"/>
      <c r="P388" s="8"/>
      <c r="Q388" s="8"/>
      <c r="R388" s="9"/>
      <c r="S388" s="10"/>
    </row>
    <row r="389" spans="1:19" ht="14.25" customHeight="1" x14ac:dyDescent="0.35">
      <c r="A389" s="6"/>
      <c r="B389" s="6"/>
      <c r="C389" s="6"/>
      <c r="D389" s="6"/>
      <c r="E389" s="7"/>
      <c r="F389" s="6"/>
      <c r="G389" s="6"/>
      <c r="H389" s="6"/>
      <c r="I389" s="6"/>
      <c r="J389" s="6"/>
      <c r="K389" s="6"/>
      <c r="L389" s="6"/>
      <c r="M389" s="6"/>
      <c r="N389" s="8"/>
      <c r="O389" s="8"/>
      <c r="P389" s="8"/>
      <c r="Q389" s="8"/>
      <c r="R389" s="9"/>
      <c r="S389" s="10"/>
    </row>
    <row r="390" spans="1:19" ht="14.25" customHeight="1" x14ac:dyDescent="0.35">
      <c r="A390" s="6"/>
      <c r="B390" s="6"/>
      <c r="C390" s="6"/>
      <c r="D390" s="6"/>
      <c r="E390" s="7"/>
      <c r="F390" s="6"/>
      <c r="G390" s="6"/>
      <c r="H390" s="6"/>
      <c r="I390" s="6"/>
      <c r="J390" s="6"/>
      <c r="K390" s="6"/>
      <c r="L390" s="6"/>
      <c r="M390" s="6"/>
      <c r="N390" s="8"/>
      <c r="O390" s="8"/>
      <c r="P390" s="8"/>
      <c r="Q390" s="8"/>
      <c r="R390" s="9"/>
      <c r="S390" s="10"/>
    </row>
    <row r="391" spans="1:19" ht="14.25" customHeight="1" x14ac:dyDescent="0.35">
      <c r="A391" s="6"/>
      <c r="B391" s="6"/>
      <c r="C391" s="6"/>
      <c r="D391" s="6"/>
      <c r="E391" s="7"/>
      <c r="F391" s="6"/>
      <c r="G391" s="6"/>
      <c r="H391" s="6"/>
      <c r="I391" s="6"/>
      <c r="J391" s="6"/>
      <c r="K391" s="6"/>
      <c r="L391" s="6"/>
      <c r="M391" s="6"/>
      <c r="N391" s="8"/>
      <c r="O391" s="8"/>
      <c r="P391" s="8"/>
      <c r="Q391" s="8"/>
      <c r="R391" s="9"/>
      <c r="S391" s="10"/>
    </row>
    <row r="392" spans="1:19" ht="14.25" customHeight="1" x14ac:dyDescent="0.35">
      <c r="A392" s="6"/>
      <c r="B392" s="6"/>
      <c r="C392" s="6"/>
      <c r="D392" s="6"/>
      <c r="E392" s="7"/>
      <c r="F392" s="6"/>
      <c r="G392" s="6"/>
      <c r="H392" s="6"/>
      <c r="I392" s="6"/>
      <c r="J392" s="6"/>
      <c r="K392" s="6"/>
      <c r="L392" s="6"/>
      <c r="M392" s="6"/>
      <c r="N392" s="8"/>
      <c r="O392" s="8"/>
      <c r="P392" s="8"/>
      <c r="Q392" s="8"/>
      <c r="R392" s="9"/>
      <c r="S392" s="10"/>
    </row>
    <row r="393" spans="1:19" ht="14.25" customHeight="1" x14ac:dyDescent="0.35">
      <c r="A393" s="6"/>
      <c r="B393" s="6"/>
      <c r="C393" s="6"/>
      <c r="D393" s="6"/>
      <c r="E393" s="7"/>
      <c r="F393" s="6"/>
      <c r="G393" s="6"/>
      <c r="H393" s="6"/>
      <c r="I393" s="6"/>
      <c r="J393" s="6"/>
      <c r="K393" s="6"/>
      <c r="L393" s="6"/>
      <c r="M393" s="6"/>
      <c r="N393" s="8"/>
      <c r="O393" s="8"/>
      <c r="P393" s="8"/>
      <c r="Q393" s="8"/>
      <c r="R393" s="9"/>
      <c r="S393" s="10"/>
    </row>
    <row r="394" spans="1:19" ht="14.25" customHeight="1" x14ac:dyDescent="0.35">
      <c r="A394" s="6"/>
      <c r="B394" s="6"/>
      <c r="C394" s="6"/>
      <c r="D394" s="6"/>
      <c r="E394" s="7"/>
      <c r="F394" s="6"/>
      <c r="G394" s="6"/>
      <c r="H394" s="6"/>
      <c r="I394" s="6"/>
      <c r="J394" s="6"/>
      <c r="K394" s="6"/>
      <c r="L394" s="6"/>
      <c r="M394" s="6"/>
      <c r="N394" s="8"/>
      <c r="O394" s="8"/>
      <c r="P394" s="8"/>
      <c r="Q394" s="8"/>
      <c r="R394" s="9"/>
      <c r="S394" s="10"/>
    </row>
    <row r="395" spans="1:19" ht="14.25" customHeight="1" x14ac:dyDescent="0.35">
      <c r="A395" s="6"/>
      <c r="B395" s="6"/>
      <c r="C395" s="6"/>
      <c r="D395" s="6"/>
      <c r="E395" s="7"/>
      <c r="F395" s="6"/>
      <c r="G395" s="6"/>
      <c r="H395" s="6"/>
      <c r="I395" s="6"/>
      <c r="J395" s="6"/>
      <c r="K395" s="6"/>
      <c r="L395" s="6"/>
      <c r="M395" s="6"/>
      <c r="N395" s="8"/>
      <c r="O395" s="8"/>
      <c r="P395" s="8"/>
      <c r="Q395" s="8"/>
      <c r="R395" s="9"/>
      <c r="S395" s="10"/>
    </row>
    <row r="396" spans="1:19" ht="14.25" customHeight="1" x14ac:dyDescent="0.35">
      <c r="A396" s="6"/>
      <c r="B396" s="6"/>
      <c r="C396" s="6"/>
      <c r="D396" s="6"/>
      <c r="E396" s="7"/>
      <c r="F396" s="6"/>
      <c r="G396" s="6"/>
      <c r="H396" s="6"/>
      <c r="I396" s="6"/>
      <c r="J396" s="6"/>
      <c r="K396" s="6"/>
      <c r="L396" s="6"/>
      <c r="M396" s="6"/>
      <c r="N396" s="8"/>
      <c r="O396" s="8"/>
      <c r="P396" s="8"/>
      <c r="Q396" s="8"/>
      <c r="R396" s="9"/>
      <c r="S396" s="10"/>
    </row>
    <row r="397" spans="1:19" ht="14.25" customHeight="1" x14ac:dyDescent="0.35">
      <c r="A397" s="6"/>
      <c r="B397" s="6"/>
      <c r="C397" s="6"/>
      <c r="D397" s="6"/>
      <c r="E397" s="7"/>
      <c r="F397" s="6"/>
      <c r="G397" s="6"/>
      <c r="H397" s="6"/>
      <c r="I397" s="6"/>
      <c r="J397" s="6"/>
      <c r="K397" s="6"/>
      <c r="L397" s="6"/>
      <c r="M397" s="6"/>
      <c r="N397" s="8"/>
      <c r="O397" s="8"/>
      <c r="P397" s="8"/>
      <c r="Q397" s="8"/>
      <c r="R397" s="9"/>
      <c r="S397" s="10"/>
    </row>
    <row r="398" spans="1:19" ht="14.25" customHeight="1" x14ac:dyDescent="0.35">
      <c r="A398" s="6"/>
      <c r="B398" s="6"/>
      <c r="C398" s="6"/>
      <c r="D398" s="6"/>
      <c r="E398" s="7"/>
      <c r="F398" s="6"/>
      <c r="G398" s="6"/>
      <c r="H398" s="6"/>
      <c r="I398" s="6"/>
      <c r="J398" s="6"/>
      <c r="K398" s="6"/>
      <c r="L398" s="6"/>
      <c r="M398" s="6"/>
      <c r="N398" s="8"/>
      <c r="O398" s="8"/>
      <c r="P398" s="8"/>
      <c r="Q398" s="8"/>
      <c r="R398" s="9"/>
      <c r="S398" s="10"/>
    </row>
    <row r="399" spans="1:19" ht="14.25" customHeight="1" x14ac:dyDescent="0.35">
      <c r="A399" s="6"/>
      <c r="B399" s="6"/>
      <c r="C399" s="6"/>
      <c r="D399" s="6"/>
      <c r="E399" s="7"/>
      <c r="F399" s="6"/>
      <c r="G399" s="6"/>
      <c r="H399" s="6"/>
      <c r="I399" s="6"/>
      <c r="J399" s="6"/>
      <c r="K399" s="6"/>
      <c r="L399" s="6"/>
      <c r="M399" s="6"/>
      <c r="N399" s="8"/>
      <c r="O399" s="8"/>
      <c r="P399" s="8"/>
      <c r="Q399" s="8"/>
      <c r="R399" s="9"/>
      <c r="S399" s="10"/>
    </row>
    <row r="400" spans="1:19" ht="14.25" customHeight="1" x14ac:dyDescent="0.35">
      <c r="A400" s="6"/>
      <c r="B400" s="6"/>
      <c r="C400" s="6"/>
      <c r="D400" s="6"/>
      <c r="E400" s="7"/>
      <c r="F400" s="6"/>
      <c r="G400" s="6"/>
      <c r="H400" s="6"/>
      <c r="I400" s="6"/>
      <c r="J400" s="6"/>
      <c r="K400" s="6"/>
      <c r="L400" s="6"/>
      <c r="M400" s="6"/>
      <c r="N400" s="8"/>
      <c r="O400" s="8"/>
      <c r="P400" s="8"/>
      <c r="Q400" s="8"/>
      <c r="R400" s="9"/>
      <c r="S400" s="10"/>
    </row>
    <row r="401" spans="1:19" ht="14.25" customHeight="1" x14ac:dyDescent="0.35">
      <c r="A401" s="6"/>
      <c r="B401" s="6"/>
      <c r="C401" s="6"/>
      <c r="D401" s="6"/>
      <c r="E401" s="7"/>
      <c r="F401" s="6"/>
      <c r="G401" s="6"/>
      <c r="H401" s="6"/>
      <c r="I401" s="6"/>
      <c r="J401" s="6"/>
      <c r="K401" s="6"/>
      <c r="L401" s="6"/>
      <c r="M401" s="6"/>
      <c r="N401" s="8"/>
      <c r="O401" s="8"/>
      <c r="P401" s="8"/>
      <c r="Q401" s="8"/>
      <c r="R401" s="9"/>
      <c r="S401" s="10"/>
    </row>
    <row r="402" spans="1:19" ht="14.25" customHeight="1" x14ac:dyDescent="0.35">
      <c r="A402" s="6"/>
      <c r="B402" s="6"/>
      <c r="C402" s="6"/>
      <c r="D402" s="6"/>
      <c r="E402" s="7"/>
      <c r="F402" s="6"/>
      <c r="G402" s="6"/>
      <c r="H402" s="6"/>
      <c r="I402" s="6"/>
      <c r="J402" s="6"/>
      <c r="K402" s="6"/>
      <c r="L402" s="6"/>
      <c r="M402" s="6"/>
      <c r="N402" s="8"/>
      <c r="O402" s="8"/>
      <c r="P402" s="8"/>
      <c r="Q402" s="8"/>
      <c r="R402" s="9"/>
      <c r="S402" s="10"/>
    </row>
    <row r="403" spans="1:19" ht="14.25" customHeight="1" x14ac:dyDescent="0.35">
      <c r="A403" s="6"/>
      <c r="B403" s="6"/>
      <c r="C403" s="6"/>
      <c r="D403" s="6"/>
      <c r="E403" s="7"/>
      <c r="F403" s="6"/>
      <c r="G403" s="6"/>
      <c r="H403" s="6"/>
      <c r="I403" s="6"/>
      <c r="J403" s="6"/>
      <c r="K403" s="6"/>
      <c r="L403" s="6"/>
      <c r="M403" s="6"/>
      <c r="N403" s="8"/>
      <c r="O403" s="8"/>
      <c r="P403" s="8"/>
      <c r="Q403" s="8"/>
      <c r="R403" s="9"/>
      <c r="S403" s="10"/>
    </row>
    <row r="404" spans="1:19" ht="14.25" customHeight="1" x14ac:dyDescent="0.35">
      <c r="A404" s="6"/>
      <c r="B404" s="6"/>
      <c r="C404" s="6"/>
      <c r="D404" s="6"/>
      <c r="E404" s="7"/>
      <c r="F404" s="6"/>
      <c r="G404" s="6"/>
      <c r="H404" s="6"/>
      <c r="I404" s="6"/>
      <c r="J404" s="6"/>
      <c r="K404" s="6"/>
      <c r="L404" s="6"/>
      <c r="M404" s="6"/>
      <c r="N404" s="8"/>
      <c r="O404" s="8"/>
      <c r="P404" s="8"/>
      <c r="Q404" s="8"/>
      <c r="R404" s="9"/>
      <c r="S404" s="10"/>
    </row>
    <row r="405" spans="1:19" ht="14.25" customHeight="1" x14ac:dyDescent="0.35">
      <c r="A405" s="6"/>
      <c r="B405" s="6"/>
      <c r="C405" s="6"/>
      <c r="D405" s="6"/>
      <c r="E405" s="7"/>
      <c r="F405" s="6"/>
      <c r="G405" s="6"/>
      <c r="H405" s="6"/>
      <c r="I405" s="6"/>
      <c r="J405" s="6"/>
      <c r="K405" s="6"/>
      <c r="L405" s="6"/>
      <c r="M405" s="6"/>
      <c r="N405" s="8"/>
      <c r="O405" s="8"/>
      <c r="P405" s="8"/>
      <c r="Q405" s="8"/>
      <c r="R405" s="9"/>
      <c r="S405" s="10"/>
    </row>
    <row r="406" spans="1:19" ht="14.25" customHeight="1" x14ac:dyDescent="0.35">
      <c r="A406" s="6"/>
      <c r="B406" s="6"/>
      <c r="C406" s="6"/>
      <c r="D406" s="6"/>
      <c r="E406" s="7"/>
      <c r="F406" s="6"/>
      <c r="G406" s="6"/>
      <c r="H406" s="6"/>
      <c r="I406" s="6"/>
      <c r="J406" s="6"/>
      <c r="K406" s="6"/>
      <c r="L406" s="6"/>
      <c r="M406" s="6"/>
      <c r="N406" s="8"/>
      <c r="O406" s="8"/>
      <c r="P406" s="8"/>
      <c r="Q406" s="8"/>
      <c r="R406" s="9"/>
      <c r="S406" s="10"/>
    </row>
    <row r="407" spans="1:19" ht="14.25" customHeight="1" x14ac:dyDescent="0.35">
      <c r="A407" s="6"/>
      <c r="B407" s="6"/>
      <c r="C407" s="6"/>
      <c r="D407" s="6"/>
      <c r="E407" s="7"/>
      <c r="F407" s="6"/>
      <c r="G407" s="6"/>
      <c r="H407" s="6"/>
      <c r="I407" s="6"/>
      <c r="J407" s="6"/>
      <c r="K407" s="6"/>
      <c r="L407" s="6"/>
      <c r="M407" s="6"/>
      <c r="N407" s="8"/>
      <c r="O407" s="8"/>
      <c r="P407" s="8"/>
      <c r="Q407" s="8"/>
      <c r="R407" s="9"/>
      <c r="S407" s="10"/>
    </row>
    <row r="408" spans="1:19" ht="14.25" customHeight="1" x14ac:dyDescent="0.35">
      <c r="A408" s="6"/>
      <c r="B408" s="6"/>
      <c r="C408" s="6"/>
      <c r="D408" s="6"/>
      <c r="E408" s="7"/>
      <c r="F408" s="6"/>
      <c r="G408" s="6"/>
      <c r="H408" s="6"/>
      <c r="I408" s="6"/>
      <c r="J408" s="6"/>
      <c r="K408" s="6"/>
      <c r="L408" s="6"/>
      <c r="M408" s="6"/>
      <c r="N408" s="8"/>
      <c r="O408" s="8"/>
      <c r="P408" s="8"/>
      <c r="Q408" s="8"/>
      <c r="R408" s="9"/>
      <c r="S408" s="10"/>
    </row>
    <row r="409" spans="1:19" ht="14.25" customHeight="1" x14ac:dyDescent="0.35">
      <c r="A409" s="6"/>
      <c r="B409" s="6"/>
      <c r="C409" s="6"/>
      <c r="D409" s="6"/>
      <c r="E409" s="7"/>
      <c r="F409" s="6"/>
      <c r="G409" s="6"/>
      <c r="H409" s="6"/>
      <c r="I409" s="6"/>
      <c r="J409" s="6"/>
      <c r="K409" s="6"/>
      <c r="L409" s="6"/>
      <c r="M409" s="6"/>
      <c r="N409" s="8"/>
      <c r="O409" s="8"/>
      <c r="P409" s="8"/>
      <c r="Q409" s="8"/>
      <c r="R409" s="9"/>
      <c r="S409" s="10"/>
    </row>
    <row r="410" spans="1:19" ht="14.25" customHeight="1" x14ac:dyDescent="0.35">
      <c r="A410" s="6"/>
      <c r="B410" s="6"/>
      <c r="C410" s="6"/>
      <c r="D410" s="6"/>
      <c r="E410" s="7"/>
      <c r="F410" s="6"/>
      <c r="G410" s="6"/>
      <c r="H410" s="6"/>
      <c r="I410" s="6"/>
      <c r="J410" s="6"/>
      <c r="K410" s="6"/>
      <c r="L410" s="6"/>
      <c r="M410" s="6"/>
      <c r="N410" s="8"/>
      <c r="O410" s="8"/>
      <c r="P410" s="8"/>
      <c r="Q410" s="8"/>
      <c r="R410" s="9"/>
      <c r="S410" s="10"/>
    </row>
    <row r="411" spans="1:19" ht="14.25" customHeight="1" x14ac:dyDescent="0.35">
      <c r="A411" s="6"/>
      <c r="B411" s="6"/>
      <c r="C411" s="6"/>
      <c r="D411" s="6"/>
      <c r="E411" s="7"/>
      <c r="F411" s="6"/>
      <c r="G411" s="6"/>
      <c r="H411" s="6"/>
      <c r="I411" s="6"/>
      <c r="J411" s="6"/>
      <c r="K411" s="6"/>
      <c r="L411" s="6"/>
      <c r="M411" s="6"/>
      <c r="N411" s="8"/>
      <c r="O411" s="8"/>
      <c r="P411" s="8"/>
      <c r="Q411" s="8"/>
      <c r="R411" s="9"/>
      <c r="S411" s="10"/>
    </row>
    <row r="412" spans="1:19" ht="14.25" customHeight="1" x14ac:dyDescent="0.35">
      <c r="A412" s="6"/>
      <c r="B412" s="6"/>
      <c r="C412" s="6"/>
      <c r="D412" s="6"/>
      <c r="E412" s="7"/>
      <c r="F412" s="6"/>
      <c r="G412" s="6"/>
      <c r="H412" s="6"/>
      <c r="I412" s="6"/>
      <c r="J412" s="6"/>
      <c r="K412" s="6"/>
      <c r="L412" s="6"/>
      <c r="M412" s="6"/>
      <c r="N412" s="8"/>
      <c r="O412" s="8"/>
      <c r="P412" s="8"/>
      <c r="Q412" s="8"/>
      <c r="R412" s="9"/>
      <c r="S412" s="10"/>
    </row>
    <row r="413" spans="1:19" ht="14.25" customHeight="1" x14ac:dyDescent="0.35">
      <c r="A413" s="6"/>
      <c r="B413" s="6"/>
      <c r="C413" s="6"/>
      <c r="D413" s="6"/>
      <c r="E413" s="7"/>
      <c r="F413" s="6"/>
      <c r="G413" s="6"/>
      <c r="H413" s="6"/>
      <c r="I413" s="6"/>
      <c r="J413" s="6"/>
      <c r="K413" s="6"/>
      <c r="L413" s="6"/>
      <c r="M413" s="6"/>
      <c r="N413" s="8"/>
      <c r="O413" s="8"/>
      <c r="P413" s="8"/>
      <c r="Q413" s="8"/>
      <c r="R413" s="9"/>
      <c r="S413" s="10"/>
    </row>
    <row r="414" spans="1:19" ht="14.25" customHeight="1" x14ac:dyDescent="0.35">
      <c r="A414" s="6"/>
      <c r="B414" s="6"/>
      <c r="C414" s="6"/>
      <c r="D414" s="6"/>
      <c r="E414" s="7"/>
      <c r="F414" s="6"/>
      <c r="G414" s="6"/>
      <c r="H414" s="6"/>
      <c r="I414" s="6"/>
      <c r="J414" s="6"/>
      <c r="K414" s="6"/>
      <c r="L414" s="6"/>
      <c r="M414" s="6"/>
      <c r="N414" s="8"/>
      <c r="O414" s="8"/>
      <c r="P414" s="8"/>
      <c r="Q414" s="8"/>
      <c r="R414" s="9"/>
      <c r="S414" s="10"/>
    </row>
    <row r="415" spans="1:19" ht="14.25" customHeight="1" x14ac:dyDescent="0.35">
      <c r="A415" s="6"/>
      <c r="B415" s="6"/>
      <c r="C415" s="6"/>
      <c r="D415" s="6"/>
      <c r="E415" s="7"/>
      <c r="F415" s="6"/>
      <c r="G415" s="6"/>
      <c r="H415" s="6"/>
      <c r="I415" s="6"/>
      <c r="J415" s="6"/>
      <c r="K415" s="6"/>
      <c r="L415" s="6"/>
      <c r="M415" s="6"/>
      <c r="N415" s="8"/>
      <c r="O415" s="8"/>
      <c r="P415" s="8"/>
      <c r="Q415" s="8"/>
      <c r="R415" s="9"/>
      <c r="S415" s="10"/>
    </row>
    <row r="416" spans="1:19" ht="14.25" customHeight="1" x14ac:dyDescent="0.35">
      <c r="A416" s="6"/>
      <c r="B416" s="6"/>
      <c r="C416" s="6"/>
      <c r="D416" s="6"/>
      <c r="E416" s="7"/>
      <c r="F416" s="6"/>
      <c r="G416" s="6"/>
      <c r="H416" s="6"/>
      <c r="I416" s="6"/>
      <c r="J416" s="6"/>
      <c r="K416" s="6"/>
      <c r="L416" s="6"/>
      <c r="M416" s="6"/>
      <c r="N416" s="8"/>
      <c r="O416" s="8"/>
      <c r="P416" s="8"/>
      <c r="Q416" s="8"/>
      <c r="R416" s="9"/>
      <c r="S416" s="10"/>
    </row>
    <row r="417" spans="1:19" ht="14.25" customHeight="1" x14ac:dyDescent="0.35">
      <c r="A417" s="6"/>
      <c r="B417" s="6"/>
      <c r="C417" s="6"/>
      <c r="D417" s="6"/>
      <c r="E417" s="7"/>
      <c r="F417" s="6"/>
      <c r="G417" s="6"/>
      <c r="H417" s="6"/>
      <c r="I417" s="6"/>
      <c r="J417" s="6"/>
      <c r="K417" s="6"/>
      <c r="L417" s="6"/>
      <c r="M417" s="6"/>
      <c r="N417" s="8"/>
      <c r="O417" s="8"/>
      <c r="P417" s="8"/>
      <c r="Q417" s="8"/>
      <c r="R417" s="9"/>
      <c r="S417" s="10"/>
    </row>
    <row r="418" spans="1:19" ht="14.25" customHeight="1" x14ac:dyDescent="0.35">
      <c r="A418" s="6"/>
      <c r="B418" s="6"/>
      <c r="C418" s="6"/>
      <c r="D418" s="6"/>
      <c r="E418" s="7"/>
      <c r="F418" s="6"/>
      <c r="G418" s="6"/>
      <c r="H418" s="6"/>
      <c r="I418" s="6"/>
      <c r="J418" s="6"/>
      <c r="K418" s="6"/>
      <c r="L418" s="6"/>
      <c r="M418" s="6"/>
      <c r="N418" s="8"/>
      <c r="O418" s="8"/>
      <c r="P418" s="8"/>
      <c r="Q418" s="8"/>
      <c r="R418" s="9"/>
      <c r="S418" s="10"/>
    </row>
    <row r="419" spans="1:19" ht="14.25" customHeight="1" x14ac:dyDescent="0.35">
      <c r="A419" s="6"/>
      <c r="B419" s="6"/>
      <c r="C419" s="6"/>
      <c r="D419" s="6"/>
      <c r="E419" s="7"/>
      <c r="F419" s="6"/>
      <c r="G419" s="6"/>
      <c r="H419" s="6"/>
      <c r="I419" s="6"/>
      <c r="J419" s="6"/>
      <c r="K419" s="6"/>
      <c r="L419" s="6"/>
      <c r="M419" s="6"/>
      <c r="N419" s="8"/>
      <c r="O419" s="8"/>
      <c r="P419" s="8"/>
      <c r="Q419" s="8"/>
      <c r="R419" s="9"/>
      <c r="S419" s="10"/>
    </row>
    <row r="420" spans="1:19" ht="14.25" customHeight="1" x14ac:dyDescent="0.35">
      <c r="A420" s="6"/>
      <c r="B420" s="6"/>
      <c r="C420" s="6"/>
      <c r="D420" s="6"/>
      <c r="E420" s="7"/>
      <c r="F420" s="6"/>
      <c r="G420" s="6"/>
      <c r="H420" s="6"/>
      <c r="I420" s="6"/>
      <c r="J420" s="6"/>
      <c r="K420" s="6"/>
      <c r="L420" s="6"/>
      <c r="M420" s="6"/>
      <c r="N420" s="8"/>
      <c r="O420" s="8"/>
      <c r="P420" s="8"/>
      <c r="Q420" s="8"/>
      <c r="R420" s="9"/>
      <c r="S420" s="10"/>
    </row>
    <row r="421" spans="1:19" ht="14.25" customHeight="1" x14ac:dyDescent="0.35">
      <c r="A421" s="6"/>
      <c r="B421" s="6"/>
      <c r="C421" s="6"/>
      <c r="D421" s="6"/>
      <c r="E421" s="7"/>
      <c r="F421" s="6"/>
      <c r="G421" s="6"/>
      <c r="H421" s="6"/>
      <c r="I421" s="6"/>
      <c r="J421" s="6"/>
      <c r="K421" s="6"/>
      <c r="L421" s="6"/>
      <c r="M421" s="6"/>
      <c r="N421" s="8"/>
      <c r="O421" s="8"/>
      <c r="P421" s="8"/>
      <c r="Q421" s="8"/>
      <c r="R421" s="9"/>
      <c r="S421" s="10"/>
    </row>
    <row r="422" spans="1:19" ht="14.25" customHeight="1" x14ac:dyDescent="0.35">
      <c r="A422" s="6"/>
      <c r="B422" s="6"/>
      <c r="C422" s="6"/>
      <c r="D422" s="6"/>
      <c r="E422" s="7"/>
      <c r="F422" s="6"/>
      <c r="G422" s="6"/>
      <c r="H422" s="6"/>
      <c r="I422" s="6"/>
      <c r="J422" s="6"/>
      <c r="K422" s="6"/>
      <c r="L422" s="6"/>
      <c r="M422" s="6"/>
      <c r="N422" s="8"/>
      <c r="O422" s="8"/>
      <c r="P422" s="8"/>
      <c r="Q422" s="8"/>
      <c r="R422" s="9"/>
      <c r="S422" s="10"/>
    </row>
    <row r="423" spans="1:19" ht="14.25" customHeight="1" x14ac:dyDescent="0.35">
      <c r="A423" s="6"/>
      <c r="B423" s="6"/>
      <c r="C423" s="6"/>
      <c r="D423" s="6"/>
      <c r="E423" s="7"/>
      <c r="F423" s="6"/>
      <c r="G423" s="6"/>
      <c r="H423" s="6"/>
      <c r="I423" s="6"/>
      <c r="J423" s="6"/>
      <c r="K423" s="6"/>
      <c r="L423" s="6"/>
      <c r="M423" s="6"/>
      <c r="N423" s="8"/>
      <c r="O423" s="8"/>
      <c r="P423" s="8"/>
      <c r="Q423" s="8"/>
      <c r="R423" s="9"/>
      <c r="S423" s="10"/>
    </row>
    <row r="424" spans="1:19" ht="14.25" customHeight="1" x14ac:dyDescent="0.35">
      <c r="A424" s="6"/>
      <c r="B424" s="6"/>
      <c r="C424" s="6"/>
      <c r="D424" s="6"/>
      <c r="E424" s="7"/>
      <c r="F424" s="6"/>
      <c r="G424" s="6"/>
      <c r="H424" s="6"/>
      <c r="I424" s="6"/>
      <c r="J424" s="6"/>
      <c r="K424" s="6"/>
      <c r="L424" s="6"/>
      <c r="M424" s="6"/>
      <c r="N424" s="8"/>
      <c r="O424" s="8"/>
      <c r="P424" s="8"/>
      <c r="Q424" s="8"/>
      <c r="R424" s="9"/>
      <c r="S424" s="10"/>
    </row>
    <row r="425" spans="1:19" ht="14.25" customHeight="1" x14ac:dyDescent="0.35">
      <c r="A425" s="6"/>
      <c r="B425" s="6"/>
      <c r="C425" s="6"/>
      <c r="D425" s="6"/>
      <c r="E425" s="7"/>
      <c r="F425" s="6"/>
      <c r="G425" s="6"/>
      <c r="H425" s="6"/>
      <c r="I425" s="6"/>
      <c r="J425" s="6"/>
      <c r="K425" s="6"/>
      <c r="L425" s="6"/>
      <c r="M425" s="6"/>
      <c r="N425" s="8"/>
      <c r="O425" s="8"/>
      <c r="P425" s="8"/>
      <c r="Q425" s="8"/>
      <c r="R425" s="9"/>
      <c r="S425" s="10"/>
    </row>
    <row r="426" spans="1:19" ht="14.25" customHeight="1" x14ac:dyDescent="0.35">
      <c r="A426" s="6"/>
      <c r="B426" s="6"/>
      <c r="C426" s="6"/>
      <c r="D426" s="6"/>
      <c r="E426" s="7"/>
      <c r="F426" s="6"/>
      <c r="G426" s="6"/>
      <c r="H426" s="6"/>
      <c r="I426" s="6"/>
      <c r="J426" s="6"/>
      <c r="K426" s="6"/>
      <c r="L426" s="6"/>
      <c r="M426" s="6"/>
      <c r="N426" s="8"/>
      <c r="O426" s="8"/>
      <c r="P426" s="8"/>
      <c r="Q426" s="8"/>
      <c r="R426" s="9"/>
      <c r="S426" s="10"/>
    </row>
    <row r="427" spans="1:19" ht="14.25" customHeight="1" x14ac:dyDescent="0.35">
      <c r="A427" s="6"/>
      <c r="B427" s="6"/>
      <c r="C427" s="6"/>
      <c r="D427" s="6"/>
      <c r="E427" s="7"/>
      <c r="F427" s="6"/>
      <c r="G427" s="6"/>
      <c r="H427" s="6"/>
      <c r="I427" s="6"/>
      <c r="J427" s="6"/>
      <c r="K427" s="6"/>
      <c r="L427" s="6"/>
      <c r="M427" s="6"/>
      <c r="N427" s="8"/>
      <c r="O427" s="8"/>
      <c r="P427" s="8"/>
      <c r="Q427" s="8"/>
      <c r="R427" s="9"/>
      <c r="S427" s="10"/>
    </row>
    <row r="428" spans="1:19" ht="14.25" customHeight="1" x14ac:dyDescent="0.35">
      <c r="A428" s="6"/>
      <c r="B428" s="6"/>
      <c r="C428" s="6"/>
      <c r="D428" s="6"/>
      <c r="E428" s="7"/>
      <c r="F428" s="6"/>
      <c r="G428" s="6"/>
      <c r="H428" s="6"/>
      <c r="I428" s="6"/>
      <c r="J428" s="6"/>
      <c r="K428" s="6"/>
      <c r="L428" s="6"/>
      <c r="M428" s="6"/>
      <c r="N428" s="8"/>
      <c r="O428" s="8"/>
      <c r="P428" s="8"/>
      <c r="Q428" s="8"/>
      <c r="R428" s="9"/>
      <c r="S428" s="10"/>
    </row>
    <row r="429" spans="1:19" ht="14.25" customHeight="1" x14ac:dyDescent="0.35">
      <c r="A429" s="6"/>
      <c r="B429" s="6"/>
      <c r="C429" s="6"/>
      <c r="D429" s="6"/>
      <c r="E429" s="7"/>
      <c r="F429" s="6"/>
      <c r="G429" s="6"/>
      <c r="H429" s="6"/>
      <c r="I429" s="6"/>
      <c r="J429" s="6"/>
      <c r="K429" s="6"/>
      <c r="L429" s="6"/>
      <c r="M429" s="6"/>
      <c r="N429" s="8"/>
      <c r="O429" s="8"/>
      <c r="P429" s="8"/>
      <c r="Q429" s="8"/>
      <c r="R429" s="9"/>
      <c r="S429" s="10"/>
    </row>
    <row r="430" spans="1:19" ht="14.25" customHeight="1" x14ac:dyDescent="0.35">
      <c r="A430" s="6"/>
      <c r="B430" s="6"/>
      <c r="C430" s="6"/>
      <c r="D430" s="6"/>
      <c r="E430" s="7"/>
      <c r="F430" s="6"/>
      <c r="G430" s="6"/>
      <c r="H430" s="6"/>
      <c r="I430" s="6"/>
      <c r="J430" s="6"/>
      <c r="K430" s="6"/>
      <c r="L430" s="6"/>
      <c r="M430" s="6"/>
      <c r="N430" s="8"/>
      <c r="O430" s="8"/>
      <c r="P430" s="8"/>
      <c r="Q430" s="8"/>
      <c r="R430" s="9"/>
      <c r="S430" s="10"/>
    </row>
    <row r="431" spans="1:19" ht="14.25" customHeight="1" x14ac:dyDescent="0.35">
      <c r="A431" s="6"/>
      <c r="B431" s="6"/>
      <c r="C431" s="6"/>
      <c r="D431" s="6"/>
      <c r="E431" s="7"/>
      <c r="F431" s="6"/>
      <c r="G431" s="6"/>
      <c r="H431" s="6"/>
      <c r="I431" s="6"/>
      <c r="J431" s="6"/>
      <c r="K431" s="6"/>
      <c r="L431" s="6"/>
      <c r="M431" s="6"/>
      <c r="N431" s="8"/>
      <c r="O431" s="8"/>
      <c r="P431" s="8"/>
      <c r="Q431" s="8"/>
      <c r="R431" s="9"/>
      <c r="S431" s="10"/>
    </row>
    <row r="432" spans="1:19" ht="14.25" customHeight="1" x14ac:dyDescent="0.35">
      <c r="A432" s="6"/>
      <c r="B432" s="6"/>
      <c r="C432" s="6"/>
      <c r="D432" s="6"/>
      <c r="E432" s="7"/>
      <c r="F432" s="6"/>
      <c r="G432" s="6"/>
      <c r="H432" s="6"/>
      <c r="I432" s="6"/>
      <c r="J432" s="6"/>
      <c r="K432" s="6"/>
      <c r="L432" s="6"/>
      <c r="M432" s="6"/>
      <c r="N432" s="8"/>
      <c r="O432" s="8"/>
      <c r="P432" s="8"/>
      <c r="Q432" s="8"/>
      <c r="R432" s="9"/>
      <c r="S432" s="10"/>
    </row>
    <row r="433" spans="1:19" ht="14.25" customHeight="1" x14ac:dyDescent="0.35">
      <c r="A433" s="6"/>
      <c r="B433" s="6"/>
      <c r="C433" s="6"/>
      <c r="D433" s="6"/>
      <c r="E433" s="7"/>
      <c r="F433" s="6"/>
      <c r="G433" s="6"/>
      <c r="H433" s="6"/>
      <c r="I433" s="6"/>
      <c r="J433" s="6"/>
      <c r="K433" s="6"/>
      <c r="L433" s="6"/>
      <c r="M433" s="6"/>
      <c r="N433" s="8"/>
      <c r="O433" s="8"/>
      <c r="P433" s="8"/>
      <c r="Q433" s="8"/>
      <c r="R433" s="9"/>
      <c r="S433" s="10"/>
    </row>
    <row r="434" spans="1:19" ht="14.25" customHeight="1" x14ac:dyDescent="0.35">
      <c r="A434" s="6"/>
      <c r="B434" s="6"/>
      <c r="C434" s="6"/>
      <c r="D434" s="6"/>
      <c r="E434" s="7"/>
      <c r="F434" s="6"/>
      <c r="G434" s="6"/>
      <c r="H434" s="6"/>
      <c r="I434" s="6"/>
      <c r="J434" s="6"/>
      <c r="K434" s="6"/>
      <c r="L434" s="6"/>
      <c r="M434" s="6"/>
      <c r="N434" s="8"/>
      <c r="O434" s="8"/>
      <c r="P434" s="8"/>
      <c r="Q434" s="8"/>
      <c r="R434" s="9"/>
      <c r="S434" s="10"/>
    </row>
    <row r="435" spans="1:19" ht="14.25" customHeight="1" x14ac:dyDescent="0.35">
      <c r="A435" s="6"/>
      <c r="B435" s="6"/>
      <c r="C435" s="6"/>
      <c r="D435" s="6"/>
      <c r="E435" s="7"/>
      <c r="F435" s="6"/>
      <c r="G435" s="6"/>
      <c r="H435" s="6"/>
      <c r="I435" s="6"/>
      <c r="J435" s="6"/>
      <c r="K435" s="6"/>
      <c r="L435" s="6"/>
      <c r="M435" s="6"/>
      <c r="N435" s="8"/>
      <c r="O435" s="8"/>
      <c r="P435" s="8"/>
      <c r="Q435" s="8"/>
      <c r="R435" s="9"/>
      <c r="S435" s="10"/>
    </row>
    <row r="436" spans="1:19" ht="14.25" customHeight="1" x14ac:dyDescent="0.35">
      <c r="A436" s="6"/>
      <c r="B436" s="6"/>
      <c r="C436" s="6"/>
      <c r="D436" s="6"/>
      <c r="E436" s="7"/>
      <c r="F436" s="6"/>
      <c r="G436" s="6"/>
      <c r="H436" s="6"/>
      <c r="I436" s="6"/>
      <c r="J436" s="6"/>
      <c r="K436" s="6"/>
      <c r="L436" s="6"/>
      <c r="M436" s="6"/>
      <c r="N436" s="8"/>
      <c r="O436" s="8"/>
      <c r="P436" s="8"/>
      <c r="Q436" s="8"/>
      <c r="R436" s="9"/>
      <c r="S436" s="10"/>
    </row>
    <row r="437" spans="1:19" ht="14.25" customHeight="1" x14ac:dyDescent="0.35">
      <c r="A437" s="6"/>
      <c r="B437" s="6"/>
      <c r="C437" s="6"/>
      <c r="D437" s="6"/>
      <c r="E437" s="7"/>
      <c r="F437" s="6"/>
      <c r="G437" s="6"/>
      <c r="H437" s="6"/>
      <c r="I437" s="6"/>
      <c r="J437" s="6"/>
      <c r="K437" s="6"/>
      <c r="L437" s="6"/>
      <c r="M437" s="6"/>
      <c r="N437" s="8"/>
      <c r="O437" s="8"/>
      <c r="P437" s="8"/>
      <c r="Q437" s="8"/>
      <c r="R437" s="9"/>
      <c r="S437" s="10"/>
    </row>
    <row r="438" spans="1:19" ht="14.25" customHeight="1" x14ac:dyDescent="0.35">
      <c r="A438" s="6"/>
      <c r="B438" s="6"/>
      <c r="C438" s="6"/>
      <c r="D438" s="6"/>
      <c r="E438" s="7"/>
      <c r="F438" s="6"/>
      <c r="G438" s="6"/>
      <c r="H438" s="6"/>
      <c r="I438" s="6"/>
      <c r="J438" s="6"/>
      <c r="K438" s="6"/>
      <c r="L438" s="6"/>
      <c r="M438" s="6"/>
      <c r="N438" s="8"/>
      <c r="O438" s="8"/>
      <c r="P438" s="8"/>
      <c r="Q438" s="8"/>
      <c r="R438" s="9"/>
      <c r="S438" s="10"/>
    </row>
    <row r="439" spans="1:19" ht="14.25" customHeight="1" x14ac:dyDescent="0.35">
      <c r="A439" s="6"/>
      <c r="B439" s="6"/>
      <c r="C439" s="6"/>
      <c r="D439" s="6"/>
      <c r="E439" s="7"/>
      <c r="F439" s="6"/>
      <c r="G439" s="6"/>
      <c r="H439" s="6"/>
      <c r="I439" s="6"/>
      <c r="J439" s="6"/>
      <c r="K439" s="6"/>
      <c r="L439" s="6"/>
      <c r="M439" s="6"/>
      <c r="N439" s="8"/>
      <c r="O439" s="8"/>
      <c r="P439" s="8"/>
      <c r="Q439" s="8"/>
      <c r="R439" s="9"/>
      <c r="S439" s="10"/>
    </row>
    <row r="440" spans="1:19" ht="14.25" customHeight="1" x14ac:dyDescent="0.35">
      <c r="A440" s="6"/>
      <c r="B440" s="6"/>
      <c r="C440" s="6"/>
      <c r="D440" s="6"/>
      <c r="E440" s="7"/>
      <c r="F440" s="6"/>
      <c r="G440" s="6"/>
      <c r="H440" s="6"/>
      <c r="I440" s="6"/>
      <c r="J440" s="6"/>
      <c r="K440" s="6"/>
      <c r="L440" s="6"/>
      <c r="M440" s="6"/>
      <c r="N440" s="8"/>
      <c r="O440" s="8"/>
      <c r="P440" s="8"/>
      <c r="Q440" s="8"/>
      <c r="R440" s="9"/>
      <c r="S440" s="10"/>
    </row>
    <row r="441" spans="1:19" ht="14.25" customHeight="1" x14ac:dyDescent="0.35">
      <c r="A441" s="6"/>
      <c r="B441" s="6"/>
      <c r="C441" s="6"/>
      <c r="D441" s="6"/>
      <c r="E441" s="7"/>
      <c r="F441" s="6"/>
      <c r="G441" s="6"/>
      <c r="H441" s="6"/>
      <c r="I441" s="6"/>
      <c r="J441" s="6"/>
      <c r="K441" s="6"/>
      <c r="L441" s="6"/>
      <c r="M441" s="6"/>
      <c r="N441" s="8"/>
      <c r="O441" s="8"/>
      <c r="P441" s="8"/>
      <c r="Q441" s="8"/>
      <c r="R441" s="9"/>
      <c r="S441" s="10"/>
    </row>
    <row r="442" spans="1:19" ht="14.25" customHeight="1" x14ac:dyDescent="0.35">
      <c r="A442" s="6"/>
      <c r="B442" s="6"/>
      <c r="C442" s="6"/>
      <c r="D442" s="6"/>
      <c r="E442" s="7"/>
      <c r="F442" s="6"/>
      <c r="G442" s="6"/>
      <c r="H442" s="6"/>
      <c r="I442" s="6"/>
      <c r="J442" s="6"/>
      <c r="K442" s="6"/>
      <c r="L442" s="6"/>
      <c r="M442" s="6"/>
      <c r="N442" s="8"/>
      <c r="O442" s="8"/>
      <c r="P442" s="8"/>
      <c r="Q442" s="8"/>
      <c r="R442" s="9"/>
      <c r="S442" s="10"/>
    </row>
    <row r="443" spans="1:19" ht="14.25" customHeight="1" x14ac:dyDescent="0.35">
      <c r="A443" s="6"/>
      <c r="B443" s="6"/>
      <c r="C443" s="6"/>
      <c r="D443" s="6"/>
      <c r="E443" s="7"/>
      <c r="F443" s="6"/>
      <c r="G443" s="6"/>
      <c r="H443" s="6"/>
      <c r="I443" s="6"/>
      <c r="J443" s="6"/>
      <c r="K443" s="6"/>
      <c r="L443" s="6"/>
      <c r="M443" s="6"/>
      <c r="N443" s="8"/>
      <c r="O443" s="8"/>
      <c r="P443" s="8"/>
      <c r="Q443" s="8"/>
      <c r="R443" s="9"/>
      <c r="S443" s="10"/>
    </row>
    <row r="444" spans="1:19" ht="14.25" customHeight="1" x14ac:dyDescent="0.35">
      <c r="A444" s="6"/>
      <c r="B444" s="6"/>
      <c r="C444" s="6"/>
      <c r="D444" s="6"/>
      <c r="E444" s="7"/>
      <c r="F444" s="6"/>
      <c r="G444" s="6"/>
      <c r="H444" s="6"/>
      <c r="I444" s="6"/>
      <c r="J444" s="6"/>
      <c r="K444" s="6"/>
      <c r="L444" s="6"/>
      <c r="M444" s="6"/>
      <c r="N444" s="8"/>
      <c r="O444" s="8"/>
      <c r="P444" s="8"/>
      <c r="Q444" s="8"/>
      <c r="R444" s="9"/>
      <c r="S444" s="10"/>
    </row>
    <row r="445" spans="1:19" ht="14.25" customHeight="1" x14ac:dyDescent="0.35">
      <c r="A445" s="6"/>
      <c r="B445" s="6"/>
      <c r="C445" s="6"/>
      <c r="D445" s="6"/>
      <c r="E445" s="7"/>
      <c r="F445" s="6"/>
      <c r="G445" s="6"/>
      <c r="H445" s="6"/>
      <c r="I445" s="6"/>
      <c r="J445" s="6"/>
      <c r="K445" s="6"/>
      <c r="L445" s="6"/>
      <c r="M445" s="6"/>
      <c r="N445" s="8"/>
      <c r="O445" s="8"/>
      <c r="P445" s="8"/>
      <c r="Q445" s="8"/>
      <c r="R445" s="9"/>
      <c r="S445" s="10"/>
    </row>
    <row r="446" spans="1:19" ht="14.25" customHeight="1" x14ac:dyDescent="0.35">
      <c r="A446" s="6"/>
      <c r="B446" s="6"/>
      <c r="C446" s="6"/>
      <c r="D446" s="6"/>
      <c r="E446" s="7"/>
      <c r="F446" s="6"/>
      <c r="G446" s="6"/>
      <c r="H446" s="6"/>
      <c r="I446" s="6"/>
      <c r="J446" s="6"/>
      <c r="K446" s="6"/>
      <c r="L446" s="6"/>
      <c r="M446" s="6"/>
      <c r="N446" s="8"/>
      <c r="O446" s="8"/>
      <c r="P446" s="8"/>
      <c r="Q446" s="8"/>
      <c r="R446" s="9"/>
      <c r="S446" s="10"/>
    </row>
    <row r="447" spans="1:19" ht="14.25" customHeight="1" x14ac:dyDescent="0.35">
      <c r="A447" s="6"/>
      <c r="B447" s="6"/>
      <c r="C447" s="6"/>
      <c r="D447" s="6"/>
      <c r="E447" s="7"/>
      <c r="F447" s="6"/>
      <c r="G447" s="6"/>
      <c r="H447" s="6"/>
      <c r="I447" s="6"/>
      <c r="J447" s="6"/>
      <c r="K447" s="6"/>
      <c r="L447" s="6"/>
      <c r="M447" s="6"/>
      <c r="N447" s="8"/>
      <c r="O447" s="8"/>
      <c r="P447" s="8"/>
      <c r="Q447" s="8"/>
      <c r="R447" s="9"/>
      <c r="S447" s="10"/>
    </row>
    <row r="448" spans="1:19" ht="14.25" customHeight="1" x14ac:dyDescent="0.35">
      <c r="A448" s="6"/>
      <c r="B448" s="6"/>
      <c r="C448" s="6"/>
      <c r="D448" s="6"/>
      <c r="E448" s="7"/>
      <c r="F448" s="6"/>
      <c r="G448" s="6"/>
      <c r="H448" s="6"/>
      <c r="I448" s="6"/>
      <c r="J448" s="6"/>
      <c r="K448" s="6"/>
      <c r="L448" s="6"/>
      <c r="M448" s="6"/>
      <c r="N448" s="8"/>
      <c r="O448" s="8"/>
      <c r="P448" s="8"/>
      <c r="Q448" s="8"/>
      <c r="R448" s="9"/>
      <c r="S448" s="10"/>
    </row>
    <row r="449" spans="1:19" ht="14.25" customHeight="1" x14ac:dyDescent="0.35">
      <c r="A449" s="6"/>
      <c r="B449" s="6"/>
      <c r="C449" s="6"/>
      <c r="D449" s="6"/>
      <c r="E449" s="7"/>
      <c r="F449" s="6"/>
      <c r="G449" s="6"/>
      <c r="H449" s="6"/>
      <c r="I449" s="6"/>
      <c r="J449" s="6"/>
      <c r="K449" s="6"/>
      <c r="L449" s="6"/>
      <c r="M449" s="6"/>
      <c r="N449" s="8"/>
      <c r="O449" s="8"/>
      <c r="P449" s="8"/>
      <c r="Q449" s="8"/>
      <c r="R449" s="9"/>
      <c r="S449" s="10"/>
    </row>
    <row r="450" spans="1:19" ht="14.25" customHeight="1" x14ac:dyDescent="0.35">
      <c r="A450" s="6"/>
      <c r="B450" s="6"/>
      <c r="C450" s="6"/>
      <c r="D450" s="6"/>
      <c r="E450" s="7"/>
      <c r="F450" s="6"/>
      <c r="G450" s="6"/>
      <c r="H450" s="6"/>
      <c r="I450" s="6"/>
      <c r="J450" s="6"/>
      <c r="K450" s="6"/>
      <c r="L450" s="6"/>
      <c r="M450" s="6"/>
      <c r="N450" s="8"/>
      <c r="O450" s="8"/>
      <c r="P450" s="8"/>
      <c r="Q450" s="8"/>
      <c r="R450" s="9"/>
      <c r="S450" s="10"/>
    </row>
    <row r="451" spans="1:19" ht="14.25" customHeight="1" x14ac:dyDescent="0.35">
      <c r="A451" s="6"/>
      <c r="B451" s="6"/>
      <c r="C451" s="6"/>
      <c r="D451" s="6"/>
      <c r="E451" s="7"/>
      <c r="F451" s="6"/>
      <c r="G451" s="6"/>
      <c r="H451" s="6"/>
      <c r="I451" s="6"/>
      <c r="J451" s="6"/>
      <c r="K451" s="6"/>
      <c r="L451" s="6"/>
      <c r="M451" s="6"/>
      <c r="N451" s="8"/>
      <c r="O451" s="8"/>
      <c r="P451" s="8"/>
      <c r="Q451" s="8"/>
      <c r="R451" s="9"/>
      <c r="S451" s="10"/>
    </row>
    <row r="452" spans="1:19" ht="14.25" customHeight="1" x14ac:dyDescent="0.35">
      <c r="A452" s="6"/>
      <c r="B452" s="6"/>
      <c r="C452" s="6"/>
      <c r="D452" s="6"/>
      <c r="E452" s="7"/>
      <c r="F452" s="6"/>
      <c r="G452" s="6"/>
      <c r="H452" s="6"/>
      <c r="I452" s="6"/>
      <c r="J452" s="6"/>
      <c r="K452" s="6"/>
      <c r="L452" s="6"/>
      <c r="M452" s="6"/>
      <c r="N452" s="8"/>
      <c r="O452" s="8"/>
      <c r="P452" s="8"/>
      <c r="Q452" s="8"/>
      <c r="R452" s="9"/>
      <c r="S452" s="10"/>
    </row>
    <row r="453" spans="1:19" ht="14.25" customHeight="1" x14ac:dyDescent="0.35">
      <c r="A453" s="6"/>
      <c r="B453" s="6"/>
      <c r="C453" s="6"/>
      <c r="D453" s="6"/>
      <c r="E453" s="7"/>
      <c r="F453" s="6"/>
      <c r="G453" s="6"/>
      <c r="H453" s="6"/>
      <c r="I453" s="6"/>
      <c r="J453" s="6"/>
      <c r="K453" s="6"/>
      <c r="L453" s="6"/>
      <c r="M453" s="6"/>
      <c r="N453" s="8"/>
      <c r="O453" s="8"/>
      <c r="P453" s="8"/>
      <c r="Q453" s="8"/>
      <c r="R453" s="9"/>
      <c r="S453" s="10"/>
    </row>
    <row r="454" spans="1:19" ht="14.25" customHeight="1" x14ac:dyDescent="0.35">
      <c r="A454" s="6"/>
      <c r="B454" s="6"/>
      <c r="C454" s="6"/>
      <c r="D454" s="6"/>
      <c r="E454" s="7"/>
      <c r="F454" s="6"/>
      <c r="G454" s="6"/>
      <c r="H454" s="6"/>
      <c r="I454" s="6"/>
      <c r="J454" s="6"/>
      <c r="K454" s="6"/>
      <c r="L454" s="6"/>
      <c r="M454" s="6"/>
      <c r="N454" s="8"/>
      <c r="O454" s="8"/>
      <c r="P454" s="8"/>
      <c r="Q454" s="8"/>
      <c r="R454" s="9"/>
      <c r="S454" s="10"/>
    </row>
    <row r="455" spans="1:19" ht="14.25" customHeight="1" x14ac:dyDescent="0.35">
      <c r="A455" s="6"/>
      <c r="B455" s="6"/>
      <c r="C455" s="6"/>
      <c r="D455" s="6"/>
      <c r="E455" s="7"/>
      <c r="F455" s="6"/>
      <c r="G455" s="6"/>
      <c r="H455" s="6"/>
      <c r="I455" s="6"/>
      <c r="J455" s="6"/>
      <c r="K455" s="6"/>
      <c r="L455" s="6"/>
      <c r="M455" s="6"/>
      <c r="N455" s="8"/>
      <c r="O455" s="8"/>
      <c r="P455" s="8"/>
      <c r="Q455" s="8"/>
      <c r="R455" s="9"/>
      <c r="S455" s="10"/>
    </row>
    <row r="456" spans="1:19" ht="14.25" customHeight="1" x14ac:dyDescent="0.35">
      <c r="A456" s="6"/>
      <c r="B456" s="6"/>
      <c r="C456" s="6"/>
      <c r="D456" s="6"/>
      <c r="E456" s="7"/>
      <c r="F456" s="6"/>
      <c r="G456" s="6"/>
      <c r="H456" s="6"/>
      <c r="I456" s="6"/>
      <c r="J456" s="6"/>
      <c r="K456" s="6"/>
      <c r="L456" s="6"/>
      <c r="M456" s="6"/>
      <c r="N456" s="8"/>
      <c r="O456" s="8"/>
      <c r="P456" s="8"/>
      <c r="Q456" s="8"/>
      <c r="R456" s="9"/>
      <c r="S456" s="10"/>
    </row>
    <row r="457" spans="1:19" ht="14.25" customHeight="1" x14ac:dyDescent="0.35">
      <c r="A457" s="6"/>
      <c r="B457" s="6"/>
      <c r="C457" s="6"/>
      <c r="D457" s="6"/>
      <c r="E457" s="7"/>
      <c r="F457" s="6"/>
      <c r="G457" s="6"/>
      <c r="H457" s="6"/>
      <c r="I457" s="6"/>
      <c r="J457" s="6"/>
      <c r="K457" s="6"/>
      <c r="L457" s="6"/>
      <c r="M457" s="6"/>
      <c r="N457" s="8"/>
      <c r="O457" s="8"/>
      <c r="P457" s="8"/>
      <c r="Q457" s="8"/>
      <c r="R457" s="9"/>
      <c r="S457" s="10"/>
    </row>
    <row r="458" spans="1:19" ht="14.25" customHeight="1" x14ac:dyDescent="0.35">
      <c r="A458" s="6"/>
      <c r="B458" s="6"/>
      <c r="C458" s="6"/>
      <c r="D458" s="6"/>
      <c r="E458" s="7"/>
      <c r="F458" s="6"/>
      <c r="G458" s="6"/>
      <c r="H458" s="6"/>
      <c r="I458" s="6"/>
      <c r="J458" s="6"/>
      <c r="K458" s="6"/>
      <c r="L458" s="6"/>
      <c r="M458" s="6"/>
      <c r="N458" s="8"/>
      <c r="O458" s="8"/>
      <c r="P458" s="8"/>
      <c r="Q458" s="8"/>
      <c r="R458" s="9"/>
      <c r="S458" s="10"/>
    </row>
    <row r="459" spans="1:19" ht="14.25" customHeight="1" x14ac:dyDescent="0.35">
      <c r="A459" s="6"/>
      <c r="B459" s="6"/>
      <c r="C459" s="6"/>
      <c r="D459" s="6"/>
      <c r="E459" s="7"/>
      <c r="F459" s="6"/>
      <c r="G459" s="6"/>
      <c r="H459" s="6"/>
      <c r="I459" s="6"/>
      <c r="J459" s="6"/>
      <c r="K459" s="6"/>
      <c r="L459" s="6"/>
      <c r="M459" s="6"/>
      <c r="N459" s="8"/>
      <c r="O459" s="8"/>
      <c r="P459" s="8"/>
      <c r="Q459" s="8"/>
      <c r="R459" s="9"/>
      <c r="S459" s="10"/>
    </row>
    <row r="460" spans="1:19" ht="14.25" customHeight="1" x14ac:dyDescent="0.35">
      <c r="A460" s="6"/>
      <c r="B460" s="6"/>
      <c r="C460" s="6"/>
      <c r="D460" s="6"/>
      <c r="E460" s="7"/>
      <c r="F460" s="6"/>
      <c r="G460" s="6"/>
      <c r="H460" s="6"/>
      <c r="I460" s="6"/>
      <c r="J460" s="6"/>
      <c r="K460" s="6"/>
      <c r="L460" s="6"/>
      <c r="M460" s="6"/>
      <c r="N460" s="8"/>
      <c r="O460" s="8"/>
      <c r="P460" s="8"/>
      <c r="Q460" s="8"/>
      <c r="R460" s="9"/>
      <c r="S460" s="10"/>
    </row>
    <row r="461" spans="1:19" ht="14.25" customHeight="1" x14ac:dyDescent="0.35">
      <c r="A461" s="6"/>
      <c r="B461" s="6"/>
      <c r="C461" s="6"/>
      <c r="D461" s="6"/>
      <c r="E461" s="7"/>
      <c r="F461" s="6"/>
      <c r="G461" s="6"/>
      <c r="H461" s="6"/>
      <c r="I461" s="6"/>
      <c r="J461" s="6"/>
      <c r="K461" s="6"/>
      <c r="L461" s="6"/>
      <c r="M461" s="6"/>
      <c r="N461" s="8"/>
      <c r="O461" s="8"/>
      <c r="P461" s="8"/>
      <c r="Q461" s="8"/>
      <c r="R461" s="9"/>
      <c r="S461" s="10"/>
    </row>
    <row r="462" spans="1:19" ht="14.25" customHeight="1" x14ac:dyDescent="0.35">
      <c r="A462" s="6"/>
      <c r="B462" s="6"/>
      <c r="C462" s="6"/>
      <c r="D462" s="6"/>
      <c r="E462" s="7"/>
      <c r="F462" s="6"/>
      <c r="G462" s="6"/>
      <c r="H462" s="6"/>
      <c r="I462" s="6"/>
      <c r="J462" s="6"/>
      <c r="K462" s="6"/>
      <c r="L462" s="6"/>
      <c r="M462" s="6"/>
      <c r="N462" s="8"/>
      <c r="O462" s="8"/>
      <c r="P462" s="8"/>
      <c r="Q462" s="8"/>
      <c r="R462" s="9"/>
      <c r="S462" s="10"/>
    </row>
    <row r="463" spans="1:19" ht="14.25" customHeight="1" x14ac:dyDescent="0.35">
      <c r="A463" s="6"/>
      <c r="B463" s="6"/>
      <c r="C463" s="6"/>
      <c r="D463" s="6"/>
      <c r="E463" s="7"/>
      <c r="F463" s="6"/>
      <c r="G463" s="6"/>
      <c r="H463" s="6"/>
      <c r="I463" s="6"/>
      <c r="J463" s="6"/>
      <c r="K463" s="6"/>
      <c r="L463" s="6"/>
      <c r="M463" s="6"/>
      <c r="N463" s="8"/>
      <c r="O463" s="8"/>
      <c r="P463" s="8"/>
      <c r="Q463" s="8"/>
      <c r="R463" s="9"/>
      <c r="S463" s="10"/>
    </row>
    <row r="464" spans="1:19" ht="14.25" customHeight="1" x14ac:dyDescent="0.35">
      <c r="A464" s="6"/>
      <c r="B464" s="6"/>
      <c r="C464" s="6"/>
      <c r="D464" s="6"/>
      <c r="E464" s="7"/>
      <c r="F464" s="6"/>
      <c r="G464" s="6"/>
      <c r="H464" s="6"/>
      <c r="I464" s="6"/>
      <c r="J464" s="6"/>
      <c r="K464" s="6"/>
      <c r="L464" s="6"/>
      <c r="M464" s="6"/>
      <c r="N464" s="8"/>
      <c r="O464" s="8"/>
      <c r="P464" s="8"/>
      <c r="Q464" s="8"/>
      <c r="R464" s="9"/>
      <c r="S464" s="10"/>
    </row>
    <row r="465" spans="1:19" ht="14.25" customHeight="1" x14ac:dyDescent="0.35">
      <c r="A465" s="6"/>
      <c r="B465" s="6"/>
      <c r="C465" s="6"/>
      <c r="D465" s="6"/>
      <c r="E465" s="7"/>
      <c r="F465" s="6"/>
      <c r="G465" s="6"/>
      <c r="H465" s="6"/>
      <c r="I465" s="6"/>
      <c r="J465" s="6"/>
      <c r="K465" s="6"/>
      <c r="L465" s="6"/>
      <c r="M465" s="6"/>
      <c r="N465" s="8"/>
      <c r="O465" s="8"/>
      <c r="P465" s="8"/>
      <c r="Q465" s="8"/>
      <c r="R465" s="9"/>
      <c r="S465" s="10"/>
    </row>
    <row r="466" spans="1:19" ht="14.25" customHeight="1" x14ac:dyDescent="0.35">
      <c r="A466" s="6"/>
      <c r="B466" s="6"/>
      <c r="C466" s="6"/>
      <c r="D466" s="6"/>
      <c r="E466" s="7"/>
      <c r="F466" s="6"/>
      <c r="G466" s="6"/>
      <c r="H466" s="6"/>
      <c r="I466" s="6"/>
      <c r="J466" s="6"/>
      <c r="K466" s="6"/>
      <c r="L466" s="6"/>
      <c r="M466" s="6"/>
      <c r="N466" s="8"/>
      <c r="O466" s="8"/>
      <c r="P466" s="8"/>
      <c r="Q466" s="8"/>
      <c r="R466" s="9"/>
      <c r="S466" s="10"/>
    </row>
    <row r="467" spans="1:19" ht="14.25" customHeight="1" x14ac:dyDescent="0.35">
      <c r="A467" s="6"/>
      <c r="B467" s="6"/>
      <c r="C467" s="6"/>
      <c r="D467" s="6"/>
      <c r="E467" s="7"/>
      <c r="F467" s="6"/>
      <c r="G467" s="6"/>
      <c r="H467" s="6"/>
      <c r="I467" s="6"/>
      <c r="J467" s="6"/>
      <c r="K467" s="6"/>
      <c r="L467" s="6"/>
      <c r="M467" s="6"/>
      <c r="N467" s="8"/>
      <c r="O467" s="8"/>
      <c r="P467" s="8"/>
      <c r="Q467" s="8"/>
      <c r="R467" s="9"/>
      <c r="S467" s="10"/>
    </row>
    <row r="468" spans="1:19" ht="14.25" customHeight="1" x14ac:dyDescent="0.35">
      <c r="A468" s="6"/>
      <c r="B468" s="6"/>
      <c r="C468" s="6"/>
      <c r="D468" s="6"/>
      <c r="E468" s="7"/>
      <c r="F468" s="6"/>
      <c r="G468" s="6"/>
      <c r="H468" s="6"/>
      <c r="I468" s="6"/>
      <c r="J468" s="6"/>
      <c r="K468" s="6"/>
      <c r="L468" s="6"/>
      <c r="M468" s="6"/>
      <c r="N468" s="8"/>
      <c r="O468" s="8"/>
      <c r="P468" s="8"/>
      <c r="Q468" s="8"/>
      <c r="R468" s="9"/>
      <c r="S468" s="10"/>
    </row>
    <row r="469" spans="1:19" ht="14.25" customHeight="1" x14ac:dyDescent="0.35">
      <c r="A469" s="6"/>
      <c r="B469" s="6"/>
      <c r="C469" s="6"/>
      <c r="D469" s="6"/>
      <c r="E469" s="7"/>
      <c r="F469" s="6"/>
      <c r="G469" s="6"/>
      <c r="H469" s="6"/>
      <c r="I469" s="6"/>
      <c r="J469" s="6"/>
      <c r="K469" s="6"/>
      <c r="L469" s="6"/>
      <c r="M469" s="6"/>
      <c r="N469" s="8"/>
      <c r="O469" s="8"/>
      <c r="P469" s="8"/>
      <c r="Q469" s="8"/>
      <c r="R469" s="9"/>
      <c r="S469" s="10"/>
    </row>
    <row r="470" spans="1:19" ht="14.25" customHeight="1" x14ac:dyDescent="0.35">
      <c r="A470" s="6"/>
      <c r="B470" s="6"/>
      <c r="C470" s="6"/>
      <c r="D470" s="6"/>
      <c r="E470" s="7"/>
      <c r="F470" s="6"/>
      <c r="G470" s="6"/>
      <c r="H470" s="6"/>
      <c r="I470" s="6"/>
      <c r="J470" s="6"/>
      <c r="K470" s="6"/>
      <c r="L470" s="6"/>
      <c r="M470" s="6"/>
      <c r="N470" s="8"/>
      <c r="O470" s="8"/>
      <c r="P470" s="8"/>
      <c r="Q470" s="8"/>
      <c r="R470" s="9"/>
      <c r="S470" s="10"/>
    </row>
    <row r="471" spans="1:19" ht="14.25" customHeight="1" x14ac:dyDescent="0.35">
      <c r="A471" s="6"/>
      <c r="B471" s="6"/>
      <c r="C471" s="6"/>
      <c r="D471" s="6"/>
      <c r="E471" s="7"/>
      <c r="F471" s="6"/>
      <c r="G471" s="6"/>
      <c r="H471" s="6"/>
      <c r="I471" s="6"/>
      <c r="J471" s="6"/>
      <c r="K471" s="6"/>
      <c r="L471" s="6"/>
      <c r="M471" s="6"/>
      <c r="N471" s="8"/>
      <c r="O471" s="8"/>
      <c r="P471" s="8"/>
      <c r="Q471" s="8"/>
      <c r="R471" s="9"/>
      <c r="S471" s="10"/>
    </row>
    <row r="472" spans="1:19" ht="14.25" customHeight="1" x14ac:dyDescent="0.35">
      <c r="A472" s="6"/>
      <c r="B472" s="6"/>
      <c r="C472" s="6"/>
      <c r="D472" s="6"/>
      <c r="E472" s="7"/>
      <c r="F472" s="6"/>
      <c r="G472" s="6"/>
      <c r="H472" s="6"/>
      <c r="I472" s="6"/>
      <c r="J472" s="6"/>
      <c r="K472" s="6"/>
      <c r="L472" s="6"/>
      <c r="M472" s="6"/>
      <c r="N472" s="8"/>
      <c r="O472" s="8"/>
      <c r="P472" s="8"/>
      <c r="Q472" s="8"/>
      <c r="R472" s="9"/>
      <c r="S472" s="10"/>
    </row>
    <row r="473" spans="1:19" ht="14.25" customHeight="1" x14ac:dyDescent="0.35">
      <c r="A473" s="6"/>
      <c r="B473" s="6"/>
      <c r="C473" s="6"/>
      <c r="D473" s="6"/>
      <c r="E473" s="7"/>
      <c r="F473" s="6"/>
      <c r="G473" s="6"/>
      <c r="H473" s="6"/>
      <c r="I473" s="6"/>
      <c r="J473" s="6"/>
      <c r="K473" s="6"/>
      <c r="L473" s="6"/>
      <c r="M473" s="6"/>
      <c r="N473" s="8"/>
      <c r="O473" s="8"/>
      <c r="P473" s="8"/>
      <c r="Q473" s="8"/>
      <c r="R473" s="9"/>
      <c r="S473" s="10"/>
    </row>
    <row r="474" spans="1:19" ht="14.25" customHeight="1" x14ac:dyDescent="0.35">
      <c r="A474" s="6"/>
      <c r="B474" s="6"/>
      <c r="C474" s="6"/>
      <c r="D474" s="6"/>
      <c r="E474" s="7"/>
      <c r="F474" s="6"/>
      <c r="G474" s="6"/>
      <c r="H474" s="6"/>
      <c r="I474" s="6"/>
      <c r="J474" s="6"/>
      <c r="K474" s="6"/>
      <c r="L474" s="6"/>
      <c r="M474" s="6"/>
      <c r="N474" s="8"/>
      <c r="O474" s="8"/>
      <c r="P474" s="8"/>
      <c r="Q474" s="8"/>
      <c r="R474" s="9"/>
      <c r="S474" s="10"/>
    </row>
    <row r="475" spans="1:19" ht="14.25" customHeight="1" x14ac:dyDescent="0.35">
      <c r="A475" s="6"/>
      <c r="B475" s="6"/>
      <c r="C475" s="6"/>
      <c r="D475" s="6"/>
      <c r="E475" s="7"/>
      <c r="F475" s="6"/>
      <c r="G475" s="6"/>
      <c r="H475" s="6"/>
      <c r="I475" s="6"/>
      <c r="J475" s="6"/>
      <c r="K475" s="6"/>
      <c r="L475" s="6"/>
      <c r="M475" s="6"/>
      <c r="N475" s="8"/>
      <c r="O475" s="8"/>
      <c r="P475" s="8"/>
      <c r="Q475" s="8"/>
      <c r="R475" s="9"/>
      <c r="S475" s="10"/>
    </row>
    <row r="476" spans="1:19" ht="14.25" customHeight="1" x14ac:dyDescent="0.35">
      <c r="A476" s="6"/>
      <c r="B476" s="6"/>
      <c r="C476" s="6"/>
      <c r="D476" s="6"/>
      <c r="E476" s="7"/>
      <c r="F476" s="6"/>
      <c r="G476" s="6"/>
      <c r="H476" s="6"/>
      <c r="I476" s="6"/>
      <c r="J476" s="6"/>
      <c r="K476" s="6"/>
      <c r="L476" s="6"/>
      <c r="M476" s="6"/>
      <c r="N476" s="8"/>
      <c r="O476" s="8"/>
      <c r="P476" s="8"/>
      <c r="Q476" s="8"/>
      <c r="R476" s="9"/>
      <c r="S476" s="10"/>
    </row>
    <row r="477" spans="1:19" ht="14.25" customHeight="1" x14ac:dyDescent="0.35">
      <c r="A477" s="6"/>
      <c r="B477" s="6"/>
      <c r="C477" s="6"/>
      <c r="D477" s="6"/>
      <c r="E477" s="7"/>
      <c r="F477" s="6"/>
      <c r="G477" s="6"/>
      <c r="H477" s="6"/>
      <c r="I477" s="6"/>
      <c r="J477" s="6"/>
      <c r="K477" s="6"/>
      <c r="L477" s="6"/>
      <c r="M477" s="6"/>
      <c r="N477" s="8"/>
      <c r="O477" s="8"/>
      <c r="P477" s="8"/>
      <c r="Q477" s="8"/>
      <c r="R477" s="9"/>
      <c r="S477" s="10"/>
    </row>
    <row r="478" spans="1:19" ht="14.25" customHeight="1" x14ac:dyDescent="0.35">
      <c r="A478" s="6"/>
      <c r="B478" s="6"/>
      <c r="C478" s="6"/>
      <c r="D478" s="6"/>
      <c r="E478" s="7"/>
      <c r="F478" s="6"/>
      <c r="G478" s="6"/>
      <c r="H478" s="6"/>
      <c r="I478" s="6"/>
      <c r="J478" s="6"/>
      <c r="K478" s="6"/>
      <c r="L478" s="6"/>
      <c r="M478" s="6"/>
      <c r="N478" s="8"/>
      <c r="O478" s="8"/>
      <c r="P478" s="8"/>
      <c r="Q478" s="8"/>
      <c r="R478" s="9"/>
      <c r="S478" s="10"/>
    </row>
    <row r="479" spans="1:19" ht="14.25" customHeight="1" x14ac:dyDescent="0.35">
      <c r="A479" s="6"/>
      <c r="B479" s="6"/>
      <c r="C479" s="6"/>
      <c r="D479" s="6"/>
      <c r="E479" s="7"/>
      <c r="F479" s="6"/>
      <c r="G479" s="6"/>
      <c r="H479" s="6"/>
      <c r="I479" s="6"/>
      <c r="J479" s="6"/>
      <c r="K479" s="6"/>
      <c r="L479" s="6"/>
      <c r="M479" s="6"/>
      <c r="N479" s="8"/>
      <c r="O479" s="8"/>
      <c r="P479" s="8"/>
      <c r="Q479" s="8"/>
      <c r="R479" s="9"/>
      <c r="S479" s="10"/>
    </row>
    <row r="480" spans="1:19" ht="14.25" customHeight="1" x14ac:dyDescent="0.35">
      <c r="A480" s="6"/>
      <c r="B480" s="6"/>
      <c r="C480" s="6"/>
      <c r="D480" s="6"/>
      <c r="E480" s="7"/>
      <c r="F480" s="6"/>
      <c r="G480" s="6"/>
      <c r="H480" s="6"/>
      <c r="I480" s="6"/>
      <c r="J480" s="6"/>
      <c r="K480" s="6"/>
      <c r="L480" s="6"/>
      <c r="M480" s="6"/>
      <c r="N480" s="8"/>
      <c r="O480" s="8"/>
      <c r="P480" s="8"/>
      <c r="Q480" s="8"/>
      <c r="R480" s="9"/>
      <c r="S480" s="10"/>
    </row>
    <row r="481" spans="1:19" ht="14.25" customHeight="1" x14ac:dyDescent="0.35">
      <c r="A481" s="6"/>
      <c r="B481" s="6"/>
      <c r="C481" s="6"/>
      <c r="D481" s="6"/>
      <c r="E481" s="7"/>
      <c r="F481" s="6"/>
      <c r="G481" s="6"/>
      <c r="H481" s="6"/>
      <c r="I481" s="6"/>
      <c r="J481" s="6"/>
      <c r="K481" s="6"/>
      <c r="L481" s="6"/>
      <c r="M481" s="6"/>
      <c r="N481" s="8"/>
      <c r="O481" s="8"/>
      <c r="P481" s="8"/>
      <c r="Q481" s="8"/>
      <c r="R481" s="9"/>
      <c r="S481" s="10"/>
    </row>
    <row r="482" spans="1:19" ht="14.25" customHeight="1" x14ac:dyDescent="0.35">
      <c r="A482" s="6"/>
      <c r="B482" s="6"/>
      <c r="C482" s="6"/>
      <c r="D482" s="6"/>
      <c r="E482" s="7"/>
      <c r="F482" s="6"/>
      <c r="G482" s="6"/>
      <c r="H482" s="6"/>
      <c r="I482" s="6"/>
      <c r="J482" s="6"/>
      <c r="K482" s="6"/>
      <c r="L482" s="6"/>
      <c r="M482" s="6"/>
      <c r="N482" s="8"/>
      <c r="O482" s="8"/>
      <c r="P482" s="8"/>
      <c r="Q482" s="8"/>
      <c r="R482" s="9"/>
      <c r="S482" s="10"/>
    </row>
    <row r="483" spans="1:19" ht="14.25" customHeight="1" x14ac:dyDescent="0.35">
      <c r="A483" s="6"/>
      <c r="B483" s="6"/>
      <c r="C483" s="6"/>
      <c r="D483" s="6"/>
      <c r="E483" s="7"/>
      <c r="F483" s="6"/>
      <c r="G483" s="6"/>
      <c r="H483" s="6"/>
      <c r="I483" s="6"/>
      <c r="J483" s="6"/>
      <c r="K483" s="6"/>
      <c r="L483" s="6"/>
      <c r="M483" s="6"/>
      <c r="N483" s="8"/>
      <c r="O483" s="8"/>
      <c r="P483" s="8"/>
      <c r="Q483" s="8"/>
      <c r="R483" s="9"/>
      <c r="S483" s="10"/>
    </row>
    <row r="484" spans="1:19" ht="14.25" customHeight="1" x14ac:dyDescent="0.35">
      <c r="A484" s="6"/>
      <c r="B484" s="6"/>
      <c r="C484" s="6"/>
      <c r="D484" s="6"/>
      <c r="E484" s="7"/>
      <c r="F484" s="6"/>
      <c r="G484" s="6"/>
      <c r="H484" s="6"/>
      <c r="I484" s="6"/>
      <c r="J484" s="6"/>
      <c r="K484" s="6"/>
      <c r="L484" s="6"/>
      <c r="M484" s="6"/>
      <c r="N484" s="8"/>
      <c r="O484" s="8"/>
      <c r="P484" s="8"/>
      <c r="Q484" s="8"/>
      <c r="R484" s="9"/>
      <c r="S484" s="10"/>
    </row>
    <row r="485" spans="1:19" ht="14.25" customHeight="1" x14ac:dyDescent="0.35">
      <c r="A485" s="6"/>
      <c r="B485" s="6"/>
      <c r="C485" s="6"/>
      <c r="D485" s="6"/>
      <c r="E485" s="7"/>
      <c r="F485" s="6"/>
      <c r="G485" s="6"/>
      <c r="H485" s="6"/>
      <c r="I485" s="6"/>
      <c r="J485" s="6"/>
      <c r="K485" s="6"/>
      <c r="L485" s="6"/>
      <c r="M485" s="6"/>
      <c r="N485" s="8"/>
      <c r="O485" s="8"/>
      <c r="P485" s="8"/>
      <c r="Q485" s="8"/>
      <c r="R485" s="9"/>
      <c r="S485" s="10"/>
    </row>
    <row r="486" spans="1:19" ht="14.25" customHeight="1" x14ac:dyDescent="0.35">
      <c r="A486" s="6"/>
      <c r="B486" s="6"/>
      <c r="C486" s="6"/>
      <c r="D486" s="6"/>
      <c r="E486" s="7"/>
      <c r="F486" s="6"/>
      <c r="G486" s="6"/>
      <c r="H486" s="6"/>
      <c r="I486" s="6"/>
      <c r="J486" s="6"/>
      <c r="K486" s="6"/>
      <c r="L486" s="6"/>
      <c r="M486" s="6"/>
      <c r="N486" s="8"/>
      <c r="O486" s="8"/>
      <c r="P486" s="8"/>
      <c r="Q486" s="8"/>
      <c r="R486" s="9"/>
      <c r="S486" s="10"/>
    </row>
    <row r="487" spans="1:19" ht="14.25" customHeight="1" x14ac:dyDescent="0.35">
      <c r="A487" s="6"/>
      <c r="B487" s="6"/>
      <c r="C487" s="6"/>
      <c r="D487" s="6"/>
      <c r="E487" s="7"/>
      <c r="F487" s="6"/>
      <c r="G487" s="6"/>
      <c r="H487" s="6"/>
      <c r="I487" s="6"/>
      <c r="J487" s="6"/>
      <c r="K487" s="6"/>
      <c r="L487" s="6"/>
      <c r="M487" s="6"/>
      <c r="N487" s="8"/>
      <c r="O487" s="8"/>
      <c r="P487" s="8"/>
      <c r="Q487" s="8"/>
      <c r="R487" s="9"/>
      <c r="S487" s="10"/>
    </row>
    <row r="488" spans="1:19" ht="14.25" customHeight="1" x14ac:dyDescent="0.35">
      <c r="A488" s="6"/>
      <c r="B488" s="6"/>
      <c r="C488" s="6"/>
      <c r="D488" s="6"/>
      <c r="E488" s="7"/>
      <c r="F488" s="6"/>
      <c r="G488" s="6"/>
      <c r="H488" s="6"/>
      <c r="I488" s="6"/>
      <c r="J488" s="6"/>
      <c r="K488" s="6"/>
      <c r="L488" s="6"/>
      <c r="M488" s="6"/>
      <c r="N488" s="8"/>
      <c r="O488" s="8"/>
      <c r="P488" s="8"/>
      <c r="Q488" s="8"/>
      <c r="R488" s="9"/>
      <c r="S488" s="10"/>
    </row>
    <row r="489" spans="1:19" ht="14.25" customHeight="1" x14ac:dyDescent="0.35">
      <c r="A489" s="6"/>
      <c r="B489" s="6"/>
      <c r="C489" s="6"/>
      <c r="D489" s="6"/>
      <c r="E489" s="7"/>
      <c r="F489" s="6"/>
      <c r="G489" s="6"/>
      <c r="H489" s="6"/>
      <c r="I489" s="6"/>
      <c r="J489" s="6"/>
      <c r="K489" s="6"/>
      <c r="L489" s="6"/>
      <c r="M489" s="6"/>
      <c r="N489" s="8"/>
      <c r="O489" s="8"/>
      <c r="P489" s="8"/>
      <c r="Q489" s="8"/>
      <c r="R489" s="9"/>
      <c r="S489" s="10"/>
    </row>
    <row r="490" spans="1:19" ht="14.25" customHeight="1" x14ac:dyDescent="0.35">
      <c r="A490" s="6"/>
      <c r="B490" s="6"/>
      <c r="C490" s="6"/>
      <c r="D490" s="6"/>
      <c r="E490" s="7"/>
      <c r="F490" s="6"/>
      <c r="G490" s="6"/>
      <c r="H490" s="6"/>
      <c r="I490" s="6"/>
      <c r="J490" s="6"/>
      <c r="K490" s="6"/>
      <c r="L490" s="6"/>
      <c r="M490" s="6"/>
      <c r="N490" s="8"/>
      <c r="O490" s="8"/>
      <c r="P490" s="8"/>
      <c r="Q490" s="8"/>
      <c r="R490" s="9"/>
      <c r="S490" s="10"/>
    </row>
    <row r="491" spans="1:19" ht="14.25" customHeight="1" x14ac:dyDescent="0.35">
      <c r="A491" s="6"/>
      <c r="B491" s="6"/>
      <c r="C491" s="6"/>
      <c r="D491" s="6"/>
      <c r="E491" s="7"/>
      <c r="F491" s="6"/>
      <c r="G491" s="6"/>
      <c r="H491" s="6"/>
      <c r="I491" s="6"/>
      <c r="J491" s="6"/>
      <c r="K491" s="6"/>
      <c r="L491" s="6"/>
      <c r="M491" s="6"/>
      <c r="N491" s="8"/>
      <c r="O491" s="8"/>
      <c r="P491" s="8"/>
      <c r="Q491" s="8"/>
      <c r="R491" s="9"/>
      <c r="S491" s="10"/>
    </row>
    <row r="492" spans="1:19" ht="14.25" customHeight="1" x14ac:dyDescent="0.35">
      <c r="A492" s="6"/>
      <c r="B492" s="6"/>
      <c r="C492" s="6"/>
      <c r="D492" s="6"/>
      <c r="E492" s="7"/>
      <c r="F492" s="6"/>
      <c r="G492" s="6"/>
      <c r="H492" s="6"/>
      <c r="I492" s="6"/>
      <c r="J492" s="6"/>
      <c r="K492" s="6"/>
      <c r="L492" s="6"/>
      <c r="M492" s="6"/>
      <c r="N492" s="8"/>
      <c r="O492" s="8"/>
      <c r="P492" s="8"/>
      <c r="Q492" s="8"/>
      <c r="R492" s="9"/>
      <c r="S492" s="10"/>
    </row>
    <row r="493" spans="1:19" ht="14.25" customHeight="1" x14ac:dyDescent="0.35">
      <c r="A493" s="6"/>
      <c r="B493" s="6"/>
      <c r="C493" s="6"/>
      <c r="D493" s="6"/>
      <c r="E493" s="7"/>
      <c r="F493" s="6"/>
      <c r="G493" s="6"/>
      <c r="H493" s="6"/>
      <c r="I493" s="6"/>
      <c r="J493" s="6"/>
      <c r="K493" s="6"/>
      <c r="L493" s="6"/>
      <c r="M493" s="6"/>
      <c r="N493" s="8"/>
      <c r="O493" s="8"/>
      <c r="P493" s="8"/>
      <c r="Q493" s="8"/>
      <c r="R493" s="9"/>
      <c r="S493" s="10"/>
    </row>
    <row r="494" spans="1:19" ht="14.25" customHeight="1" x14ac:dyDescent="0.35">
      <c r="A494" s="6"/>
      <c r="B494" s="6"/>
      <c r="C494" s="6"/>
      <c r="D494" s="6"/>
      <c r="E494" s="7"/>
      <c r="F494" s="6"/>
      <c r="G494" s="6"/>
      <c r="H494" s="6"/>
      <c r="I494" s="6"/>
      <c r="J494" s="6"/>
      <c r="K494" s="6"/>
      <c r="L494" s="6"/>
      <c r="M494" s="6"/>
      <c r="N494" s="8"/>
      <c r="O494" s="8"/>
      <c r="P494" s="8"/>
      <c r="Q494" s="8"/>
      <c r="R494" s="9"/>
      <c r="S494" s="10"/>
    </row>
    <row r="495" spans="1:19" ht="14.25" customHeight="1" x14ac:dyDescent="0.35">
      <c r="A495" s="6"/>
      <c r="B495" s="6"/>
      <c r="C495" s="6"/>
      <c r="D495" s="6"/>
      <c r="E495" s="7"/>
      <c r="F495" s="6"/>
      <c r="G495" s="6"/>
      <c r="H495" s="6"/>
      <c r="I495" s="6"/>
      <c r="J495" s="6"/>
      <c r="K495" s="6"/>
      <c r="L495" s="6"/>
      <c r="M495" s="6"/>
      <c r="N495" s="8"/>
      <c r="O495" s="8"/>
      <c r="P495" s="8"/>
      <c r="Q495" s="8"/>
      <c r="R495" s="9"/>
      <c r="S495" s="10"/>
    </row>
    <row r="496" spans="1:19" ht="14.25" customHeight="1" x14ac:dyDescent="0.35">
      <c r="A496" s="6"/>
      <c r="B496" s="6"/>
      <c r="C496" s="6"/>
      <c r="D496" s="6"/>
      <c r="E496" s="7"/>
      <c r="F496" s="6"/>
      <c r="G496" s="6"/>
      <c r="H496" s="6"/>
      <c r="I496" s="6"/>
      <c r="J496" s="6"/>
      <c r="K496" s="6"/>
      <c r="L496" s="6"/>
      <c r="M496" s="6"/>
      <c r="N496" s="8"/>
      <c r="O496" s="8"/>
      <c r="P496" s="8"/>
      <c r="Q496" s="8"/>
      <c r="R496" s="9"/>
      <c r="S496" s="10"/>
    </row>
    <row r="497" spans="1:19" ht="14.25" customHeight="1" x14ac:dyDescent="0.35">
      <c r="A497" s="6"/>
      <c r="B497" s="6"/>
      <c r="C497" s="6"/>
      <c r="D497" s="6"/>
      <c r="E497" s="7"/>
      <c r="F497" s="6"/>
      <c r="G497" s="6"/>
      <c r="H497" s="6"/>
      <c r="I497" s="6"/>
      <c r="J497" s="6"/>
      <c r="K497" s="6"/>
      <c r="L497" s="6"/>
      <c r="M497" s="6"/>
      <c r="N497" s="8"/>
      <c r="O497" s="8"/>
      <c r="P497" s="8"/>
      <c r="Q497" s="8"/>
      <c r="R497" s="9"/>
      <c r="S497" s="10"/>
    </row>
    <row r="498" spans="1:19" ht="14.25" customHeight="1" x14ac:dyDescent="0.35">
      <c r="A498" s="6"/>
      <c r="B498" s="6"/>
      <c r="C498" s="6"/>
      <c r="D498" s="6"/>
      <c r="E498" s="7"/>
      <c r="F498" s="6"/>
      <c r="G498" s="6"/>
      <c r="H498" s="6"/>
      <c r="I498" s="6"/>
      <c r="J498" s="6"/>
      <c r="K498" s="6"/>
      <c r="L498" s="6"/>
      <c r="M498" s="6"/>
      <c r="N498" s="8"/>
      <c r="O498" s="8"/>
      <c r="P498" s="8"/>
      <c r="Q498" s="8"/>
      <c r="R498" s="9"/>
      <c r="S498" s="10"/>
    </row>
    <row r="499" spans="1:19" ht="14.25" customHeight="1" x14ac:dyDescent="0.35">
      <c r="A499" s="6"/>
      <c r="B499" s="6"/>
      <c r="C499" s="6"/>
      <c r="D499" s="6"/>
      <c r="E499" s="7"/>
      <c r="F499" s="6"/>
      <c r="G499" s="6"/>
      <c r="H499" s="6"/>
      <c r="I499" s="6"/>
      <c r="J499" s="6"/>
      <c r="K499" s="6"/>
      <c r="L499" s="6"/>
      <c r="M499" s="6"/>
      <c r="N499" s="8"/>
      <c r="O499" s="8"/>
      <c r="P499" s="8"/>
      <c r="Q499" s="8"/>
      <c r="R499" s="9"/>
      <c r="S499" s="10"/>
    </row>
    <row r="500" spans="1:19" ht="14.25" customHeight="1" x14ac:dyDescent="0.35">
      <c r="A500" s="6"/>
      <c r="B500" s="6"/>
      <c r="C500" s="6"/>
      <c r="D500" s="6"/>
      <c r="E500" s="7"/>
      <c r="F500" s="6"/>
      <c r="G500" s="6"/>
      <c r="H500" s="6"/>
      <c r="I500" s="6"/>
      <c r="J500" s="6"/>
      <c r="K500" s="6"/>
      <c r="L500" s="6"/>
      <c r="M500" s="6"/>
      <c r="N500" s="8"/>
      <c r="O500" s="8"/>
      <c r="P500" s="8"/>
      <c r="Q500" s="8"/>
      <c r="R500" s="9"/>
      <c r="S500" s="10"/>
    </row>
    <row r="501" spans="1:19" ht="14.25" customHeight="1" x14ac:dyDescent="0.35">
      <c r="A501" s="6"/>
      <c r="B501" s="6"/>
      <c r="C501" s="6"/>
      <c r="D501" s="6"/>
      <c r="E501" s="7"/>
      <c r="F501" s="6"/>
      <c r="G501" s="6"/>
      <c r="H501" s="6"/>
      <c r="I501" s="6"/>
      <c r="J501" s="6"/>
      <c r="K501" s="6"/>
      <c r="L501" s="6"/>
      <c r="M501" s="6"/>
      <c r="N501" s="8"/>
      <c r="O501" s="8"/>
      <c r="P501" s="8"/>
      <c r="Q501" s="8"/>
      <c r="R501" s="9"/>
      <c r="S501" s="10"/>
    </row>
    <row r="502" spans="1:19" ht="14.25" customHeight="1" x14ac:dyDescent="0.35">
      <c r="A502" s="6"/>
      <c r="B502" s="6"/>
      <c r="C502" s="6"/>
      <c r="D502" s="6"/>
      <c r="E502" s="7"/>
      <c r="F502" s="6"/>
      <c r="G502" s="6"/>
      <c r="H502" s="6"/>
      <c r="I502" s="6"/>
      <c r="J502" s="6"/>
      <c r="K502" s="6"/>
      <c r="L502" s="6"/>
      <c r="M502" s="6"/>
      <c r="N502" s="8"/>
      <c r="O502" s="8"/>
      <c r="P502" s="8"/>
      <c r="Q502" s="8"/>
      <c r="R502" s="9"/>
      <c r="S502" s="10"/>
    </row>
    <row r="503" spans="1:19" ht="14.25" customHeight="1" x14ac:dyDescent="0.35">
      <c r="A503" s="6"/>
      <c r="B503" s="6"/>
      <c r="C503" s="6"/>
      <c r="D503" s="6"/>
      <c r="E503" s="7"/>
      <c r="F503" s="6"/>
      <c r="G503" s="6"/>
      <c r="H503" s="6"/>
      <c r="I503" s="6"/>
      <c r="J503" s="6"/>
      <c r="K503" s="6"/>
      <c r="L503" s="6"/>
      <c r="M503" s="6"/>
      <c r="N503" s="8"/>
      <c r="O503" s="8"/>
      <c r="P503" s="8"/>
      <c r="Q503" s="8"/>
      <c r="R503" s="9"/>
      <c r="S503" s="10"/>
    </row>
    <row r="504" spans="1:19" ht="14.25" customHeight="1" x14ac:dyDescent="0.35">
      <c r="A504" s="6"/>
      <c r="B504" s="6"/>
      <c r="C504" s="6"/>
      <c r="D504" s="6"/>
      <c r="E504" s="7"/>
      <c r="F504" s="6"/>
      <c r="G504" s="6"/>
      <c r="H504" s="6"/>
      <c r="I504" s="6"/>
      <c r="J504" s="6"/>
      <c r="K504" s="6"/>
      <c r="L504" s="6"/>
      <c r="M504" s="6"/>
      <c r="N504" s="8"/>
      <c r="O504" s="8"/>
      <c r="P504" s="8"/>
      <c r="Q504" s="8"/>
      <c r="R504" s="9"/>
      <c r="S504" s="10"/>
    </row>
    <row r="505" spans="1:19" ht="14.25" customHeight="1" x14ac:dyDescent="0.35">
      <c r="A505" s="6"/>
      <c r="B505" s="6"/>
      <c r="C505" s="6"/>
      <c r="D505" s="6"/>
      <c r="E505" s="7"/>
      <c r="F505" s="6"/>
      <c r="G505" s="6"/>
      <c r="H505" s="6"/>
      <c r="I505" s="6"/>
      <c r="J505" s="6"/>
      <c r="K505" s="6"/>
      <c r="L505" s="6"/>
      <c r="M505" s="6"/>
      <c r="N505" s="8"/>
      <c r="O505" s="8"/>
      <c r="P505" s="8"/>
      <c r="Q505" s="8"/>
      <c r="R505" s="9"/>
      <c r="S505" s="10"/>
    </row>
    <row r="506" spans="1:19" ht="14.25" customHeight="1" x14ac:dyDescent="0.35">
      <c r="A506" s="6"/>
      <c r="B506" s="6"/>
      <c r="C506" s="6"/>
      <c r="D506" s="6"/>
      <c r="E506" s="7"/>
      <c r="F506" s="6"/>
      <c r="G506" s="6"/>
      <c r="H506" s="6"/>
      <c r="I506" s="6"/>
      <c r="J506" s="6"/>
      <c r="K506" s="6"/>
      <c r="L506" s="6"/>
      <c r="M506" s="6"/>
      <c r="N506" s="8"/>
      <c r="O506" s="8"/>
      <c r="P506" s="8"/>
      <c r="Q506" s="8"/>
      <c r="R506" s="9"/>
      <c r="S506" s="10"/>
    </row>
    <row r="507" spans="1:19" ht="14.25" customHeight="1" x14ac:dyDescent="0.35">
      <c r="A507" s="6"/>
      <c r="B507" s="6"/>
      <c r="C507" s="6"/>
      <c r="D507" s="6"/>
      <c r="E507" s="7"/>
      <c r="F507" s="6"/>
      <c r="G507" s="6"/>
      <c r="H507" s="6"/>
      <c r="I507" s="6"/>
      <c r="J507" s="6"/>
      <c r="K507" s="6"/>
      <c r="L507" s="6"/>
      <c r="M507" s="6"/>
      <c r="N507" s="8"/>
      <c r="O507" s="8"/>
      <c r="P507" s="8"/>
      <c r="Q507" s="8"/>
      <c r="R507" s="9"/>
      <c r="S507" s="10"/>
    </row>
    <row r="508" spans="1:19" ht="14.25" customHeight="1" x14ac:dyDescent="0.35">
      <c r="A508" s="6"/>
      <c r="B508" s="6"/>
      <c r="C508" s="6"/>
      <c r="D508" s="6"/>
      <c r="E508" s="7"/>
      <c r="F508" s="6"/>
      <c r="G508" s="6"/>
      <c r="H508" s="6"/>
      <c r="I508" s="6"/>
      <c r="J508" s="6"/>
      <c r="K508" s="6"/>
      <c r="L508" s="6"/>
      <c r="M508" s="6"/>
      <c r="N508" s="8"/>
      <c r="O508" s="8"/>
      <c r="P508" s="8"/>
      <c r="Q508" s="8"/>
      <c r="R508" s="9"/>
      <c r="S508" s="10"/>
    </row>
    <row r="509" spans="1:19" ht="14.25" customHeight="1" x14ac:dyDescent="0.35">
      <c r="A509" s="6"/>
      <c r="B509" s="6"/>
      <c r="C509" s="6"/>
      <c r="D509" s="6"/>
      <c r="E509" s="7"/>
      <c r="F509" s="6"/>
      <c r="G509" s="6"/>
      <c r="H509" s="6"/>
      <c r="I509" s="6"/>
      <c r="J509" s="6"/>
      <c r="K509" s="6"/>
      <c r="L509" s="6"/>
      <c r="M509" s="6"/>
      <c r="N509" s="8"/>
      <c r="O509" s="8"/>
      <c r="P509" s="8"/>
      <c r="Q509" s="8"/>
      <c r="R509" s="9"/>
      <c r="S509" s="10"/>
    </row>
    <row r="510" spans="1:19" ht="14.25" customHeight="1" x14ac:dyDescent="0.35">
      <c r="A510" s="6"/>
      <c r="B510" s="6"/>
      <c r="C510" s="6"/>
      <c r="D510" s="6"/>
      <c r="E510" s="7"/>
      <c r="F510" s="6"/>
      <c r="G510" s="6"/>
      <c r="H510" s="6"/>
      <c r="I510" s="6"/>
      <c r="J510" s="6"/>
      <c r="K510" s="6"/>
      <c r="L510" s="6"/>
      <c r="M510" s="6"/>
      <c r="N510" s="8"/>
      <c r="O510" s="8"/>
      <c r="P510" s="8"/>
      <c r="Q510" s="8"/>
      <c r="R510" s="9"/>
      <c r="S510" s="10"/>
    </row>
    <row r="511" spans="1:19" ht="14.25" customHeight="1" x14ac:dyDescent="0.35">
      <c r="A511" s="6"/>
      <c r="B511" s="6"/>
      <c r="C511" s="6"/>
      <c r="D511" s="6"/>
      <c r="E511" s="7"/>
      <c r="F511" s="6"/>
      <c r="G511" s="6"/>
      <c r="H511" s="6"/>
      <c r="I511" s="6"/>
      <c r="J511" s="6"/>
      <c r="K511" s="6"/>
      <c r="L511" s="6"/>
      <c r="M511" s="6"/>
      <c r="N511" s="8"/>
      <c r="O511" s="8"/>
      <c r="P511" s="8"/>
      <c r="Q511" s="8"/>
      <c r="R511" s="9"/>
      <c r="S511" s="10"/>
    </row>
    <row r="512" spans="1:19" ht="14.25" customHeight="1" x14ac:dyDescent="0.35">
      <c r="A512" s="6"/>
      <c r="B512" s="6"/>
      <c r="C512" s="6"/>
      <c r="D512" s="6"/>
      <c r="E512" s="7"/>
      <c r="F512" s="6"/>
      <c r="G512" s="6"/>
      <c r="H512" s="6"/>
      <c r="I512" s="6"/>
      <c r="J512" s="6"/>
      <c r="K512" s="6"/>
      <c r="L512" s="6"/>
      <c r="M512" s="6"/>
      <c r="N512" s="8"/>
      <c r="O512" s="8"/>
      <c r="P512" s="8"/>
      <c r="Q512" s="8"/>
      <c r="R512" s="9"/>
      <c r="S512" s="10"/>
    </row>
    <row r="513" spans="1:19" ht="14.25" customHeight="1" x14ac:dyDescent="0.35">
      <c r="A513" s="6"/>
      <c r="B513" s="6"/>
      <c r="C513" s="6"/>
      <c r="D513" s="6"/>
      <c r="E513" s="7"/>
      <c r="F513" s="6"/>
      <c r="G513" s="6"/>
      <c r="H513" s="6"/>
      <c r="I513" s="6"/>
      <c r="J513" s="6"/>
      <c r="K513" s="6"/>
      <c r="L513" s="6"/>
      <c r="M513" s="6"/>
      <c r="N513" s="8"/>
      <c r="O513" s="8"/>
      <c r="P513" s="8"/>
      <c r="Q513" s="8"/>
      <c r="R513" s="9"/>
      <c r="S513" s="10"/>
    </row>
    <row r="514" spans="1:19" ht="14.25" customHeight="1" x14ac:dyDescent="0.35">
      <c r="A514" s="6"/>
      <c r="B514" s="6"/>
      <c r="C514" s="6"/>
      <c r="D514" s="6"/>
      <c r="E514" s="7"/>
      <c r="F514" s="6"/>
      <c r="G514" s="6"/>
      <c r="H514" s="6"/>
      <c r="I514" s="6"/>
      <c r="J514" s="6"/>
      <c r="K514" s="6"/>
      <c r="L514" s="6"/>
      <c r="M514" s="6"/>
      <c r="N514" s="8"/>
      <c r="O514" s="8"/>
      <c r="P514" s="8"/>
      <c r="Q514" s="8"/>
      <c r="R514" s="9"/>
      <c r="S514" s="10"/>
    </row>
    <row r="515" spans="1:19" ht="14.25" customHeight="1" x14ac:dyDescent="0.35">
      <c r="A515" s="6"/>
      <c r="B515" s="6"/>
      <c r="C515" s="6"/>
      <c r="D515" s="6"/>
      <c r="E515" s="7"/>
      <c r="F515" s="6"/>
      <c r="G515" s="6"/>
      <c r="H515" s="6"/>
      <c r="I515" s="6"/>
      <c r="J515" s="6"/>
      <c r="K515" s="6"/>
      <c r="L515" s="6"/>
      <c r="M515" s="6"/>
      <c r="N515" s="8"/>
      <c r="O515" s="8"/>
      <c r="P515" s="8"/>
      <c r="Q515" s="8"/>
      <c r="R515" s="9"/>
      <c r="S515" s="10"/>
    </row>
    <row r="516" spans="1:19" ht="14.25" customHeight="1" x14ac:dyDescent="0.35">
      <c r="A516" s="6"/>
      <c r="B516" s="6"/>
      <c r="C516" s="6"/>
      <c r="D516" s="6"/>
      <c r="E516" s="7"/>
      <c r="F516" s="6"/>
      <c r="G516" s="6"/>
      <c r="H516" s="6"/>
      <c r="I516" s="6"/>
      <c r="J516" s="6"/>
      <c r="K516" s="6"/>
      <c r="L516" s="6"/>
      <c r="M516" s="6"/>
      <c r="N516" s="8"/>
      <c r="O516" s="8"/>
      <c r="P516" s="8"/>
      <c r="Q516" s="8"/>
      <c r="R516" s="9"/>
      <c r="S516" s="10"/>
    </row>
    <row r="517" spans="1:19" ht="14.25" customHeight="1" x14ac:dyDescent="0.35">
      <c r="A517" s="6"/>
      <c r="B517" s="6"/>
      <c r="C517" s="6"/>
      <c r="D517" s="6"/>
      <c r="E517" s="7"/>
      <c r="F517" s="6"/>
      <c r="G517" s="6"/>
      <c r="H517" s="6"/>
      <c r="I517" s="6"/>
      <c r="J517" s="6"/>
      <c r="K517" s="6"/>
      <c r="L517" s="6"/>
      <c r="M517" s="6"/>
      <c r="N517" s="8"/>
      <c r="O517" s="8"/>
      <c r="P517" s="8"/>
      <c r="Q517" s="8"/>
      <c r="R517" s="9"/>
      <c r="S517" s="10"/>
    </row>
    <row r="518" spans="1:19" ht="14.25" customHeight="1" x14ac:dyDescent="0.35">
      <c r="A518" s="6"/>
      <c r="B518" s="6"/>
      <c r="C518" s="6"/>
      <c r="D518" s="6"/>
      <c r="E518" s="7"/>
      <c r="F518" s="6"/>
      <c r="G518" s="6"/>
      <c r="H518" s="6"/>
      <c r="I518" s="6"/>
      <c r="J518" s="6"/>
      <c r="K518" s="6"/>
      <c r="L518" s="6"/>
      <c r="M518" s="6"/>
      <c r="N518" s="8"/>
      <c r="O518" s="8"/>
      <c r="P518" s="8"/>
      <c r="Q518" s="8"/>
      <c r="R518" s="9"/>
      <c r="S518" s="10"/>
    </row>
    <row r="519" spans="1:19" ht="14.25" customHeight="1" x14ac:dyDescent="0.35">
      <c r="A519" s="6"/>
      <c r="B519" s="6"/>
      <c r="C519" s="6"/>
      <c r="D519" s="6"/>
      <c r="E519" s="7"/>
      <c r="F519" s="6"/>
      <c r="G519" s="6"/>
      <c r="H519" s="6"/>
      <c r="I519" s="6"/>
      <c r="J519" s="6"/>
      <c r="K519" s="6"/>
      <c r="L519" s="6"/>
      <c r="M519" s="6"/>
      <c r="N519" s="8"/>
      <c r="O519" s="8"/>
      <c r="P519" s="8"/>
      <c r="Q519" s="8"/>
      <c r="R519" s="9"/>
      <c r="S519" s="10"/>
    </row>
    <row r="520" spans="1:19" ht="14.25" customHeight="1" x14ac:dyDescent="0.35">
      <c r="A520" s="6"/>
      <c r="B520" s="6"/>
      <c r="C520" s="6"/>
      <c r="D520" s="6"/>
      <c r="E520" s="7"/>
      <c r="F520" s="6"/>
      <c r="G520" s="6"/>
      <c r="H520" s="6"/>
      <c r="I520" s="6"/>
      <c r="J520" s="6"/>
      <c r="K520" s="6"/>
      <c r="L520" s="6"/>
      <c r="M520" s="6"/>
      <c r="N520" s="8"/>
      <c r="O520" s="8"/>
      <c r="P520" s="8"/>
      <c r="Q520" s="8"/>
      <c r="R520" s="9"/>
      <c r="S520" s="10"/>
    </row>
    <row r="521" spans="1:19" ht="14.25" customHeight="1" x14ac:dyDescent="0.35">
      <c r="A521" s="6"/>
      <c r="B521" s="6"/>
      <c r="C521" s="6"/>
      <c r="D521" s="6"/>
      <c r="E521" s="7"/>
      <c r="F521" s="6"/>
      <c r="G521" s="6"/>
      <c r="H521" s="6"/>
      <c r="I521" s="6"/>
      <c r="J521" s="6"/>
      <c r="K521" s="6"/>
      <c r="L521" s="6"/>
      <c r="M521" s="6"/>
      <c r="N521" s="8"/>
      <c r="O521" s="8"/>
      <c r="P521" s="8"/>
      <c r="Q521" s="8"/>
      <c r="R521" s="9"/>
      <c r="S521" s="10"/>
    </row>
    <row r="522" spans="1:19" ht="14.25" customHeight="1" x14ac:dyDescent="0.35">
      <c r="A522" s="6"/>
      <c r="B522" s="6"/>
      <c r="C522" s="6"/>
      <c r="D522" s="6"/>
      <c r="E522" s="7"/>
      <c r="F522" s="6"/>
      <c r="G522" s="6"/>
      <c r="H522" s="6"/>
      <c r="I522" s="6"/>
      <c r="J522" s="6"/>
      <c r="K522" s="6"/>
      <c r="L522" s="6"/>
      <c r="M522" s="6"/>
      <c r="N522" s="8"/>
      <c r="O522" s="8"/>
      <c r="P522" s="8"/>
      <c r="Q522" s="8"/>
      <c r="R522" s="9"/>
      <c r="S522" s="10"/>
    </row>
    <row r="523" spans="1:19" ht="14.25" customHeight="1" x14ac:dyDescent="0.35">
      <c r="A523" s="6"/>
      <c r="B523" s="6"/>
      <c r="C523" s="6"/>
      <c r="D523" s="6"/>
      <c r="E523" s="7"/>
      <c r="F523" s="6"/>
      <c r="G523" s="6"/>
      <c r="H523" s="6"/>
      <c r="I523" s="6"/>
      <c r="J523" s="6"/>
      <c r="K523" s="6"/>
      <c r="L523" s="6"/>
      <c r="M523" s="6"/>
      <c r="N523" s="8"/>
      <c r="O523" s="8"/>
      <c r="P523" s="8"/>
      <c r="Q523" s="8"/>
      <c r="R523" s="9"/>
      <c r="S523" s="10"/>
    </row>
    <row r="524" spans="1:19" ht="14.25" customHeight="1" x14ac:dyDescent="0.35">
      <c r="A524" s="6"/>
      <c r="B524" s="6"/>
      <c r="C524" s="6"/>
      <c r="D524" s="6"/>
      <c r="E524" s="7"/>
      <c r="F524" s="6"/>
      <c r="G524" s="6"/>
      <c r="H524" s="6"/>
      <c r="I524" s="6"/>
      <c r="J524" s="6"/>
      <c r="K524" s="6"/>
      <c r="L524" s="6"/>
      <c r="M524" s="6"/>
      <c r="N524" s="8"/>
      <c r="O524" s="8"/>
      <c r="P524" s="8"/>
      <c r="Q524" s="8"/>
      <c r="R524" s="9"/>
      <c r="S524" s="10"/>
    </row>
    <row r="525" spans="1:19" ht="14.25" customHeight="1" x14ac:dyDescent="0.35">
      <c r="A525" s="6"/>
      <c r="B525" s="6"/>
      <c r="C525" s="6"/>
      <c r="D525" s="6"/>
      <c r="E525" s="7"/>
      <c r="F525" s="6"/>
      <c r="G525" s="6"/>
      <c r="H525" s="6"/>
      <c r="I525" s="6"/>
      <c r="J525" s="6"/>
      <c r="K525" s="6"/>
      <c r="L525" s="6"/>
      <c r="M525" s="6"/>
      <c r="N525" s="8"/>
      <c r="O525" s="8"/>
      <c r="P525" s="8"/>
      <c r="Q525" s="8"/>
      <c r="R525" s="9"/>
      <c r="S525" s="10"/>
    </row>
    <row r="526" spans="1:19" ht="14.25" customHeight="1" x14ac:dyDescent="0.35">
      <c r="A526" s="6"/>
      <c r="B526" s="6"/>
      <c r="C526" s="6"/>
      <c r="D526" s="6"/>
      <c r="E526" s="7"/>
      <c r="F526" s="6"/>
      <c r="G526" s="6"/>
      <c r="H526" s="6"/>
      <c r="I526" s="6"/>
      <c r="J526" s="6"/>
      <c r="K526" s="6"/>
      <c r="L526" s="6"/>
      <c r="M526" s="6"/>
      <c r="N526" s="8"/>
      <c r="O526" s="8"/>
      <c r="P526" s="8"/>
      <c r="Q526" s="8"/>
      <c r="R526" s="9"/>
      <c r="S526" s="10"/>
    </row>
    <row r="527" spans="1:19" ht="14.25" customHeight="1" x14ac:dyDescent="0.35">
      <c r="A527" s="6"/>
      <c r="B527" s="6"/>
      <c r="C527" s="6"/>
      <c r="D527" s="6"/>
      <c r="E527" s="7"/>
      <c r="F527" s="6"/>
      <c r="G527" s="6"/>
      <c r="H527" s="6"/>
      <c r="I527" s="6"/>
      <c r="J527" s="6"/>
      <c r="K527" s="6"/>
      <c r="L527" s="6"/>
      <c r="M527" s="6"/>
      <c r="N527" s="8"/>
      <c r="O527" s="8"/>
      <c r="P527" s="8"/>
      <c r="Q527" s="8"/>
      <c r="R527" s="9"/>
      <c r="S527" s="10"/>
    </row>
    <row r="528" spans="1:19" ht="14.25" customHeight="1" x14ac:dyDescent="0.35">
      <c r="A528" s="6"/>
      <c r="B528" s="6"/>
      <c r="C528" s="6"/>
      <c r="D528" s="6"/>
      <c r="E528" s="7"/>
      <c r="F528" s="6"/>
      <c r="G528" s="6"/>
      <c r="H528" s="6"/>
      <c r="I528" s="6"/>
      <c r="J528" s="6"/>
      <c r="K528" s="6"/>
      <c r="L528" s="6"/>
      <c r="M528" s="6"/>
      <c r="N528" s="8"/>
      <c r="O528" s="8"/>
      <c r="P528" s="8"/>
      <c r="Q528" s="8"/>
      <c r="R528" s="9"/>
      <c r="S528" s="10"/>
    </row>
    <row r="529" spans="1:19" ht="14.25" customHeight="1" x14ac:dyDescent="0.35">
      <c r="A529" s="6"/>
      <c r="B529" s="6"/>
      <c r="C529" s="6"/>
      <c r="D529" s="6"/>
      <c r="E529" s="7"/>
      <c r="F529" s="6"/>
      <c r="G529" s="6"/>
      <c r="H529" s="6"/>
      <c r="I529" s="6"/>
      <c r="J529" s="6"/>
      <c r="K529" s="6"/>
      <c r="L529" s="6"/>
      <c r="M529" s="6"/>
      <c r="N529" s="8"/>
      <c r="O529" s="8"/>
      <c r="P529" s="8"/>
      <c r="Q529" s="8"/>
      <c r="R529" s="9"/>
      <c r="S529" s="10"/>
    </row>
    <row r="530" spans="1:19" ht="14.25" customHeight="1" x14ac:dyDescent="0.35">
      <c r="A530" s="6"/>
      <c r="B530" s="6"/>
      <c r="C530" s="6"/>
      <c r="D530" s="6"/>
      <c r="E530" s="7"/>
      <c r="F530" s="6"/>
      <c r="G530" s="6"/>
      <c r="H530" s="6"/>
      <c r="I530" s="6"/>
      <c r="J530" s="6"/>
      <c r="K530" s="6"/>
      <c r="L530" s="6"/>
      <c r="M530" s="6"/>
      <c r="N530" s="8"/>
      <c r="O530" s="8"/>
      <c r="P530" s="8"/>
      <c r="Q530" s="8"/>
      <c r="R530" s="9"/>
      <c r="S530" s="10"/>
    </row>
    <row r="531" spans="1:19" ht="14.25" customHeight="1" x14ac:dyDescent="0.35">
      <c r="A531" s="6"/>
      <c r="B531" s="6"/>
      <c r="C531" s="6"/>
      <c r="D531" s="6"/>
      <c r="E531" s="7"/>
      <c r="F531" s="6"/>
      <c r="G531" s="6"/>
      <c r="H531" s="6"/>
      <c r="I531" s="6"/>
      <c r="J531" s="6"/>
      <c r="K531" s="6"/>
      <c r="L531" s="6"/>
      <c r="M531" s="6"/>
      <c r="N531" s="8"/>
      <c r="O531" s="8"/>
      <c r="P531" s="8"/>
      <c r="Q531" s="8"/>
      <c r="R531" s="9"/>
      <c r="S531" s="10"/>
    </row>
    <row r="532" spans="1:19" ht="14.25" customHeight="1" x14ac:dyDescent="0.35">
      <c r="A532" s="6"/>
      <c r="B532" s="6"/>
      <c r="C532" s="6"/>
      <c r="D532" s="6"/>
      <c r="E532" s="7"/>
      <c r="F532" s="6"/>
      <c r="G532" s="6"/>
      <c r="H532" s="6"/>
      <c r="I532" s="6"/>
      <c r="J532" s="6"/>
      <c r="K532" s="6"/>
      <c r="L532" s="6"/>
      <c r="M532" s="6"/>
      <c r="N532" s="8"/>
      <c r="O532" s="8"/>
      <c r="P532" s="8"/>
      <c r="Q532" s="8"/>
      <c r="R532" s="9"/>
      <c r="S532" s="10"/>
    </row>
    <row r="533" spans="1:19" ht="14.25" customHeight="1" x14ac:dyDescent="0.35">
      <c r="A533" s="6"/>
      <c r="B533" s="6"/>
      <c r="C533" s="6"/>
      <c r="D533" s="6"/>
      <c r="E533" s="7"/>
      <c r="F533" s="6"/>
      <c r="G533" s="6"/>
      <c r="H533" s="6"/>
      <c r="I533" s="6"/>
      <c r="J533" s="6"/>
      <c r="K533" s="6"/>
      <c r="L533" s="6"/>
      <c r="M533" s="6"/>
      <c r="N533" s="8"/>
      <c r="O533" s="8"/>
      <c r="P533" s="8"/>
      <c r="Q533" s="8"/>
      <c r="R533" s="9"/>
      <c r="S533" s="10"/>
    </row>
    <row r="534" spans="1:19" ht="14.25" customHeight="1" x14ac:dyDescent="0.35">
      <c r="A534" s="6"/>
      <c r="B534" s="6"/>
      <c r="C534" s="6"/>
      <c r="D534" s="6"/>
      <c r="E534" s="7"/>
      <c r="F534" s="6"/>
      <c r="G534" s="6"/>
      <c r="H534" s="6"/>
      <c r="I534" s="6"/>
      <c r="J534" s="6"/>
      <c r="K534" s="6"/>
      <c r="L534" s="6"/>
      <c r="M534" s="6"/>
      <c r="N534" s="8"/>
      <c r="O534" s="8"/>
      <c r="P534" s="8"/>
      <c r="Q534" s="8"/>
      <c r="R534" s="9"/>
      <c r="S534" s="10"/>
    </row>
    <row r="535" spans="1:19" ht="14.25" customHeight="1" x14ac:dyDescent="0.35">
      <c r="A535" s="6"/>
      <c r="B535" s="6"/>
      <c r="C535" s="6"/>
      <c r="D535" s="6"/>
      <c r="E535" s="7"/>
      <c r="F535" s="6"/>
      <c r="G535" s="6"/>
      <c r="H535" s="6"/>
      <c r="I535" s="6"/>
      <c r="J535" s="6"/>
      <c r="K535" s="6"/>
      <c r="L535" s="6"/>
      <c r="M535" s="6"/>
      <c r="N535" s="8"/>
      <c r="O535" s="8"/>
      <c r="P535" s="8"/>
      <c r="Q535" s="8"/>
      <c r="R535" s="9"/>
      <c r="S535" s="10"/>
    </row>
    <row r="536" spans="1:19" ht="14.25" customHeight="1" x14ac:dyDescent="0.35">
      <c r="A536" s="6"/>
      <c r="B536" s="6"/>
      <c r="C536" s="6"/>
      <c r="D536" s="6"/>
      <c r="E536" s="7"/>
      <c r="F536" s="6"/>
      <c r="G536" s="6"/>
      <c r="H536" s="6"/>
      <c r="I536" s="6"/>
      <c r="J536" s="6"/>
      <c r="K536" s="6"/>
      <c r="L536" s="6"/>
      <c r="M536" s="6"/>
      <c r="N536" s="8"/>
      <c r="O536" s="8"/>
      <c r="P536" s="8"/>
      <c r="Q536" s="8"/>
      <c r="R536" s="9"/>
      <c r="S536" s="10"/>
    </row>
    <row r="537" spans="1:19" ht="14.25" customHeight="1" x14ac:dyDescent="0.35">
      <c r="A537" s="6"/>
      <c r="B537" s="6"/>
      <c r="C537" s="6"/>
      <c r="D537" s="6"/>
      <c r="E537" s="7"/>
      <c r="F537" s="6"/>
      <c r="G537" s="6"/>
      <c r="H537" s="6"/>
      <c r="I537" s="6"/>
      <c r="J537" s="6"/>
      <c r="K537" s="6"/>
      <c r="L537" s="6"/>
      <c r="M537" s="6"/>
      <c r="N537" s="8"/>
      <c r="O537" s="8"/>
      <c r="P537" s="8"/>
      <c r="Q537" s="8"/>
      <c r="R537" s="9"/>
      <c r="S537" s="10"/>
    </row>
    <row r="538" spans="1:19" ht="14.25" customHeight="1" x14ac:dyDescent="0.35">
      <c r="A538" s="6"/>
      <c r="B538" s="6"/>
      <c r="C538" s="6"/>
      <c r="D538" s="6"/>
      <c r="E538" s="7"/>
      <c r="F538" s="6"/>
      <c r="G538" s="6"/>
      <c r="H538" s="6"/>
      <c r="I538" s="6"/>
      <c r="J538" s="6"/>
      <c r="K538" s="6"/>
      <c r="L538" s="6"/>
      <c r="M538" s="6"/>
      <c r="N538" s="8"/>
      <c r="O538" s="8"/>
      <c r="P538" s="8"/>
      <c r="Q538" s="8"/>
      <c r="R538" s="9"/>
      <c r="S538" s="10"/>
    </row>
    <row r="539" spans="1:19" ht="14.25" customHeight="1" x14ac:dyDescent="0.35">
      <c r="A539" s="6"/>
      <c r="B539" s="6"/>
      <c r="C539" s="6"/>
      <c r="D539" s="6"/>
      <c r="E539" s="7"/>
      <c r="F539" s="6"/>
      <c r="G539" s="6"/>
      <c r="H539" s="6"/>
      <c r="I539" s="6"/>
      <c r="J539" s="6"/>
      <c r="K539" s="6"/>
      <c r="L539" s="6"/>
      <c r="M539" s="6"/>
      <c r="N539" s="8"/>
      <c r="O539" s="8"/>
      <c r="P539" s="8"/>
      <c r="Q539" s="8"/>
      <c r="R539" s="9"/>
      <c r="S539" s="10"/>
    </row>
    <row r="540" spans="1:19" ht="14.25" customHeight="1" x14ac:dyDescent="0.35">
      <c r="A540" s="6"/>
      <c r="B540" s="6"/>
      <c r="C540" s="6"/>
      <c r="D540" s="6"/>
      <c r="E540" s="7"/>
      <c r="F540" s="6"/>
      <c r="G540" s="6"/>
      <c r="H540" s="6"/>
      <c r="I540" s="6"/>
      <c r="J540" s="6"/>
      <c r="K540" s="6"/>
      <c r="L540" s="6"/>
      <c r="M540" s="6"/>
      <c r="N540" s="8"/>
      <c r="O540" s="8"/>
      <c r="P540" s="8"/>
      <c r="Q540" s="8"/>
      <c r="R540" s="9"/>
      <c r="S540" s="10"/>
    </row>
    <row r="541" spans="1:19" ht="14.25" customHeight="1" x14ac:dyDescent="0.35">
      <c r="A541" s="6"/>
      <c r="B541" s="6"/>
      <c r="C541" s="6"/>
      <c r="D541" s="6"/>
      <c r="E541" s="7"/>
      <c r="F541" s="6"/>
      <c r="G541" s="6"/>
      <c r="H541" s="6"/>
      <c r="I541" s="6"/>
      <c r="J541" s="6"/>
      <c r="K541" s="6"/>
      <c r="L541" s="6"/>
      <c r="M541" s="6"/>
      <c r="N541" s="8"/>
      <c r="O541" s="8"/>
      <c r="P541" s="8"/>
      <c r="Q541" s="8"/>
      <c r="R541" s="9"/>
      <c r="S541" s="10"/>
    </row>
    <row r="542" spans="1:19" ht="14.25" customHeight="1" x14ac:dyDescent="0.35">
      <c r="A542" s="6"/>
      <c r="B542" s="6"/>
      <c r="C542" s="6"/>
      <c r="D542" s="6"/>
      <c r="E542" s="7"/>
      <c r="F542" s="6"/>
      <c r="G542" s="6"/>
      <c r="H542" s="6"/>
      <c r="I542" s="6"/>
      <c r="J542" s="6"/>
      <c r="K542" s="6"/>
      <c r="L542" s="6"/>
      <c r="M542" s="6"/>
      <c r="N542" s="8"/>
      <c r="O542" s="8"/>
      <c r="P542" s="8"/>
      <c r="Q542" s="8"/>
      <c r="R542" s="9"/>
      <c r="S542" s="10"/>
    </row>
    <row r="543" spans="1:19" ht="14.25" customHeight="1" x14ac:dyDescent="0.35">
      <c r="A543" s="6"/>
      <c r="B543" s="6"/>
      <c r="C543" s="6"/>
      <c r="D543" s="6"/>
      <c r="E543" s="7"/>
      <c r="F543" s="6"/>
      <c r="G543" s="6"/>
      <c r="H543" s="6"/>
      <c r="I543" s="6"/>
      <c r="J543" s="6"/>
      <c r="K543" s="6"/>
      <c r="L543" s="6"/>
      <c r="M543" s="6"/>
      <c r="N543" s="8"/>
      <c r="O543" s="8"/>
      <c r="P543" s="8"/>
      <c r="Q543" s="8"/>
      <c r="R543" s="9"/>
      <c r="S543" s="10"/>
    </row>
    <row r="544" spans="1:19" ht="14.25" customHeight="1" x14ac:dyDescent="0.35">
      <c r="A544" s="6"/>
      <c r="B544" s="6"/>
      <c r="C544" s="6"/>
      <c r="D544" s="6"/>
      <c r="E544" s="7"/>
      <c r="F544" s="6"/>
      <c r="G544" s="6"/>
      <c r="H544" s="6"/>
      <c r="I544" s="6"/>
      <c r="J544" s="6"/>
      <c r="K544" s="6"/>
      <c r="L544" s="6"/>
      <c r="M544" s="6"/>
      <c r="N544" s="8"/>
      <c r="O544" s="8"/>
      <c r="P544" s="8"/>
      <c r="Q544" s="8"/>
      <c r="R544" s="9"/>
      <c r="S544" s="10"/>
    </row>
    <row r="545" spans="1:19" ht="14.25" customHeight="1" x14ac:dyDescent="0.35">
      <c r="A545" s="6"/>
      <c r="B545" s="6"/>
      <c r="C545" s="6"/>
      <c r="D545" s="6"/>
      <c r="E545" s="7"/>
      <c r="F545" s="6"/>
      <c r="G545" s="6"/>
      <c r="H545" s="6"/>
      <c r="I545" s="6"/>
      <c r="J545" s="6"/>
      <c r="K545" s="6"/>
      <c r="L545" s="6"/>
      <c r="M545" s="6"/>
      <c r="N545" s="8"/>
      <c r="O545" s="8"/>
      <c r="P545" s="8"/>
      <c r="Q545" s="8"/>
      <c r="R545" s="9"/>
      <c r="S545" s="10"/>
    </row>
    <row r="546" spans="1:19" ht="14.25" customHeight="1" x14ac:dyDescent="0.35">
      <c r="A546" s="6"/>
      <c r="B546" s="6"/>
      <c r="C546" s="6"/>
      <c r="D546" s="6"/>
      <c r="E546" s="7"/>
      <c r="F546" s="6"/>
      <c r="G546" s="6"/>
      <c r="H546" s="6"/>
      <c r="I546" s="6"/>
      <c r="J546" s="6"/>
      <c r="K546" s="6"/>
      <c r="L546" s="6"/>
      <c r="M546" s="6"/>
      <c r="N546" s="8"/>
      <c r="O546" s="8"/>
      <c r="P546" s="8"/>
      <c r="Q546" s="8"/>
      <c r="R546" s="9"/>
      <c r="S546" s="10"/>
    </row>
    <row r="547" spans="1:19" ht="14.25" customHeight="1" x14ac:dyDescent="0.35">
      <c r="A547" s="6"/>
      <c r="B547" s="6"/>
      <c r="C547" s="6"/>
      <c r="D547" s="6"/>
      <c r="E547" s="7"/>
      <c r="F547" s="6"/>
      <c r="G547" s="6"/>
      <c r="H547" s="6"/>
      <c r="I547" s="6"/>
      <c r="J547" s="6"/>
      <c r="K547" s="6"/>
      <c r="L547" s="6"/>
      <c r="M547" s="6"/>
      <c r="N547" s="8"/>
      <c r="O547" s="8"/>
      <c r="P547" s="8"/>
      <c r="Q547" s="8"/>
      <c r="R547" s="9"/>
      <c r="S547" s="10"/>
    </row>
    <row r="548" spans="1:19" ht="14.25" customHeight="1" x14ac:dyDescent="0.35">
      <c r="A548" s="6"/>
      <c r="B548" s="6"/>
      <c r="C548" s="6"/>
      <c r="D548" s="6"/>
      <c r="E548" s="7"/>
      <c r="F548" s="6"/>
      <c r="G548" s="6"/>
      <c r="H548" s="6"/>
      <c r="I548" s="6"/>
      <c r="J548" s="6"/>
      <c r="K548" s="6"/>
      <c r="L548" s="6"/>
      <c r="M548" s="6"/>
      <c r="N548" s="8"/>
      <c r="O548" s="8"/>
      <c r="P548" s="8"/>
      <c r="Q548" s="8"/>
      <c r="R548" s="9"/>
      <c r="S548" s="10"/>
    </row>
    <row r="549" spans="1:19" ht="14.25" customHeight="1" x14ac:dyDescent="0.35">
      <c r="A549" s="6"/>
      <c r="B549" s="6"/>
      <c r="C549" s="6"/>
      <c r="D549" s="6"/>
      <c r="E549" s="7"/>
      <c r="F549" s="6"/>
      <c r="G549" s="6"/>
      <c r="H549" s="6"/>
      <c r="I549" s="6"/>
      <c r="J549" s="6"/>
      <c r="K549" s="6"/>
      <c r="L549" s="6"/>
      <c r="M549" s="6"/>
      <c r="N549" s="8"/>
      <c r="O549" s="8"/>
      <c r="P549" s="8"/>
      <c r="Q549" s="8"/>
      <c r="R549" s="9"/>
      <c r="S549" s="10"/>
    </row>
    <row r="550" spans="1:19" ht="14.25" customHeight="1" x14ac:dyDescent="0.35">
      <c r="A550" s="6"/>
      <c r="B550" s="6"/>
      <c r="C550" s="6"/>
      <c r="D550" s="6"/>
      <c r="E550" s="7"/>
      <c r="F550" s="6"/>
      <c r="G550" s="6"/>
      <c r="H550" s="6"/>
      <c r="I550" s="6"/>
      <c r="J550" s="6"/>
      <c r="K550" s="6"/>
      <c r="L550" s="6"/>
      <c r="M550" s="6"/>
      <c r="N550" s="8"/>
      <c r="O550" s="8"/>
      <c r="P550" s="8"/>
      <c r="Q550" s="8"/>
      <c r="R550" s="9"/>
      <c r="S550" s="10"/>
    </row>
    <row r="551" spans="1:19" ht="14.25" customHeight="1" x14ac:dyDescent="0.35">
      <c r="A551" s="6"/>
      <c r="B551" s="6"/>
      <c r="C551" s="6"/>
      <c r="D551" s="6"/>
      <c r="E551" s="7"/>
      <c r="F551" s="6"/>
      <c r="G551" s="6"/>
      <c r="H551" s="6"/>
      <c r="I551" s="6"/>
      <c r="J551" s="6"/>
      <c r="K551" s="6"/>
      <c r="L551" s="6"/>
      <c r="M551" s="6"/>
      <c r="N551" s="8"/>
      <c r="O551" s="8"/>
      <c r="P551" s="8"/>
      <c r="Q551" s="8"/>
      <c r="R551" s="9"/>
      <c r="S551" s="10"/>
    </row>
    <row r="552" spans="1:19" ht="14.25" customHeight="1" x14ac:dyDescent="0.35">
      <c r="A552" s="6"/>
      <c r="B552" s="6"/>
      <c r="C552" s="6"/>
      <c r="D552" s="6"/>
      <c r="E552" s="7"/>
      <c r="F552" s="6"/>
      <c r="G552" s="6"/>
      <c r="H552" s="6"/>
      <c r="I552" s="6"/>
      <c r="J552" s="6"/>
      <c r="K552" s="6"/>
      <c r="L552" s="6"/>
      <c r="M552" s="6"/>
      <c r="N552" s="8"/>
      <c r="O552" s="8"/>
      <c r="P552" s="8"/>
      <c r="Q552" s="8"/>
      <c r="R552" s="9"/>
      <c r="S552" s="10"/>
    </row>
    <row r="553" spans="1:19" ht="14.25" customHeight="1" x14ac:dyDescent="0.35">
      <c r="A553" s="6"/>
      <c r="B553" s="6"/>
      <c r="C553" s="6"/>
      <c r="D553" s="6"/>
      <c r="E553" s="7"/>
      <c r="F553" s="6"/>
      <c r="G553" s="6"/>
      <c r="H553" s="6"/>
      <c r="I553" s="6"/>
      <c r="J553" s="6"/>
      <c r="K553" s="6"/>
      <c r="L553" s="6"/>
      <c r="M553" s="6"/>
      <c r="N553" s="8"/>
      <c r="O553" s="8"/>
      <c r="P553" s="8"/>
      <c r="Q553" s="8"/>
      <c r="R553" s="9"/>
      <c r="S553" s="10"/>
    </row>
    <row r="554" spans="1:19" ht="14.25" customHeight="1" x14ac:dyDescent="0.35">
      <c r="A554" s="6"/>
      <c r="B554" s="6"/>
      <c r="C554" s="6"/>
      <c r="D554" s="6"/>
      <c r="E554" s="7"/>
      <c r="F554" s="6"/>
      <c r="G554" s="6"/>
      <c r="H554" s="6"/>
      <c r="I554" s="6"/>
      <c r="J554" s="6"/>
      <c r="K554" s="6"/>
      <c r="L554" s="6"/>
      <c r="M554" s="6"/>
      <c r="N554" s="8"/>
      <c r="O554" s="8"/>
      <c r="P554" s="8"/>
      <c r="Q554" s="8"/>
      <c r="R554" s="9"/>
      <c r="S554" s="10"/>
    </row>
    <row r="555" spans="1:19" ht="14.25" customHeight="1" x14ac:dyDescent="0.35">
      <c r="A555" s="6"/>
      <c r="B555" s="6"/>
      <c r="C555" s="6"/>
      <c r="D555" s="6"/>
      <c r="E555" s="7"/>
      <c r="F555" s="6"/>
      <c r="G555" s="6"/>
      <c r="H555" s="6"/>
      <c r="I555" s="6"/>
      <c r="J555" s="6"/>
      <c r="K555" s="6"/>
      <c r="L555" s="6"/>
      <c r="M555" s="6"/>
      <c r="N555" s="8"/>
      <c r="O555" s="8"/>
      <c r="P555" s="8"/>
      <c r="Q555" s="8"/>
      <c r="R555" s="9"/>
      <c r="S555" s="10"/>
    </row>
    <row r="556" spans="1:19" ht="14.25" customHeight="1" x14ac:dyDescent="0.35">
      <c r="A556" s="6"/>
      <c r="B556" s="6"/>
      <c r="C556" s="6"/>
      <c r="D556" s="6"/>
      <c r="E556" s="7"/>
      <c r="F556" s="6"/>
      <c r="G556" s="6"/>
      <c r="H556" s="6"/>
      <c r="I556" s="6"/>
      <c r="J556" s="6"/>
      <c r="K556" s="6"/>
      <c r="L556" s="6"/>
      <c r="M556" s="6"/>
      <c r="N556" s="8"/>
      <c r="O556" s="8"/>
      <c r="P556" s="8"/>
      <c r="Q556" s="8"/>
      <c r="R556" s="9"/>
      <c r="S556" s="10"/>
    </row>
    <row r="557" spans="1:19" ht="14.25" customHeight="1" x14ac:dyDescent="0.35">
      <c r="A557" s="6"/>
      <c r="B557" s="6"/>
      <c r="C557" s="6"/>
      <c r="D557" s="6"/>
      <c r="E557" s="7"/>
      <c r="F557" s="6"/>
      <c r="G557" s="6"/>
      <c r="H557" s="6"/>
      <c r="I557" s="6"/>
      <c r="J557" s="6"/>
      <c r="K557" s="6"/>
      <c r="L557" s="6"/>
      <c r="M557" s="6"/>
      <c r="N557" s="8"/>
      <c r="O557" s="8"/>
      <c r="P557" s="8"/>
      <c r="Q557" s="8"/>
      <c r="R557" s="9"/>
      <c r="S557" s="10"/>
    </row>
    <row r="558" spans="1:19" ht="14.25" customHeight="1" x14ac:dyDescent="0.35">
      <c r="A558" s="6"/>
      <c r="B558" s="6"/>
      <c r="C558" s="6"/>
      <c r="D558" s="6"/>
      <c r="E558" s="7"/>
      <c r="F558" s="6"/>
      <c r="G558" s="6"/>
      <c r="H558" s="6"/>
      <c r="I558" s="6"/>
      <c r="J558" s="6"/>
      <c r="K558" s="6"/>
      <c r="L558" s="6"/>
      <c r="M558" s="6"/>
      <c r="N558" s="8"/>
      <c r="O558" s="8"/>
      <c r="P558" s="8"/>
      <c r="Q558" s="8"/>
      <c r="R558" s="9"/>
      <c r="S558" s="10"/>
    </row>
    <row r="559" spans="1:19" ht="14.25" customHeight="1" x14ac:dyDescent="0.35">
      <c r="A559" s="6"/>
      <c r="B559" s="6"/>
      <c r="C559" s="6"/>
      <c r="D559" s="6"/>
      <c r="E559" s="7"/>
      <c r="F559" s="6"/>
      <c r="G559" s="6"/>
      <c r="H559" s="6"/>
      <c r="I559" s="6"/>
      <c r="J559" s="6"/>
      <c r="K559" s="6"/>
      <c r="L559" s="6"/>
      <c r="M559" s="6"/>
      <c r="N559" s="8"/>
      <c r="O559" s="8"/>
      <c r="P559" s="8"/>
      <c r="Q559" s="8"/>
      <c r="R559" s="9"/>
      <c r="S559" s="10"/>
    </row>
    <row r="560" spans="1:19" ht="14.25" customHeight="1" x14ac:dyDescent="0.35">
      <c r="A560" s="6"/>
      <c r="B560" s="6"/>
      <c r="C560" s="6"/>
      <c r="D560" s="6"/>
      <c r="E560" s="7"/>
      <c r="F560" s="6"/>
      <c r="G560" s="6"/>
      <c r="H560" s="6"/>
      <c r="I560" s="6"/>
      <c r="J560" s="6"/>
      <c r="K560" s="6"/>
      <c r="L560" s="6"/>
      <c r="M560" s="6"/>
      <c r="N560" s="8"/>
      <c r="O560" s="8"/>
      <c r="P560" s="8"/>
      <c r="Q560" s="8"/>
      <c r="R560" s="9"/>
      <c r="S560" s="10"/>
    </row>
    <row r="561" spans="1:19" ht="14.25" customHeight="1" x14ac:dyDescent="0.35">
      <c r="A561" s="6"/>
      <c r="B561" s="6"/>
      <c r="C561" s="6"/>
      <c r="D561" s="6"/>
      <c r="E561" s="7"/>
      <c r="F561" s="6"/>
      <c r="G561" s="6"/>
      <c r="H561" s="6"/>
      <c r="I561" s="6"/>
      <c r="J561" s="6"/>
      <c r="K561" s="6"/>
      <c r="L561" s="6"/>
      <c r="M561" s="6"/>
      <c r="N561" s="8"/>
      <c r="O561" s="8"/>
      <c r="P561" s="8"/>
      <c r="Q561" s="8"/>
      <c r="R561" s="9"/>
      <c r="S561" s="10"/>
    </row>
    <row r="562" spans="1:19" ht="14.25" customHeight="1" x14ac:dyDescent="0.35">
      <c r="A562" s="6"/>
      <c r="B562" s="6"/>
      <c r="C562" s="6"/>
      <c r="D562" s="6"/>
      <c r="E562" s="7"/>
      <c r="F562" s="6"/>
      <c r="G562" s="6"/>
      <c r="H562" s="6"/>
      <c r="I562" s="6"/>
      <c r="J562" s="6"/>
      <c r="K562" s="6"/>
      <c r="L562" s="6"/>
      <c r="M562" s="6"/>
      <c r="N562" s="8"/>
      <c r="O562" s="8"/>
      <c r="P562" s="8"/>
      <c r="Q562" s="8"/>
      <c r="R562" s="9"/>
      <c r="S562" s="10"/>
    </row>
    <row r="563" spans="1:19" ht="14.25" customHeight="1" x14ac:dyDescent="0.35">
      <c r="A563" s="6"/>
      <c r="B563" s="6"/>
      <c r="C563" s="6"/>
      <c r="D563" s="6"/>
      <c r="E563" s="7"/>
      <c r="F563" s="6"/>
      <c r="G563" s="6"/>
      <c r="H563" s="6"/>
      <c r="I563" s="6"/>
      <c r="J563" s="6"/>
      <c r="K563" s="6"/>
      <c r="L563" s="6"/>
      <c r="M563" s="6"/>
      <c r="N563" s="8"/>
      <c r="O563" s="8"/>
      <c r="P563" s="8"/>
      <c r="Q563" s="8"/>
      <c r="R563" s="9"/>
      <c r="S563" s="10"/>
    </row>
    <row r="564" spans="1:19" ht="14.25" customHeight="1" x14ac:dyDescent="0.35">
      <c r="A564" s="6"/>
      <c r="B564" s="6"/>
      <c r="C564" s="6"/>
      <c r="D564" s="6"/>
      <c r="E564" s="7"/>
      <c r="F564" s="6"/>
      <c r="G564" s="6"/>
      <c r="H564" s="6"/>
      <c r="I564" s="6"/>
      <c r="J564" s="6"/>
      <c r="K564" s="6"/>
      <c r="L564" s="6"/>
      <c r="M564" s="6"/>
      <c r="N564" s="8"/>
      <c r="O564" s="8"/>
      <c r="P564" s="8"/>
      <c r="Q564" s="8"/>
      <c r="R564" s="9"/>
      <c r="S564" s="10"/>
    </row>
    <row r="565" spans="1:19" ht="14.25" customHeight="1" x14ac:dyDescent="0.35">
      <c r="A565" s="6"/>
      <c r="B565" s="6"/>
      <c r="C565" s="6"/>
      <c r="D565" s="6"/>
      <c r="E565" s="7"/>
      <c r="F565" s="6"/>
      <c r="G565" s="6"/>
      <c r="H565" s="6"/>
      <c r="I565" s="6"/>
      <c r="J565" s="6"/>
      <c r="K565" s="6"/>
      <c r="L565" s="6"/>
      <c r="M565" s="6"/>
      <c r="N565" s="8"/>
      <c r="O565" s="8"/>
      <c r="P565" s="8"/>
      <c r="Q565" s="8"/>
      <c r="R565" s="9"/>
      <c r="S565" s="10"/>
    </row>
    <row r="566" spans="1:19" ht="14.25" customHeight="1" x14ac:dyDescent="0.35">
      <c r="A566" s="6"/>
      <c r="B566" s="6"/>
      <c r="C566" s="6"/>
      <c r="D566" s="6"/>
      <c r="E566" s="7"/>
      <c r="F566" s="6"/>
      <c r="G566" s="6"/>
      <c r="H566" s="6"/>
      <c r="I566" s="6"/>
      <c r="J566" s="6"/>
      <c r="K566" s="6"/>
      <c r="L566" s="6"/>
      <c r="M566" s="6"/>
      <c r="N566" s="8"/>
      <c r="O566" s="8"/>
      <c r="P566" s="8"/>
      <c r="Q566" s="8"/>
      <c r="R566" s="9"/>
      <c r="S566" s="10"/>
    </row>
    <row r="567" spans="1:19" ht="14.25" customHeight="1" x14ac:dyDescent="0.35">
      <c r="A567" s="6"/>
      <c r="B567" s="6"/>
      <c r="C567" s="6"/>
      <c r="D567" s="6"/>
      <c r="E567" s="7"/>
      <c r="F567" s="6"/>
      <c r="G567" s="6"/>
      <c r="H567" s="6"/>
      <c r="I567" s="6"/>
      <c r="J567" s="6"/>
      <c r="K567" s="6"/>
      <c r="L567" s="6"/>
      <c r="M567" s="6"/>
      <c r="N567" s="8"/>
      <c r="O567" s="8"/>
      <c r="P567" s="8"/>
      <c r="Q567" s="8"/>
      <c r="R567" s="9"/>
      <c r="S567" s="10"/>
    </row>
    <row r="568" spans="1:19" ht="14.25" customHeight="1" x14ac:dyDescent="0.35">
      <c r="A568" s="6"/>
      <c r="B568" s="6"/>
      <c r="C568" s="6"/>
      <c r="D568" s="6"/>
      <c r="E568" s="7"/>
      <c r="F568" s="6"/>
      <c r="G568" s="6"/>
      <c r="H568" s="6"/>
      <c r="I568" s="6"/>
      <c r="J568" s="6"/>
      <c r="K568" s="6"/>
      <c r="L568" s="6"/>
      <c r="M568" s="6"/>
      <c r="N568" s="8"/>
      <c r="O568" s="8"/>
      <c r="P568" s="8"/>
      <c r="Q568" s="8"/>
      <c r="R568" s="9"/>
      <c r="S568" s="10"/>
    </row>
    <row r="569" spans="1:19" ht="14.25" customHeight="1" x14ac:dyDescent="0.35">
      <c r="A569" s="6"/>
      <c r="B569" s="6"/>
      <c r="C569" s="6"/>
      <c r="D569" s="6"/>
      <c r="E569" s="7"/>
      <c r="F569" s="6"/>
      <c r="G569" s="6"/>
      <c r="H569" s="6"/>
      <c r="I569" s="6"/>
      <c r="J569" s="6"/>
      <c r="K569" s="6"/>
      <c r="L569" s="6"/>
      <c r="M569" s="6"/>
      <c r="N569" s="8"/>
      <c r="O569" s="8"/>
      <c r="P569" s="8"/>
      <c r="Q569" s="8"/>
      <c r="R569" s="9"/>
      <c r="S569" s="10"/>
    </row>
    <row r="570" spans="1:19" ht="14.25" customHeight="1" x14ac:dyDescent="0.35">
      <c r="A570" s="6"/>
      <c r="B570" s="6"/>
      <c r="C570" s="6"/>
      <c r="D570" s="6"/>
      <c r="E570" s="7"/>
      <c r="F570" s="6"/>
      <c r="G570" s="6"/>
      <c r="H570" s="6"/>
      <c r="I570" s="6"/>
      <c r="J570" s="6"/>
      <c r="K570" s="6"/>
      <c r="L570" s="6"/>
      <c r="M570" s="6"/>
      <c r="N570" s="8"/>
      <c r="O570" s="8"/>
      <c r="P570" s="8"/>
      <c r="Q570" s="8"/>
      <c r="R570" s="9"/>
      <c r="S570" s="10"/>
    </row>
    <row r="571" spans="1:19" ht="14.25" customHeight="1" x14ac:dyDescent="0.35">
      <c r="A571" s="6"/>
      <c r="B571" s="6"/>
      <c r="C571" s="6"/>
      <c r="D571" s="6"/>
      <c r="E571" s="7"/>
      <c r="F571" s="6"/>
      <c r="G571" s="6"/>
      <c r="H571" s="6"/>
      <c r="I571" s="6"/>
      <c r="J571" s="6"/>
      <c r="K571" s="6"/>
      <c r="L571" s="6"/>
      <c r="M571" s="6"/>
      <c r="N571" s="8"/>
      <c r="O571" s="8"/>
      <c r="P571" s="8"/>
      <c r="Q571" s="8"/>
      <c r="R571" s="9"/>
      <c r="S571" s="10"/>
    </row>
    <row r="572" spans="1:19" ht="14.25" customHeight="1" x14ac:dyDescent="0.35">
      <c r="A572" s="6"/>
      <c r="B572" s="6"/>
      <c r="C572" s="6"/>
      <c r="D572" s="6"/>
      <c r="E572" s="7"/>
      <c r="F572" s="6"/>
      <c r="G572" s="6"/>
      <c r="H572" s="6"/>
      <c r="I572" s="6"/>
      <c r="J572" s="6"/>
      <c r="K572" s="6"/>
      <c r="L572" s="6"/>
      <c r="M572" s="6"/>
      <c r="N572" s="8"/>
      <c r="O572" s="8"/>
      <c r="P572" s="8"/>
      <c r="Q572" s="8"/>
      <c r="R572" s="9"/>
      <c r="S572" s="10"/>
    </row>
    <row r="573" spans="1:19" ht="14.25" customHeight="1" x14ac:dyDescent="0.35">
      <c r="A573" s="6"/>
      <c r="B573" s="6"/>
      <c r="C573" s="6"/>
      <c r="D573" s="6"/>
      <c r="E573" s="7"/>
      <c r="F573" s="6"/>
      <c r="G573" s="6"/>
      <c r="H573" s="6"/>
      <c r="I573" s="6"/>
      <c r="J573" s="6"/>
      <c r="K573" s="6"/>
      <c r="L573" s="6"/>
      <c r="M573" s="6"/>
      <c r="N573" s="8"/>
      <c r="O573" s="8"/>
      <c r="P573" s="8"/>
      <c r="Q573" s="8"/>
      <c r="R573" s="9"/>
      <c r="S573" s="10"/>
    </row>
    <row r="574" spans="1:19" ht="14.25" customHeight="1" x14ac:dyDescent="0.35">
      <c r="A574" s="6"/>
      <c r="B574" s="6"/>
      <c r="C574" s="6"/>
      <c r="D574" s="6"/>
      <c r="E574" s="7"/>
      <c r="F574" s="6"/>
      <c r="G574" s="6"/>
      <c r="H574" s="6"/>
      <c r="I574" s="6"/>
      <c r="J574" s="6"/>
      <c r="K574" s="6"/>
      <c r="L574" s="6"/>
      <c r="M574" s="6"/>
      <c r="N574" s="8"/>
      <c r="O574" s="8"/>
      <c r="P574" s="8"/>
      <c r="Q574" s="8"/>
      <c r="R574" s="9"/>
      <c r="S574" s="10"/>
    </row>
    <row r="575" spans="1:19" ht="14.25" customHeight="1" x14ac:dyDescent="0.35">
      <c r="A575" s="6"/>
      <c r="B575" s="6"/>
      <c r="C575" s="6"/>
      <c r="D575" s="6"/>
      <c r="E575" s="7"/>
      <c r="F575" s="6"/>
      <c r="G575" s="6"/>
      <c r="H575" s="6"/>
      <c r="I575" s="6"/>
      <c r="J575" s="6"/>
      <c r="K575" s="6"/>
      <c r="L575" s="6"/>
      <c r="M575" s="6"/>
      <c r="N575" s="8"/>
      <c r="O575" s="8"/>
      <c r="P575" s="8"/>
      <c r="Q575" s="8"/>
      <c r="R575" s="9"/>
      <c r="S575" s="10"/>
    </row>
    <row r="576" spans="1:19" ht="14.25" customHeight="1" x14ac:dyDescent="0.35">
      <c r="A576" s="6"/>
      <c r="B576" s="6"/>
      <c r="C576" s="6"/>
      <c r="D576" s="6"/>
      <c r="E576" s="7"/>
      <c r="F576" s="6"/>
      <c r="G576" s="6"/>
      <c r="H576" s="6"/>
      <c r="I576" s="6"/>
      <c r="J576" s="6"/>
      <c r="K576" s="6"/>
      <c r="L576" s="6"/>
      <c r="M576" s="6"/>
      <c r="N576" s="8"/>
      <c r="O576" s="8"/>
      <c r="P576" s="8"/>
      <c r="Q576" s="8"/>
      <c r="R576" s="9"/>
      <c r="S576" s="10"/>
    </row>
    <row r="577" spans="1:19" ht="14.25" customHeight="1" x14ac:dyDescent="0.35">
      <c r="A577" s="6"/>
      <c r="B577" s="6"/>
      <c r="C577" s="6"/>
      <c r="D577" s="6"/>
      <c r="E577" s="7"/>
      <c r="F577" s="6"/>
      <c r="G577" s="6"/>
      <c r="H577" s="6"/>
      <c r="I577" s="6"/>
      <c r="J577" s="6"/>
      <c r="K577" s="6"/>
      <c r="L577" s="6"/>
      <c r="M577" s="6"/>
      <c r="N577" s="8"/>
      <c r="O577" s="8"/>
      <c r="P577" s="8"/>
      <c r="Q577" s="8"/>
      <c r="R577" s="9"/>
      <c r="S577" s="10"/>
    </row>
    <row r="578" spans="1:19" ht="14.25" customHeight="1" x14ac:dyDescent="0.35">
      <c r="A578" s="6"/>
      <c r="B578" s="6"/>
      <c r="C578" s="6"/>
      <c r="D578" s="6"/>
      <c r="E578" s="7"/>
      <c r="F578" s="6"/>
      <c r="G578" s="6"/>
      <c r="H578" s="6"/>
      <c r="I578" s="6"/>
      <c r="J578" s="6"/>
      <c r="K578" s="6"/>
      <c r="L578" s="6"/>
      <c r="M578" s="6"/>
      <c r="N578" s="8"/>
      <c r="O578" s="8"/>
      <c r="P578" s="8"/>
      <c r="Q578" s="8"/>
      <c r="R578" s="9"/>
      <c r="S578" s="10"/>
    </row>
    <row r="579" spans="1:19" ht="14.25" customHeight="1" x14ac:dyDescent="0.35">
      <c r="A579" s="6"/>
      <c r="B579" s="6"/>
      <c r="C579" s="6"/>
      <c r="D579" s="6"/>
      <c r="E579" s="7"/>
      <c r="F579" s="6"/>
      <c r="G579" s="6"/>
      <c r="H579" s="6"/>
      <c r="I579" s="6"/>
      <c r="J579" s="6"/>
      <c r="K579" s="6"/>
      <c r="L579" s="6"/>
      <c r="M579" s="6"/>
      <c r="N579" s="8"/>
      <c r="O579" s="8"/>
      <c r="P579" s="8"/>
      <c r="Q579" s="8"/>
      <c r="R579" s="9"/>
      <c r="S579" s="10"/>
    </row>
    <row r="580" spans="1:19" ht="14.25" customHeight="1" x14ac:dyDescent="0.35">
      <c r="A580" s="6"/>
      <c r="B580" s="6"/>
      <c r="C580" s="6"/>
      <c r="D580" s="6"/>
      <c r="E580" s="7"/>
      <c r="F580" s="6"/>
      <c r="G580" s="6"/>
      <c r="H580" s="6"/>
      <c r="I580" s="6"/>
      <c r="J580" s="6"/>
      <c r="K580" s="6"/>
      <c r="L580" s="6"/>
      <c r="M580" s="6"/>
      <c r="N580" s="8"/>
      <c r="O580" s="8"/>
      <c r="P580" s="8"/>
      <c r="Q580" s="8"/>
      <c r="R580" s="9"/>
      <c r="S580" s="10"/>
    </row>
    <row r="581" spans="1:19" ht="14.25" customHeight="1" x14ac:dyDescent="0.35">
      <c r="A581" s="6"/>
      <c r="B581" s="6"/>
      <c r="C581" s="6"/>
      <c r="D581" s="6"/>
      <c r="E581" s="7"/>
      <c r="F581" s="6"/>
      <c r="G581" s="6"/>
      <c r="H581" s="6"/>
      <c r="I581" s="6"/>
      <c r="J581" s="6"/>
      <c r="K581" s="6"/>
      <c r="L581" s="6"/>
      <c r="M581" s="6"/>
      <c r="N581" s="8"/>
      <c r="O581" s="8"/>
      <c r="P581" s="8"/>
      <c r="Q581" s="8"/>
      <c r="R581" s="9"/>
      <c r="S581" s="10"/>
    </row>
    <row r="582" spans="1:19" ht="14.25" customHeight="1" x14ac:dyDescent="0.35">
      <c r="A582" s="6"/>
      <c r="B582" s="6"/>
      <c r="C582" s="6"/>
      <c r="D582" s="6"/>
      <c r="E582" s="7"/>
      <c r="F582" s="6"/>
      <c r="G582" s="6"/>
      <c r="H582" s="6"/>
      <c r="I582" s="6"/>
      <c r="J582" s="6"/>
      <c r="K582" s="6"/>
      <c r="L582" s="6"/>
      <c r="M582" s="6"/>
      <c r="N582" s="8"/>
      <c r="O582" s="8"/>
      <c r="P582" s="8"/>
      <c r="Q582" s="8"/>
      <c r="R582" s="9"/>
      <c r="S582" s="10"/>
    </row>
    <row r="583" spans="1:19" ht="14.25" customHeight="1" x14ac:dyDescent="0.35">
      <c r="A583" s="6"/>
      <c r="B583" s="6"/>
      <c r="C583" s="6"/>
      <c r="D583" s="6"/>
      <c r="E583" s="7"/>
      <c r="F583" s="6"/>
      <c r="G583" s="6"/>
      <c r="H583" s="6"/>
      <c r="I583" s="6"/>
      <c r="J583" s="6"/>
      <c r="K583" s="6"/>
      <c r="L583" s="6"/>
      <c r="M583" s="6"/>
      <c r="N583" s="8"/>
      <c r="O583" s="8"/>
      <c r="P583" s="8"/>
      <c r="Q583" s="8"/>
      <c r="R583" s="9"/>
      <c r="S583" s="10"/>
    </row>
    <row r="584" spans="1:19" ht="14.25" customHeight="1" x14ac:dyDescent="0.35">
      <c r="A584" s="6"/>
      <c r="B584" s="6"/>
      <c r="C584" s="6"/>
      <c r="D584" s="6"/>
      <c r="E584" s="7"/>
      <c r="F584" s="6"/>
      <c r="G584" s="6"/>
      <c r="H584" s="6"/>
      <c r="I584" s="6"/>
      <c r="J584" s="6"/>
      <c r="K584" s="6"/>
      <c r="L584" s="6"/>
      <c r="M584" s="6"/>
      <c r="N584" s="8"/>
      <c r="O584" s="8"/>
      <c r="P584" s="8"/>
      <c r="Q584" s="8"/>
      <c r="R584" s="9"/>
      <c r="S584" s="10"/>
    </row>
    <row r="585" spans="1:19" ht="14.25" customHeight="1" x14ac:dyDescent="0.35">
      <c r="A585" s="6"/>
      <c r="B585" s="6"/>
      <c r="C585" s="6"/>
      <c r="D585" s="6"/>
      <c r="E585" s="7"/>
      <c r="F585" s="6"/>
      <c r="G585" s="6"/>
      <c r="H585" s="6"/>
      <c r="I585" s="6"/>
      <c r="J585" s="6"/>
      <c r="K585" s="6"/>
      <c r="L585" s="6"/>
      <c r="M585" s="6"/>
      <c r="N585" s="8"/>
      <c r="O585" s="8"/>
      <c r="P585" s="8"/>
      <c r="Q585" s="8"/>
      <c r="R585" s="9"/>
      <c r="S585" s="10"/>
    </row>
    <row r="586" spans="1:19" ht="14.25" customHeight="1" x14ac:dyDescent="0.35">
      <c r="A586" s="6"/>
      <c r="B586" s="6"/>
      <c r="C586" s="6"/>
      <c r="D586" s="6"/>
      <c r="E586" s="7"/>
      <c r="F586" s="6"/>
      <c r="G586" s="6"/>
      <c r="H586" s="6"/>
      <c r="I586" s="6"/>
      <c r="J586" s="6"/>
      <c r="K586" s="6"/>
      <c r="L586" s="6"/>
      <c r="M586" s="6"/>
      <c r="N586" s="8"/>
      <c r="O586" s="8"/>
      <c r="P586" s="8"/>
      <c r="Q586" s="8"/>
      <c r="R586" s="9"/>
      <c r="S586" s="10"/>
    </row>
    <row r="587" spans="1:19" ht="14.25" customHeight="1" x14ac:dyDescent="0.35">
      <c r="A587" s="6"/>
      <c r="B587" s="6"/>
      <c r="C587" s="6"/>
      <c r="D587" s="6"/>
      <c r="E587" s="7"/>
      <c r="F587" s="6"/>
      <c r="G587" s="6"/>
      <c r="H587" s="6"/>
      <c r="I587" s="6"/>
      <c r="J587" s="6"/>
      <c r="K587" s="6"/>
      <c r="L587" s="6"/>
      <c r="M587" s="6"/>
      <c r="N587" s="8"/>
      <c r="O587" s="8"/>
      <c r="P587" s="8"/>
      <c r="Q587" s="8"/>
      <c r="R587" s="9"/>
      <c r="S587" s="10"/>
    </row>
    <row r="588" spans="1:19" ht="14.25" customHeight="1" x14ac:dyDescent="0.35">
      <c r="A588" s="6"/>
      <c r="B588" s="6"/>
      <c r="C588" s="6"/>
      <c r="D588" s="6"/>
      <c r="E588" s="7"/>
      <c r="F588" s="6"/>
      <c r="G588" s="6"/>
      <c r="H588" s="6"/>
      <c r="I588" s="6"/>
      <c r="J588" s="6"/>
      <c r="K588" s="6"/>
      <c r="L588" s="6"/>
      <c r="M588" s="6"/>
      <c r="N588" s="8"/>
      <c r="O588" s="8"/>
      <c r="P588" s="8"/>
      <c r="Q588" s="8"/>
      <c r="R588" s="9"/>
      <c r="S588" s="10"/>
    </row>
    <row r="589" spans="1:19" ht="14.25" customHeight="1" x14ac:dyDescent="0.35">
      <c r="A589" s="6"/>
      <c r="B589" s="6"/>
      <c r="C589" s="6"/>
      <c r="D589" s="6"/>
      <c r="E589" s="7"/>
      <c r="F589" s="6"/>
      <c r="G589" s="6"/>
      <c r="H589" s="6"/>
      <c r="I589" s="6"/>
      <c r="J589" s="6"/>
      <c r="K589" s="6"/>
      <c r="L589" s="6"/>
      <c r="M589" s="6"/>
      <c r="N589" s="8"/>
      <c r="O589" s="8"/>
      <c r="P589" s="8"/>
      <c r="Q589" s="8"/>
      <c r="R589" s="9"/>
      <c r="S589" s="10"/>
    </row>
    <row r="590" spans="1:19" ht="14.25" customHeight="1" x14ac:dyDescent="0.35">
      <c r="A590" s="6"/>
      <c r="B590" s="6"/>
      <c r="C590" s="6"/>
      <c r="D590" s="6"/>
      <c r="E590" s="7"/>
      <c r="F590" s="6"/>
      <c r="G590" s="6"/>
      <c r="H590" s="6"/>
      <c r="I590" s="6"/>
      <c r="J590" s="6"/>
      <c r="K590" s="6"/>
      <c r="L590" s="6"/>
      <c r="M590" s="6"/>
      <c r="N590" s="8"/>
      <c r="O590" s="8"/>
      <c r="P590" s="8"/>
      <c r="Q590" s="8"/>
      <c r="R590" s="9"/>
      <c r="S590" s="10"/>
    </row>
    <row r="591" spans="1:19" ht="14.25" customHeight="1" x14ac:dyDescent="0.35">
      <c r="A591" s="6"/>
      <c r="B591" s="6"/>
      <c r="C591" s="6"/>
      <c r="D591" s="6"/>
      <c r="E591" s="7"/>
      <c r="F591" s="6"/>
      <c r="G591" s="6"/>
      <c r="H591" s="6"/>
      <c r="I591" s="6"/>
      <c r="J591" s="6"/>
      <c r="K591" s="6"/>
      <c r="L591" s="6"/>
      <c r="M591" s="6"/>
      <c r="N591" s="8"/>
      <c r="O591" s="8"/>
      <c r="P591" s="8"/>
      <c r="Q591" s="8"/>
      <c r="R591" s="9"/>
      <c r="S591" s="10"/>
    </row>
    <row r="592" spans="1:19" ht="14.25" customHeight="1" x14ac:dyDescent="0.35">
      <c r="A592" s="6"/>
      <c r="B592" s="6"/>
      <c r="C592" s="6"/>
      <c r="D592" s="6"/>
      <c r="E592" s="7"/>
      <c r="F592" s="6"/>
      <c r="G592" s="6"/>
      <c r="H592" s="6"/>
      <c r="I592" s="6"/>
      <c r="J592" s="6"/>
      <c r="K592" s="6"/>
      <c r="L592" s="6"/>
      <c r="M592" s="6"/>
      <c r="N592" s="8"/>
      <c r="O592" s="8"/>
      <c r="P592" s="8"/>
      <c r="Q592" s="8"/>
      <c r="R592" s="9"/>
      <c r="S592" s="10"/>
    </row>
    <row r="593" spans="1:19" ht="14.25" customHeight="1" x14ac:dyDescent="0.35">
      <c r="A593" s="6"/>
      <c r="B593" s="6"/>
      <c r="C593" s="6"/>
      <c r="D593" s="6"/>
      <c r="E593" s="7"/>
      <c r="F593" s="6"/>
      <c r="G593" s="6"/>
      <c r="H593" s="6"/>
      <c r="I593" s="6"/>
      <c r="J593" s="6"/>
      <c r="K593" s="6"/>
      <c r="L593" s="6"/>
      <c r="M593" s="6"/>
      <c r="N593" s="8"/>
      <c r="O593" s="8"/>
      <c r="P593" s="8"/>
      <c r="Q593" s="8"/>
      <c r="R593" s="9"/>
      <c r="S593" s="10"/>
    </row>
    <row r="594" spans="1:19" ht="14.25" customHeight="1" x14ac:dyDescent="0.35">
      <c r="A594" s="6"/>
      <c r="B594" s="6"/>
      <c r="C594" s="6"/>
      <c r="D594" s="6"/>
      <c r="E594" s="7"/>
      <c r="F594" s="6"/>
      <c r="G594" s="6"/>
      <c r="H594" s="6"/>
      <c r="I594" s="6"/>
      <c r="J594" s="6"/>
      <c r="K594" s="6"/>
      <c r="L594" s="6"/>
      <c r="M594" s="6"/>
      <c r="N594" s="8"/>
      <c r="O594" s="8"/>
      <c r="P594" s="8"/>
      <c r="Q594" s="8"/>
      <c r="R594" s="9"/>
      <c r="S594" s="10"/>
    </row>
    <row r="595" spans="1:19" ht="14.25" customHeight="1" x14ac:dyDescent="0.35">
      <c r="A595" s="6"/>
      <c r="B595" s="6"/>
      <c r="C595" s="6"/>
      <c r="D595" s="6"/>
      <c r="E595" s="7"/>
      <c r="F595" s="6"/>
      <c r="G595" s="6"/>
      <c r="H595" s="6"/>
      <c r="I595" s="6"/>
      <c r="J595" s="6"/>
      <c r="K595" s="6"/>
      <c r="L595" s="6"/>
      <c r="M595" s="6"/>
      <c r="N595" s="8"/>
      <c r="O595" s="8"/>
      <c r="P595" s="8"/>
      <c r="Q595" s="8"/>
      <c r="R595" s="9"/>
      <c r="S595" s="10"/>
    </row>
    <row r="596" spans="1:19" ht="14.25" customHeight="1" x14ac:dyDescent="0.35">
      <c r="A596" s="6"/>
      <c r="B596" s="6"/>
      <c r="C596" s="6"/>
      <c r="D596" s="6"/>
      <c r="E596" s="7"/>
      <c r="F596" s="6"/>
      <c r="G596" s="6"/>
      <c r="H596" s="6"/>
      <c r="I596" s="6"/>
      <c r="J596" s="6"/>
      <c r="K596" s="6"/>
      <c r="L596" s="6"/>
      <c r="M596" s="6"/>
      <c r="N596" s="8"/>
      <c r="O596" s="8"/>
      <c r="P596" s="8"/>
      <c r="Q596" s="8"/>
      <c r="R596" s="9"/>
      <c r="S596" s="10"/>
    </row>
    <row r="597" spans="1:19" ht="14.25" customHeight="1" x14ac:dyDescent="0.35">
      <c r="A597" s="6"/>
      <c r="B597" s="6"/>
      <c r="C597" s="6"/>
      <c r="D597" s="6"/>
      <c r="E597" s="7"/>
      <c r="F597" s="6"/>
      <c r="G597" s="6"/>
      <c r="H597" s="6"/>
      <c r="I597" s="6"/>
      <c r="J597" s="6"/>
      <c r="K597" s="6"/>
      <c r="L597" s="6"/>
      <c r="M597" s="6"/>
      <c r="N597" s="8"/>
      <c r="O597" s="8"/>
      <c r="P597" s="8"/>
      <c r="Q597" s="8"/>
      <c r="R597" s="9"/>
      <c r="S597" s="10"/>
    </row>
    <row r="598" spans="1:19" ht="14.25" customHeight="1" x14ac:dyDescent="0.35">
      <c r="A598" s="6"/>
      <c r="B598" s="6"/>
      <c r="C598" s="6"/>
      <c r="D598" s="6"/>
      <c r="E598" s="7"/>
      <c r="F598" s="6"/>
      <c r="G598" s="6"/>
      <c r="H598" s="6"/>
      <c r="I598" s="6"/>
      <c r="J598" s="6"/>
      <c r="K598" s="6"/>
      <c r="L598" s="6"/>
      <c r="M598" s="6"/>
      <c r="N598" s="8"/>
      <c r="O598" s="8"/>
      <c r="P598" s="8"/>
      <c r="Q598" s="8"/>
      <c r="R598" s="9"/>
      <c r="S598" s="10"/>
    </row>
    <row r="599" spans="1:19" ht="14.25" customHeight="1" x14ac:dyDescent="0.35">
      <c r="A599" s="6"/>
      <c r="B599" s="6"/>
      <c r="C599" s="6"/>
      <c r="D599" s="6"/>
      <c r="E599" s="7"/>
      <c r="F599" s="6"/>
      <c r="G599" s="6"/>
      <c r="H599" s="6"/>
      <c r="I599" s="6"/>
      <c r="J599" s="6"/>
      <c r="K599" s="6"/>
      <c r="L599" s="6"/>
      <c r="M599" s="6"/>
      <c r="N599" s="8"/>
      <c r="O599" s="8"/>
      <c r="P599" s="8"/>
      <c r="Q599" s="8"/>
      <c r="R599" s="9"/>
      <c r="S599" s="10"/>
    </row>
    <row r="600" spans="1:19" ht="14.25" customHeight="1" x14ac:dyDescent="0.35">
      <c r="A600" s="6"/>
      <c r="B600" s="6"/>
      <c r="C600" s="6"/>
      <c r="D600" s="6"/>
      <c r="E600" s="7"/>
      <c r="F600" s="6"/>
      <c r="G600" s="6"/>
      <c r="H600" s="6"/>
      <c r="I600" s="6"/>
      <c r="J600" s="6"/>
      <c r="K600" s="6"/>
      <c r="L600" s="6"/>
      <c r="M600" s="6"/>
      <c r="N600" s="8"/>
      <c r="O600" s="8"/>
      <c r="P600" s="8"/>
      <c r="Q600" s="8"/>
      <c r="R600" s="9"/>
      <c r="S600" s="10"/>
    </row>
    <row r="601" spans="1:19" ht="14.25" customHeight="1" x14ac:dyDescent="0.35">
      <c r="A601" s="6"/>
      <c r="B601" s="6"/>
      <c r="C601" s="6"/>
      <c r="D601" s="6"/>
      <c r="E601" s="7"/>
      <c r="F601" s="6"/>
      <c r="G601" s="6"/>
      <c r="H601" s="6"/>
      <c r="I601" s="6"/>
      <c r="J601" s="6"/>
      <c r="K601" s="6"/>
      <c r="L601" s="6"/>
      <c r="M601" s="6"/>
      <c r="N601" s="8"/>
      <c r="O601" s="8"/>
      <c r="P601" s="8"/>
      <c r="Q601" s="8"/>
      <c r="R601" s="9"/>
      <c r="S601" s="10"/>
    </row>
    <row r="602" spans="1:19" ht="14.25" customHeight="1" x14ac:dyDescent="0.35">
      <c r="A602" s="6"/>
      <c r="B602" s="6"/>
      <c r="C602" s="6"/>
      <c r="D602" s="6"/>
      <c r="E602" s="7"/>
      <c r="F602" s="6"/>
      <c r="G602" s="6"/>
      <c r="H602" s="6"/>
      <c r="I602" s="6"/>
      <c r="J602" s="6"/>
      <c r="K602" s="6"/>
      <c r="L602" s="6"/>
      <c r="M602" s="6"/>
      <c r="N602" s="8"/>
      <c r="O602" s="8"/>
      <c r="P602" s="8"/>
      <c r="Q602" s="8"/>
      <c r="R602" s="9"/>
      <c r="S602" s="10"/>
    </row>
    <row r="603" spans="1:19" ht="14.25" customHeight="1" x14ac:dyDescent="0.35">
      <c r="A603" s="6"/>
      <c r="B603" s="6"/>
      <c r="C603" s="6"/>
      <c r="D603" s="6"/>
      <c r="E603" s="7"/>
      <c r="F603" s="6"/>
      <c r="G603" s="6"/>
      <c r="H603" s="6"/>
      <c r="I603" s="6"/>
      <c r="J603" s="6"/>
      <c r="K603" s="6"/>
      <c r="L603" s="6"/>
      <c r="M603" s="6"/>
      <c r="N603" s="8"/>
      <c r="O603" s="8"/>
      <c r="P603" s="8"/>
      <c r="Q603" s="8"/>
      <c r="R603" s="9"/>
      <c r="S603" s="10"/>
    </row>
    <row r="604" spans="1:19" ht="14.25" customHeight="1" x14ac:dyDescent="0.35">
      <c r="A604" s="6"/>
      <c r="B604" s="6"/>
      <c r="C604" s="6"/>
      <c r="D604" s="6"/>
      <c r="E604" s="7"/>
      <c r="F604" s="6"/>
      <c r="G604" s="6"/>
      <c r="H604" s="6"/>
      <c r="I604" s="6"/>
      <c r="J604" s="6"/>
      <c r="K604" s="6"/>
      <c r="L604" s="6"/>
      <c r="M604" s="6"/>
      <c r="N604" s="8"/>
      <c r="O604" s="8"/>
      <c r="P604" s="8"/>
      <c r="Q604" s="8"/>
      <c r="R604" s="9"/>
      <c r="S604" s="10"/>
    </row>
    <row r="605" spans="1:19" ht="14.25" customHeight="1" x14ac:dyDescent="0.35">
      <c r="A605" s="6"/>
      <c r="B605" s="6"/>
      <c r="C605" s="6"/>
      <c r="D605" s="6"/>
      <c r="E605" s="7"/>
      <c r="F605" s="6"/>
      <c r="G605" s="6"/>
      <c r="H605" s="6"/>
      <c r="I605" s="6"/>
      <c r="J605" s="6"/>
      <c r="K605" s="6"/>
      <c r="L605" s="6"/>
      <c r="M605" s="6"/>
      <c r="N605" s="8"/>
      <c r="O605" s="8"/>
      <c r="P605" s="8"/>
      <c r="Q605" s="8"/>
      <c r="R605" s="9"/>
      <c r="S605" s="10"/>
    </row>
    <row r="606" spans="1:19" ht="14.25" customHeight="1" x14ac:dyDescent="0.35">
      <c r="A606" s="6"/>
      <c r="B606" s="6"/>
      <c r="C606" s="6"/>
      <c r="D606" s="6"/>
      <c r="E606" s="7"/>
      <c r="F606" s="6"/>
      <c r="G606" s="6"/>
      <c r="H606" s="6"/>
      <c r="I606" s="6"/>
      <c r="J606" s="6"/>
      <c r="K606" s="6"/>
      <c r="L606" s="6"/>
      <c r="M606" s="6"/>
      <c r="N606" s="8"/>
      <c r="O606" s="8"/>
      <c r="P606" s="8"/>
      <c r="Q606" s="8"/>
      <c r="R606" s="9"/>
      <c r="S606" s="10"/>
    </row>
    <row r="607" spans="1:19" ht="14.25" customHeight="1" x14ac:dyDescent="0.35">
      <c r="A607" s="6"/>
      <c r="B607" s="6"/>
      <c r="C607" s="6"/>
      <c r="D607" s="6"/>
      <c r="E607" s="7"/>
      <c r="F607" s="6"/>
      <c r="G607" s="6"/>
      <c r="H607" s="6"/>
      <c r="I607" s="6"/>
      <c r="J607" s="6"/>
      <c r="K607" s="6"/>
      <c r="L607" s="6"/>
      <c r="M607" s="6"/>
      <c r="N607" s="8"/>
      <c r="O607" s="8"/>
      <c r="P607" s="8"/>
      <c r="Q607" s="8"/>
      <c r="R607" s="9"/>
      <c r="S607" s="10"/>
    </row>
    <row r="608" spans="1:19" ht="14.25" customHeight="1" x14ac:dyDescent="0.35">
      <c r="A608" s="6"/>
      <c r="B608" s="6"/>
      <c r="C608" s="6"/>
      <c r="D608" s="6"/>
      <c r="E608" s="7"/>
      <c r="F608" s="6"/>
      <c r="G608" s="6"/>
      <c r="H608" s="6"/>
      <c r="I608" s="6"/>
      <c r="J608" s="6"/>
      <c r="K608" s="6"/>
      <c r="L608" s="6"/>
      <c r="M608" s="6"/>
      <c r="N608" s="8"/>
      <c r="O608" s="8"/>
      <c r="P608" s="8"/>
      <c r="Q608" s="8"/>
      <c r="R608" s="9"/>
      <c r="S608" s="10"/>
    </row>
    <row r="609" spans="1:19" ht="14.25" customHeight="1" x14ac:dyDescent="0.35">
      <c r="A609" s="6"/>
      <c r="B609" s="6"/>
      <c r="C609" s="6"/>
      <c r="D609" s="6"/>
      <c r="E609" s="7"/>
      <c r="F609" s="6"/>
      <c r="G609" s="6"/>
      <c r="H609" s="6"/>
      <c r="I609" s="6"/>
      <c r="J609" s="6"/>
      <c r="K609" s="6"/>
      <c r="L609" s="6"/>
      <c r="M609" s="6"/>
      <c r="N609" s="8"/>
      <c r="O609" s="8"/>
      <c r="P609" s="8"/>
      <c r="Q609" s="8"/>
      <c r="R609" s="9"/>
      <c r="S609" s="10"/>
    </row>
    <row r="610" spans="1:19" ht="14.25" customHeight="1" x14ac:dyDescent="0.35">
      <c r="A610" s="6"/>
      <c r="B610" s="6"/>
      <c r="C610" s="6"/>
      <c r="D610" s="6"/>
      <c r="E610" s="7"/>
      <c r="F610" s="6"/>
      <c r="G610" s="6"/>
      <c r="H610" s="6"/>
      <c r="I610" s="6"/>
      <c r="J610" s="6"/>
      <c r="K610" s="6"/>
      <c r="L610" s="6"/>
      <c r="M610" s="6"/>
      <c r="N610" s="8"/>
      <c r="O610" s="8"/>
      <c r="P610" s="8"/>
      <c r="Q610" s="8"/>
      <c r="R610" s="9"/>
      <c r="S610" s="10"/>
    </row>
    <row r="611" spans="1:19" ht="14.25" customHeight="1" x14ac:dyDescent="0.35">
      <c r="A611" s="6"/>
      <c r="B611" s="6"/>
      <c r="C611" s="6"/>
      <c r="D611" s="6"/>
      <c r="E611" s="7"/>
      <c r="F611" s="6"/>
      <c r="G611" s="6"/>
      <c r="H611" s="6"/>
      <c r="I611" s="6"/>
      <c r="J611" s="6"/>
      <c r="K611" s="6"/>
      <c r="L611" s="6"/>
      <c r="M611" s="6"/>
      <c r="N611" s="8"/>
      <c r="O611" s="8"/>
      <c r="P611" s="8"/>
      <c r="Q611" s="8"/>
      <c r="R611" s="9"/>
      <c r="S611" s="10"/>
    </row>
    <row r="612" spans="1:19" ht="14.25" customHeight="1" x14ac:dyDescent="0.35">
      <c r="A612" s="6"/>
      <c r="B612" s="6"/>
      <c r="C612" s="6"/>
      <c r="D612" s="6"/>
      <c r="E612" s="7"/>
      <c r="F612" s="6"/>
      <c r="G612" s="6"/>
      <c r="H612" s="6"/>
      <c r="I612" s="6"/>
      <c r="J612" s="6"/>
      <c r="K612" s="6"/>
      <c r="L612" s="6"/>
      <c r="M612" s="6"/>
      <c r="N612" s="8"/>
      <c r="O612" s="8"/>
      <c r="P612" s="8"/>
      <c r="Q612" s="8"/>
      <c r="R612" s="9"/>
      <c r="S612" s="10"/>
    </row>
    <row r="613" spans="1:19" ht="14.25" customHeight="1" x14ac:dyDescent="0.35">
      <c r="A613" s="6"/>
      <c r="B613" s="6"/>
      <c r="C613" s="6"/>
      <c r="D613" s="6"/>
      <c r="E613" s="7"/>
      <c r="F613" s="6"/>
      <c r="G613" s="6"/>
      <c r="H613" s="6"/>
      <c r="I613" s="6"/>
      <c r="J613" s="6"/>
      <c r="K613" s="6"/>
      <c r="L613" s="6"/>
      <c r="M613" s="6"/>
      <c r="N613" s="8"/>
      <c r="O613" s="8"/>
      <c r="P613" s="8"/>
      <c r="Q613" s="8"/>
      <c r="R613" s="9"/>
      <c r="S613" s="10"/>
    </row>
    <row r="614" spans="1:19" ht="14.25" customHeight="1" x14ac:dyDescent="0.35">
      <c r="A614" s="6"/>
      <c r="B614" s="6"/>
      <c r="C614" s="6"/>
      <c r="D614" s="6"/>
      <c r="E614" s="7"/>
      <c r="F614" s="6"/>
      <c r="G614" s="6"/>
      <c r="H614" s="6"/>
      <c r="I614" s="6"/>
      <c r="J614" s="6"/>
      <c r="K614" s="6"/>
      <c r="L614" s="6"/>
      <c r="M614" s="6"/>
      <c r="N614" s="8"/>
      <c r="O614" s="8"/>
      <c r="P614" s="8"/>
      <c r="Q614" s="8"/>
      <c r="R614" s="9"/>
      <c r="S614" s="10"/>
    </row>
    <row r="615" spans="1:19" ht="14.25" customHeight="1" x14ac:dyDescent="0.35">
      <c r="A615" s="6"/>
      <c r="B615" s="6"/>
      <c r="C615" s="6"/>
      <c r="D615" s="6"/>
      <c r="E615" s="7"/>
      <c r="F615" s="6"/>
      <c r="G615" s="6"/>
      <c r="H615" s="6"/>
      <c r="I615" s="6"/>
      <c r="J615" s="6"/>
      <c r="K615" s="6"/>
      <c r="L615" s="6"/>
      <c r="M615" s="6"/>
      <c r="N615" s="8"/>
      <c r="O615" s="8"/>
      <c r="P615" s="8"/>
      <c r="Q615" s="8"/>
      <c r="R615" s="9"/>
      <c r="S615" s="10"/>
    </row>
    <row r="616" spans="1:19" ht="14.25" customHeight="1" x14ac:dyDescent="0.35">
      <c r="A616" s="6"/>
      <c r="B616" s="6"/>
      <c r="C616" s="6"/>
      <c r="D616" s="6"/>
      <c r="E616" s="7"/>
      <c r="F616" s="6"/>
      <c r="G616" s="6"/>
      <c r="H616" s="6"/>
      <c r="I616" s="6"/>
      <c r="J616" s="6"/>
      <c r="K616" s="6"/>
      <c r="L616" s="6"/>
      <c r="M616" s="6"/>
      <c r="N616" s="8"/>
      <c r="O616" s="8"/>
      <c r="P616" s="8"/>
      <c r="Q616" s="8"/>
      <c r="R616" s="9"/>
      <c r="S616" s="10"/>
    </row>
    <row r="617" spans="1:19" ht="14.25" customHeight="1" x14ac:dyDescent="0.35">
      <c r="A617" s="6"/>
      <c r="B617" s="6"/>
      <c r="C617" s="6"/>
      <c r="D617" s="6"/>
      <c r="E617" s="7"/>
      <c r="F617" s="6"/>
      <c r="G617" s="6"/>
      <c r="H617" s="6"/>
      <c r="I617" s="6"/>
      <c r="J617" s="6"/>
      <c r="K617" s="6"/>
      <c r="L617" s="6"/>
      <c r="M617" s="6"/>
      <c r="N617" s="8"/>
      <c r="O617" s="8"/>
      <c r="P617" s="8"/>
      <c r="Q617" s="8"/>
      <c r="R617" s="9"/>
      <c r="S617" s="10"/>
    </row>
    <row r="618" spans="1:19" ht="14.25" customHeight="1" x14ac:dyDescent="0.35">
      <c r="A618" s="6"/>
      <c r="B618" s="6"/>
      <c r="C618" s="6"/>
      <c r="D618" s="6"/>
      <c r="E618" s="7"/>
      <c r="F618" s="6"/>
      <c r="G618" s="6"/>
      <c r="H618" s="6"/>
      <c r="I618" s="6"/>
      <c r="J618" s="6"/>
      <c r="K618" s="6"/>
      <c r="L618" s="6"/>
      <c r="M618" s="6"/>
      <c r="N618" s="8"/>
      <c r="O618" s="8"/>
      <c r="P618" s="8"/>
      <c r="Q618" s="8"/>
      <c r="R618" s="9"/>
      <c r="S618" s="10"/>
    </row>
    <row r="619" spans="1:19" ht="14.25" customHeight="1" x14ac:dyDescent="0.35">
      <c r="A619" s="6"/>
      <c r="B619" s="6"/>
      <c r="C619" s="6"/>
      <c r="D619" s="6"/>
      <c r="E619" s="7"/>
      <c r="F619" s="6"/>
      <c r="G619" s="6"/>
      <c r="H619" s="6"/>
      <c r="I619" s="6"/>
      <c r="J619" s="6"/>
      <c r="K619" s="6"/>
      <c r="L619" s="6"/>
      <c r="M619" s="6"/>
      <c r="N619" s="8"/>
      <c r="O619" s="8"/>
      <c r="P619" s="8"/>
      <c r="Q619" s="8"/>
      <c r="R619" s="9"/>
      <c r="S619" s="10"/>
    </row>
    <row r="620" spans="1:19" ht="14.25" customHeight="1" x14ac:dyDescent="0.35">
      <c r="A620" s="6"/>
      <c r="B620" s="6"/>
      <c r="C620" s="6"/>
      <c r="D620" s="6"/>
      <c r="E620" s="7"/>
      <c r="F620" s="6"/>
      <c r="G620" s="6"/>
      <c r="H620" s="6"/>
      <c r="I620" s="6"/>
      <c r="J620" s="6"/>
      <c r="K620" s="6"/>
      <c r="L620" s="6"/>
      <c r="M620" s="6"/>
      <c r="N620" s="8"/>
      <c r="O620" s="8"/>
      <c r="P620" s="8"/>
      <c r="Q620" s="8"/>
      <c r="R620" s="9"/>
      <c r="S620" s="10"/>
    </row>
    <row r="621" spans="1:19" ht="14.25" customHeight="1" x14ac:dyDescent="0.35">
      <c r="A621" s="6"/>
      <c r="B621" s="6"/>
      <c r="C621" s="6"/>
      <c r="D621" s="6"/>
      <c r="E621" s="7"/>
      <c r="F621" s="6"/>
      <c r="G621" s="6"/>
      <c r="H621" s="6"/>
      <c r="I621" s="6"/>
      <c r="J621" s="6"/>
      <c r="K621" s="6"/>
      <c r="L621" s="6"/>
      <c r="M621" s="6"/>
      <c r="N621" s="8"/>
      <c r="O621" s="8"/>
      <c r="P621" s="8"/>
      <c r="Q621" s="8"/>
      <c r="R621" s="9"/>
      <c r="S621" s="10"/>
    </row>
    <row r="622" spans="1:19" ht="14.25" customHeight="1" x14ac:dyDescent="0.35">
      <c r="A622" s="6"/>
      <c r="B622" s="6"/>
      <c r="C622" s="6"/>
      <c r="D622" s="6"/>
      <c r="E622" s="7"/>
      <c r="F622" s="6"/>
      <c r="G622" s="6"/>
      <c r="H622" s="6"/>
      <c r="I622" s="6"/>
      <c r="J622" s="6"/>
      <c r="K622" s="6"/>
      <c r="L622" s="6"/>
      <c r="M622" s="6"/>
      <c r="N622" s="8"/>
      <c r="O622" s="8"/>
      <c r="P622" s="8"/>
      <c r="Q622" s="8"/>
      <c r="R622" s="9"/>
      <c r="S622" s="10"/>
    </row>
    <row r="623" spans="1:19" ht="14.25" customHeight="1" x14ac:dyDescent="0.35">
      <c r="A623" s="6"/>
      <c r="B623" s="6"/>
      <c r="C623" s="6"/>
      <c r="D623" s="6"/>
      <c r="E623" s="7"/>
      <c r="F623" s="6"/>
      <c r="G623" s="6"/>
      <c r="H623" s="6"/>
      <c r="I623" s="6"/>
      <c r="J623" s="6"/>
      <c r="K623" s="6"/>
      <c r="L623" s="6"/>
      <c r="M623" s="6"/>
      <c r="N623" s="8"/>
      <c r="O623" s="8"/>
      <c r="P623" s="8"/>
      <c r="Q623" s="8"/>
      <c r="R623" s="9"/>
      <c r="S623" s="10"/>
    </row>
    <row r="624" spans="1:19" ht="14.25" customHeight="1" x14ac:dyDescent="0.35">
      <c r="A624" s="6"/>
      <c r="B624" s="6"/>
      <c r="C624" s="6"/>
      <c r="D624" s="6"/>
      <c r="E624" s="7"/>
      <c r="F624" s="6"/>
      <c r="G624" s="6"/>
      <c r="H624" s="6"/>
      <c r="I624" s="6"/>
      <c r="J624" s="6"/>
      <c r="K624" s="6"/>
      <c r="L624" s="6"/>
      <c r="M624" s="6"/>
      <c r="N624" s="8"/>
      <c r="O624" s="8"/>
      <c r="P624" s="8"/>
      <c r="Q624" s="8"/>
      <c r="R624" s="9"/>
      <c r="S624" s="10"/>
    </row>
    <row r="625" spans="1:19" ht="14.25" customHeight="1" x14ac:dyDescent="0.35">
      <c r="A625" s="11"/>
      <c r="B625" s="6"/>
      <c r="C625" s="6"/>
      <c r="D625" s="6"/>
      <c r="E625" s="7"/>
      <c r="F625" s="6"/>
      <c r="G625" s="6"/>
      <c r="H625" s="6"/>
      <c r="I625" s="6"/>
      <c r="J625" s="6"/>
      <c r="K625" s="6"/>
      <c r="L625" s="6"/>
      <c r="M625" s="6"/>
      <c r="N625" s="8"/>
      <c r="O625" s="8"/>
      <c r="P625" s="8"/>
      <c r="Q625" s="8"/>
      <c r="R625" s="9"/>
      <c r="S625" s="10"/>
    </row>
    <row r="626" spans="1:19" ht="14.25" customHeight="1" x14ac:dyDescent="0.35">
      <c r="A626" s="6"/>
      <c r="B626" s="6"/>
      <c r="C626" s="6"/>
      <c r="D626" s="6"/>
      <c r="E626" s="7"/>
      <c r="F626" s="6"/>
      <c r="G626" s="6"/>
      <c r="H626" s="6"/>
      <c r="I626" s="6"/>
      <c r="J626" s="6"/>
      <c r="K626" s="6"/>
      <c r="L626" s="6"/>
      <c r="M626" s="6"/>
      <c r="N626" s="8"/>
      <c r="O626" s="8"/>
      <c r="P626" s="8"/>
      <c r="Q626" s="8"/>
      <c r="R626" s="9"/>
      <c r="S626" s="10"/>
    </row>
    <row r="627" spans="1:19" ht="14.25" customHeight="1" x14ac:dyDescent="0.35">
      <c r="A627" s="6"/>
      <c r="B627" s="6"/>
      <c r="C627" s="6"/>
      <c r="D627" s="6"/>
      <c r="E627" s="7"/>
      <c r="F627" s="6"/>
      <c r="G627" s="6"/>
      <c r="H627" s="6"/>
      <c r="J627" s="6"/>
      <c r="K627" s="6"/>
      <c r="L627" s="6"/>
      <c r="M627" s="6"/>
      <c r="N627" s="8"/>
      <c r="O627" s="8"/>
      <c r="P627" s="8"/>
      <c r="Q627" s="8"/>
      <c r="R627" s="9"/>
      <c r="S627" s="10"/>
    </row>
    <row r="628" spans="1:19" ht="14.25" customHeight="1" x14ac:dyDescent="0.35">
      <c r="A628" s="6"/>
      <c r="B628" s="6"/>
      <c r="C628" s="6"/>
      <c r="D628" s="6"/>
      <c r="E628" s="7"/>
      <c r="F628" s="6"/>
      <c r="G628" s="6"/>
      <c r="H628" s="6"/>
      <c r="I628" s="6"/>
      <c r="J628" s="6"/>
      <c r="K628" s="6"/>
      <c r="L628" s="6"/>
      <c r="M628" s="6"/>
      <c r="N628" s="8"/>
      <c r="O628" s="8"/>
      <c r="P628" s="8"/>
      <c r="Q628" s="8"/>
      <c r="R628" s="9"/>
      <c r="S628" s="10"/>
    </row>
    <row r="629" spans="1:19" ht="14.25" customHeight="1" x14ac:dyDescent="0.35">
      <c r="A629" s="6"/>
      <c r="B629" s="6"/>
      <c r="C629" s="6"/>
      <c r="D629" s="6"/>
      <c r="E629" s="7"/>
      <c r="F629" s="6"/>
      <c r="G629" s="6"/>
      <c r="H629" s="6"/>
      <c r="I629" s="6"/>
      <c r="J629" s="6"/>
      <c r="K629" s="6"/>
      <c r="L629" s="6"/>
      <c r="M629" s="6"/>
      <c r="N629" s="8"/>
      <c r="O629" s="8"/>
      <c r="P629" s="8"/>
      <c r="Q629" s="8"/>
      <c r="R629" s="9"/>
      <c r="S629" s="10"/>
    </row>
    <row r="630" spans="1:19" ht="14.25" customHeight="1" x14ac:dyDescent="0.35">
      <c r="A630" s="6"/>
      <c r="B630" s="6"/>
      <c r="C630" s="6"/>
      <c r="D630" s="6"/>
      <c r="E630" s="7"/>
      <c r="F630" s="6"/>
      <c r="G630" s="6"/>
      <c r="H630" s="6"/>
      <c r="I630" s="6"/>
      <c r="J630" s="6"/>
      <c r="K630" s="6"/>
      <c r="L630" s="6"/>
      <c r="M630" s="6"/>
      <c r="N630" s="8"/>
      <c r="O630" s="8"/>
      <c r="P630" s="8"/>
      <c r="Q630" s="8"/>
      <c r="R630" s="9"/>
      <c r="S630" s="10"/>
    </row>
    <row r="631" spans="1:19" ht="14.25" customHeight="1" x14ac:dyDescent="0.35">
      <c r="A631" s="6"/>
      <c r="B631" s="6"/>
      <c r="C631" s="6"/>
      <c r="D631" s="6"/>
      <c r="E631" s="7"/>
      <c r="F631" s="6"/>
      <c r="G631" s="6"/>
      <c r="H631" s="6"/>
      <c r="I631" s="6"/>
      <c r="J631" s="6"/>
      <c r="K631" s="6"/>
      <c r="L631" s="6"/>
      <c r="M631" s="6"/>
      <c r="N631" s="8"/>
      <c r="O631" s="8"/>
      <c r="P631" s="8"/>
      <c r="Q631" s="8"/>
      <c r="R631" s="9"/>
      <c r="S631" s="10"/>
    </row>
    <row r="632" spans="1:19" ht="14.25" customHeight="1" x14ac:dyDescent="0.35">
      <c r="A632" s="6"/>
      <c r="B632" s="6"/>
      <c r="C632" s="6"/>
      <c r="D632" s="6"/>
      <c r="E632" s="7"/>
      <c r="F632" s="6"/>
      <c r="G632" s="6"/>
      <c r="H632" s="6"/>
      <c r="I632" s="6"/>
      <c r="J632" s="6"/>
      <c r="K632" s="6"/>
      <c r="L632" s="6"/>
      <c r="M632" s="6"/>
      <c r="N632" s="8"/>
      <c r="O632" s="8"/>
      <c r="P632" s="8"/>
      <c r="Q632" s="8"/>
      <c r="R632" s="9"/>
      <c r="S632" s="10"/>
    </row>
    <row r="633" spans="1:19" ht="14.25" customHeight="1" x14ac:dyDescent="0.35">
      <c r="A633" s="6"/>
      <c r="B633" s="6"/>
      <c r="C633" s="6"/>
      <c r="D633" s="6"/>
      <c r="E633" s="7"/>
      <c r="F633" s="6"/>
      <c r="G633" s="6"/>
      <c r="H633" s="6"/>
      <c r="I633" s="6"/>
      <c r="J633" s="6"/>
      <c r="K633" s="6"/>
      <c r="L633" s="6"/>
      <c r="M633" s="6"/>
      <c r="N633" s="8"/>
      <c r="O633" s="8"/>
      <c r="P633" s="8"/>
      <c r="Q633" s="8"/>
      <c r="R633" s="9"/>
      <c r="S633" s="10"/>
    </row>
    <row r="634" spans="1:19" ht="14.25" customHeight="1" x14ac:dyDescent="0.35">
      <c r="A634" s="6"/>
      <c r="B634" s="6"/>
      <c r="C634" s="6"/>
      <c r="D634" s="6"/>
      <c r="E634" s="7"/>
      <c r="F634" s="6"/>
      <c r="G634" s="6"/>
      <c r="H634" s="6"/>
      <c r="I634" s="6"/>
      <c r="J634" s="6"/>
      <c r="K634" s="6"/>
      <c r="L634" s="6"/>
      <c r="M634" s="6"/>
      <c r="N634" s="8"/>
      <c r="O634" s="8"/>
      <c r="P634" s="8"/>
      <c r="Q634" s="8"/>
      <c r="R634" s="9"/>
      <c r="S634" s="10"/>
    </row>
    <row r="635" spans="1:19" ht="14.25" customHeight="1" x14ac:dyDescent="0.35">
      <c r="A635" s="6"/>
      <c r="B635" s="6"/>
      <c r="C635" s="6"/>
      <c r="D635" s="6"/>
      <c r="E635" s="7"/>
      <c r="F635" s="6"/>
      <c r="G635" s="6"/>
      <c r="H635" s="6"/>
      <c r="I635" s="6"/>
      <c r="J635" s="6"/>
      <c r="K635" s="6"/>
      <c r="L635" s="6"/>
      <c r="M635" s="6"/>
      <c r="N635" s="8"/>
      <c r="O635" s="8"/>
      <c r="P635" s="8"/>
      <c r="Q635" s="8"/>
      <c r="R635" s="9"/>
      <c r="S635" s="10"/>
    </row>
    <row r="636" spans="1:19" ht="14.25" customHeight="1" x14ac:dyDescent="0.35">
      <c r="A636" s="6"/>
      <c r="B636" s="6"/>
      <c r="C636" s="6"/>
      <c r="D636" s="6"/>
      <c r="E636" s="7"/>
      <c r="F636" s="6"/>
      <c r="G636" s="6"/>
      <c r="H636" s="6"/>
      <c r="I636" s="6"/>
      <c r="J636" s="6"/>
      <c r="K636" s="6"/>
      <c r="L636" s="6"/>
      <c r="M636" s="6"/>
      <c r="N636" s="8"/>
      <c r="O636" s="8"/>
      <c r="P636" s="8"/>
      <c r="Q636" s="8"/>
      <c r="R636" s="9"/>
      <c r="S636" s="10"/>
    </row>
    <row r="637" spans="1:19" ht="14.25" customHeight="1" x14ac:dyDescent="0.35">
      <c r="A637" s="6"/>
      <c r="B637" s="6"/>
      <c r="C637" s="6"/>
      <c r="D637" s="6"/>
      <c r="E637" s="7"/>
      <c r="F637" s="6"/>
      <c r="G637" s="6"/>
      <c r="H637" s="6"/>
      <c r="I637" s="6"/>
      <c r="J637" s="6"/>
      <c r="K637" s="6"/>
      <c r="L637" s="6"/>
      <c r="M637" s="6"/>
      <c r="N637" s="8"/>
      <c r="O637" s="8"/>
      <c r="P637" s="8"/>
      <c r="Q637" s="8"/>
      <c r="R637" s="9"/>
      <c r="S637" s="10"/>
    </row>
    <row r="638" spans="1:19" ht="14.25" customHeight="1" x14ac:dyDescent="0.35">
      <c r="A638" s="6"/>
      <c r="B638" s="6"/>
      <c r="C638" s="6"/>
      <c r="D638" s="6"/>
      <c r="E638" s="7"/>
      <c r="F638" s="6"/>
      <c r="G638" s="6"/>
      <c r="H638" s="6"/>
      <c r="I638" s="6"/>
      <c r="J638" s="6"/>
      <c r="K638" s="6"/>
      <c r="L638" s="6"/>
      <c r="M638" s="6"/>
      <c r="N638" s="8"/>
      <c r="O638" s="8"/>
      <c r="P638" s="8"/>
      <c r="Q638" s="8"/>
      <c r="R638" s="9"/>
      <c r="S638" s="10"/>
    </row>
    <row r="639" spans="1:19" ht="14.25" customHeight="1" x14ac:dyDescent="0.35">
      <c r="A639" s="6"/>
      <c r="B639" s="6"/>
      <c r="C639" s="6"/>
      <c r="D639" s="6"/>
      <c r="E639" s="7"/>
      <c r="F639" s="6"/>
      <c r="G639" s="6"/>
      <c r="H639" s="6"/>
      <c r="I639" s="6"/>
      <c r="J639" s="6"/>
      <c r="K639" s="6"/>
      <c r="L639" s="6"/>
      <c r="M639" s="6"/>
      <c r="N639" s="8"/>
      <c r="O639" s="8"/>
      <c r="P639" s="8"/>
      <c r="Q639" s="8"/>
      <c r="R639" s="9"/>
      <c r="S639" s="10"/>
    </row>
    <row r="640" spans="1:19" ht="14.25" customHeight="1" x14ac:dyDescent="0.35">
      <c r="A640" s="6"/>
      <c r="B640" s="6"/>
      <c r="C640" s="6"/>
      <c r="D640" s="6"/>
      <c r="E640" s="7"/>
      <c r="F640" s="6"/>
      <c r="G640" s="6"/>
      <c r="H640" s="6"/>
      <c r="I640" s="6"/>
      <c r="J640" s="6"/>
      <c r="K640" s="6"/>
      <c r="L640" s="6"/>
      <c r="M640" s="6"/>
      <c r="N640" s="8"/>
      <c r="O640" s="8"/>
      <c r="P640" s="8"/>
      <c r="Q640" s="8"/>
      <c r="R640" s="9"/>
      <c r="S640" s="10"/>
    </row>
    <row r="641" spans="1:19" ht="14.25" customHeight="1" x14ac:dyDescent="0.35">
      <c r="A641" s="6"/>
      <c r="B641" s="6"/>
      <c r="C641" s="6"/>
      <c r="D641" s="6"/>
      <c r="E641" s="7"/>
      <c r="F641" s="6"/>
      <c r="G641" s="6"/>
      <c r="H641" s="6"/>
      <c r="I641" s="6"/>
      <c r="J641" s="6"/>
      <c r="K641" s="6"/>
      <c r="L641" s="6"/>
      <c r="M641" s="6"/>
      <c r="N641" s="8"/>
      <c r="O641" s="8"/>
      <c r="P641" s="8"/>
      <c r="Q641" s="8"/>
      <c r="R641" s="9"/>
      <c r="S641" s="10"/>
    </row>
    <row r="642" spans="1:19" ht="14.25" customHeight="1" x14ac:dyDescent="0.35">
      <c r="A642" s="6"/>
      <c r="B642" s="6"/>
      <c r="C642" s="6"/>
      <c r="D642" s="6"/>
      <c r="E642" s="7"/>
      <c r="F642" s="6"/>
      <c r="G642" s="6"/>
      <c r="H642" s="6"/>
      <c r="I642" s="6"/>
      <c r="J642" s="6"/>
      <c r="K642" s="6"/>
      <c r="L642" s="6"/>
      <c r="M642" s="6"/>
      <c r="N642" s="8"/>
      <c r="O642" s="8"/>
      <c r="P642" s="8"/>
      <c r="Q642" s="8"/>
      <c r="R642" s="9"/>
      <c r="S642" s="10"/>
    </row>
    <row r="643" spans="1:19" ht="14.25" customHeight="1" x14ac:dyDescent="0.35">
      <c r="A643" s="6"/>
      <c r="B643" s="6"/>
      <c r="C643" s="6"/>
      <c r="D643" s="6"/>
      <c r="E643" s="7"/>
      <c r="F643" s="6"/>
      <c r="G643" s="6"/>
      <c r="H643" s="6"/>
      <c r="I643" s="6"/>
      <c r="J643" s="6"/>
      <c r="K643" s="6"/>
      <c r="L643" s="6"/>
      <c r="M643" s="6"/>
      <c r="N643" s="8"/>
      <c r="O643" s="8"/>
      <c r="P643" s="8"/>
      <c r="Q643" s="8"/>
      <c r="R643" s="9"/>
      <c r="S643" s="10"/>
    </row>
    <row r="644" spans="1:19" ht="14.25" customHeight="1" x14ac:dyDescent="0.35">
      <c r="A644" s="6"/>
      <c r="B644" s="6"/>
      <c r="C644" s="6"/>
      <c r="D644" s="6"/>
      <c r="E644" s="7"/>
      <c r="F644" s="6"/>
      <c r="G644" s="6"/>
      <c r="H644" s="6"/>
      <c r="I644" s="6"/>
      <c r="J644" s="6"/>
      <c r="K644" s="6"/>
      <c r="L644" s="6"/>
      <c r="M644" s="6"/>
      <c r="N644" s="8"/>
      <c r="O644" s="8"/>
      <c r="P644" s="8"/>
      <c r="Q644" s="8"/>
      <c r="R644" s="9"/>
      <c r="S644" s="10"/>
    </row>
    <row r="645" spans="1:19" ht="14.25" customHeight="1" x14ac:dyDescent="0.35">
      <c r="A645" s="6"/>
      <c r="B645" s="6"/>
      <c r="C645" s="6"/>
      <c r="D645" s="6"/>
      <c r="E645" s="7"/>
      <c r="F645" s="6"/>
      <c r="G645" s="6"/>
      <c r="H645" s="6"/>
      <c r="I645" s="6"/>
      <c r="J645" s="6"/>
      <c r="K645" s="6"/>
      <c r="L645" s="6"/>
      <c r="M645" s="6"/>
      <c r="N645" s="8"/>
      <c r="O645" s="8"/>
      <c r="P645" s="8"/>
      <c r="Q645" s="8"/>
      <c r="R645" s="9"/>
      <c r="S645" s="10"/>
    </row>
    <row r="646" spans="1:19" ht="14.25" customHeight="1" x14ac:dyDescent="0.35">
      <c r="A646" s="6"/>
      <c r="B646" s="6"/>
      <c r="C646" s="6"/>
      <c r="D646" s="6"/>
      <c r="E646" s="7"/>
      <c r="F646" s="6"/>
      <c r="G646" s="6"/>
      <c r="H646" s="6"/>
      <c r="I646" s="6"/>
      <c r="J646" s="6"/>
      <c r="K646" s="6"/>
      <c r="L646" s="6"/>
      <c r="M646" s="6"/>
      <c r="N646" s="8"/>
      <c r="O646" s="8"/>
      <c r="P646" s="8"/>
      <c r="Q646" s="8"/>
      <c r="R646" s="9"/>
      <c r="S646" s="10"/>
    </row>
    <row r="647" spans="1:19" ht="14.25" customHeight="1" x14ac:dyDescent="0.35">
      <c r="A647" s="6"/>
      <c r="B647" s="6"/>
      <c r="C647" s="6"/>
      <c r="D647" s="6"/>
      <c r="E647" s="7"/>
      <c r="F647" s="6"/>
      <c r="G647" s="6"/>
      <c r="H647" s="6"/>
      <c r="I647" s="6"/>
      <c r="J647" s="6"/>
      <c r="K647" s="6"/>
      <c r="L647" s="6"/>
      <c r="M647" s="6"/>
      <c r="N647" s="8"/>
      <c r="O647" s="8"/>
      <c r="P647" s="8"/>
      <c r="Q647" s="8"/>
      <c r="R647" s="9"/>
      <c r="S647" s="10"/>
    </row>
    <row r="648" spans="1:19" ht="14.25" customHeight="1" x14ac:dyDescent="0.35">
      <c r="A648" s="6"/>
      <c r="B648" s="6"/>
      <c r="C648" s="6"/>
      <c r="D648" s="6"/>
      <c r="E648" s="7"/>
      <c r="F648" s="6"/>
      <c r="G648" s="6"/>
      <c r="H648" s="6"/>
      <c r="I648" s="6"/>
      <c r="J648" s="6"/>
      <c r="K648" s="6"/>
      <c r="L648" s="6"/>
      <c r="M648" s="6"/>
      <c r="N648" s="8"/>
      <c r="O648" s="8"/>
      <c r="P648" s="8"/>
      <c r="Q648" s="8"/>
      <c r="R648" s="9"/>
      <c r="S648" s="10"/>
    </row>
    <row r="649" spans="1:19" ht="14.25" customHeight="1" x14ac:dyDescent="0.35">
      <c r="A649" s="6"/>
      <c r="B649" s="6"/>
      <c r="C649" s="6"/>
      <c r="D649" s="6"/>
      <c r="E649" s="7"/>
      <c r="F649" s="6"/>
      <c r="G649" s="6"/>
      <c r="H649" s="6"/>
      <c r="I649" s="6"/>
      <c r="J649" s="6"/>
      <c r="K649" s="6"/>
      <c r="L649" s="6"/>
      <c r="M649" s="6"/>
      <c r="N649" s="8"/>
      <c r="O649" s="8"/>
      <c r="P649" s="8"/>
      <c r="Q649" s="8"/>
      <c r="R649" s="9"/>
      <c r="S649" s="10"/>
    </row>
    <row r="650" spans="1:19" ht="14.25" customHeight="1" x14ac:dyDescent="0.35">
      <c r="A650" s="6"/>
      <c r="B650" s="6"/>
      <c r="C650" s="6"/>
      <c r="D650" s="6"/>
      <c r="E650" s="7"/>
      <c r="F650" s="6"/>
      <c r="G650" s="6"/>
      <c r="H650" s="6"/>
      <c r="I650" s="6"/>
      <c r="J650" s="6"/>
      <c r="K650" s="6"/>
      <c r="L650" s="6"/>
      <c r="M650" s="6"/>
      <c r="N650" s="8"/>
      <c r="O650" s="8"/>
      <c r="P650" s="8"/>
      <c r="Q650" s="8"/>
      <c r="R650" s="9"/>
      <c r="S650" s="10"/>
    </row>
    <row r="651" spans="1:19" ht="14.25" customHeight="1" x14ac:dyDescent="0.35">
      <c r="A651" s="6"/>
      <c r="B651" s="6"/>
      <c r="C651" s="6"/>
      <c r="D651" s="6"/>
      <c r="E651" s="7"/>
      <c r="F651" s="6"/>
      <c r="G651" s="6"/>
      <c r="H651" s="6"/>
      <c r="I651" s="6"/>
      <c r="J651" s="6"/>
      <c r="K651" s="6"/>
      <c r="L651" s="6"/>
      <c r="M651" s="6"/>
      <c r="N651" s="8"/>
      <c r="O651" s="8"/>
      <c r="P651" s="8"/>
      <c r="Q651" s="8"/>
      <c r="R651" s="9"/>
      <c r="S651" s="10"/>
    </row>
    <row r="652" spans="1:19" ht="14.25" customHeight="1" x14ac:dyDescent="0.35">
      <c r="A652" s="6"/>
      <c r="B652" s="6"/>
      <c r="C652" s="6"/>
      <c r="D652" s="6"/>
      <c r="E652" s="7"/>
      <c r="F652" s="6"/>
      <c r="G652" s="6"/>
      <c r="H652" s="6"/>
      <c r="I652" s="6"/>
      <c r="J652" s="6"/>
      <c r="K652" s="6"/>
      <c r="L652" s="6"/>
      <c r="M652" s="6"/>
      <c r="N652" s="8"/>
      <c r="O652" s="8"/>
      <c r="P652" s="8"/>
      <c r="Q652" s="8"/>
      <c r="R652" s="9"/>
      <c r="S652" s="10"/>
    </row>
    <row r="653" spans="1:19" ht="14.25" customHeight="1" x14ac:dyDescent="0.35">
      <c r="A653" s="6"/>
      <c r="B653" s="6"/>
      <c r="C653" s="6"/>
      <c r="D653" s="6"/>
      <c r="E653" s="7"/>
      <c r="F653" s="6"/>
      <c r="G653" s="6"/>
      <c r="H653" s="6"/>
      <c r="I653" s="6"/>
      <c r="J653" s="6"/>
      <c r="K653" s="6"/>
      <c r="L653" s="6"/>
      <c r="M653" s="6"/>
      <c r="N653" s="8"/>
      <c r="O653" s="8"/>
      <c r="P653" s="8"/>
      <c r="Q653" s="8"/>
      <c r="R653" s="9"/>
      <c r="S653" s="10"/>
    </row>
    <row r="654" spans="1:19" ht="14.25" customHeight="1" x14ac:dyDescent="0.35">
      <c r="A654" s="6"/>
      <c r="B654" s="6"/>
      <c r="C654" s="6"/>
      <c r="D654" s="6"/>
      <c r="E654" s="7"/>
      <c r="F654" s="6"/>
      <c r="G654" s="6"/>
      <c r="H654" s="6"/>
      <c r="I654" s="6"/>
      <c r="J654" s="6"/>
      <c r="K654" s="6"/>
      <c r="L654" s="6"/>
      <c r="M654" s="6"/>
      <c r="N654" s="8"/>
      <c r="O654" s="8"/>
      <c r="P654" s="8"/>
      <c r="Q654" s="8"/>
      <c r="R654" s="9"/>
      <c r="S654" s="10"/>
    </row>
    <row r="655" spans="1:19" ht="14.25" customHeight="1" x14ac:dyDescent="0.35">
      <c r="A655" s="6"/>
      <c r="B655" s="6"/>
      <c r="C655" s="6"/>
      <c r="D655" s="6"/>
      <c r="E655" s="7"/>
      <c r="F655" s="6"/>
      <c r="G655" s="6"/>
      <c r="H655" s="6"/>
      <c r="I655" s="6"/>
      <c r="J655" s="6"/>
      <c r="K655" s="6"/>
      <c r="L655" s="6"/>
      <c r="M655" s="6"/>
      <c r="N655" s="8"/>
      <c r="O655" s="8"/>
      <c r="P655" s="8"/>
      <c r="Q655" s="8"/>
      <c r="R655" s="9"/>
      <c r="S655" s="10"/>
    </row>
    <row r="656" spans="1:19" ht="14.25" customHeight="1" x14ac:dyDescent="0.35">
      <c r="A656" s="6"/>
      <c r="B656" s="6"/>
      <c r="C656" s="6"/>
      <c r="D656" s="6"/>
      <c r="E656" s="7"/>
      <c r="F656" s="6"/>
      <c r="G656" s="6"/>
      <c r="H656" s="6"/>
      <c r="I656" s="6"/>
      <c r="J656" s="6"/>
      <c r="K656" s="6"/>
      <c r="L656" s="6"/>
      <c r="M656" s="6"/>
      <c r="N656" s="8"/>
      <c r="O656" s="8"/>
      <c r="P656" s="8"/>
      <c r="Q656" s="8"/>
      <c r="R656" s="9"/>
      <c r="S656" s="10"/>
    </row>
    <row r="657" spans="1:19" ht="14.25" customHeight="1" x14ac:dyDescent="0.35">
      <c r="A657" s="6"/>
      <c r="B657" s="6"/>
      <c r="C657" s="6"/>
      <c r="D657" s="6"/>
      <c r="E657" s="7"/>
      <c r="F657" s="6"/>
      <c r="G657" s="6"/>
      <c r="H657" s="6"/>
      <c r="I657" s="6"/>
      <c r="J657" s="6"/>
      <c r="K657" s="6"/>
      <c r="L657" s="6"/>
      <c r="M657" s="6"/>
      <c r="N657" s="8"/>
      <c r="O657" s="8"/>
      <c r="P657" s="8"/>
      <c r="Q657" s="8"/>
      <c r="R657" s="9"/>
      <c r="S657" s="10"/>
    </row>
    <row r="658" spans="1:19" ht="14.25" customHeight="1" x14ac:dyDescent="0.35">
      <c r="A658" s="6"/>
      <c r="B658" s="6"/>
      <c r="C658" s="6"/>
      <c r="D658" s="6"/>
      <c r="E658" s="7"/>
      <c r="F658" s="6"/>
      <c r="G658" s="6"/>
      <c r="H658" s="6"/>
      <c r="I658" s="6"/>
      <c r="J658" s="6"/>
      <c r="K658" s="6"/>
      <c r="L658" s="6"/>
      <c r="M658" s="6"/>
      <c r="N658" s="8"/>
      <c r="O658" s="8"/>
      <c r="P658" s="8"/>
      <c r="Q658" s="8"/>
      <c r="R658" s="9"/>
      <c r="S658" s="10"/>
    </row>
    <row r="659" spans="1:19" ht="14.25" customHeight="1" x14ac:dyDescent="0.35">
      <c r="A659" s="6"/>
      <c r="B659" s="6"/>
      <c r="C659" s="6"/>
      <c r="D659" s="6"/>
      <c r="E659" s="7"/>
      <c r="F659" s="6"/>
      <c r="G659" s="6"/>
      <c r="H659" s="6"/>
      <c r="I659" s="6"/>
      <c r="J659" s="6"/>
      <c r="K659" s="6"/>
      <c r="L659" s="6"/>
      <c r="M659" s="6"/>
      <c r="N659" s="8"/>
      <c r="O659" s="8"/>
      <c r="P659" s="8"/>
      <c r="Q659" s="8"/>
      <c r="R659" s="9"/>
      <c r="S659" s="10"/>
    </row>
    <row r="660" spans="1:19" ht="14.25" customHeight="1" x14ac:dyDescent="0.35">
      <c r="A660" s="6"/>
      <c r="B660" s="6"/>
      <c r="C660" s="6"/>
      <c r="D660" s="6"/>
      <c r="E660" s="7"/>
      <c r="F660" s="6"/>
      <c r="G660" s="6"/>
      <c r="H660" s="6"/>
      <c r="I660" s="6"/>
      <c r="J660" s="6"/>
      <c r="K660" s="6"/>
      <c r="L660" s="6"/>
      <c r="M660" s="6"/>
      <c r="N660" s="8"/>
      <c r="O660" s="8"/>
      <c r="P660" s="8"/>
      <c r="Q660" s="8"/>
      <c r="R660" s="9"/>
      <c r="S660" s="10"/>
    </row>
    <row r="661" spans="1:19" ht="14.25" customHeight="1" x14ac:dyDescent="0.35">
      <c r="A661" s="6"/>
      <c r="B661" s="6"/>
      <c r="C661" s="6"/>
      <c r="D661" s="6"/>
      <c r="E661" s="7"/>
      <c r="F661" s="6"/>
      <c r="G661" s="6"/>
      <c r="H661" s="6"/>
      <c r="I661" s="6"/>
      <c r="J661" s="6"/>
      <c r="K661" s="6"/>
      <c r="L661" s="6"/>
      <c r="M661" s="6"/>
      <c r="N661" s="8"/>
      <c r="O661" s="8"/>
      <c r="P661" s="8"/>
      <c r="Q661" s="8"/>
      <c r="R661" s="9"/>
      <c r="S661" s="10"/>
    </row>
    <row r="662" spans="1:19" ht="14.25" customHeight="1" x14ac:dyDescent="0.35">
      <c r="A662" s="6"/>
      <c r="B662" s="6"/>
      <c r="C662" s="6"/>
      <c r="D662" s="6"/>
      <c r="E662" s="7"/>
      <c r="F662" s="6"/>
      <c r="G662" s="6"/>
      <c r="H662" s="6"/>
      <c r="I662" s="6"/>
      <c r="J662" s="6"/>
      <c r="K662" s="6"/>
      <c r="L662" s="6"/>
      <c r="M662" s="6"/>
      <c r="N662" s="8"/>
      <c r="O662" s="8"/>
      <c r="P662" s="8"/>
      <c r="Q662" s="8"/>
      <c r="R662" s="9"/>
      <c r="S662" s="10"/>
    </row>
    <row r="663" spans="1:19" ht="14.25" customHeight="1" x14ac:dyDescent="0.35">
      <c r="A663" s="6"/>
      <c r="B663" s="6"/>
      <c r="C663" s="6"/>
      <c r="D663" s="6"/>
      <c r="E663" s="7"/>
      <c r="F663" s="6"/>
      <c r="G663" s="6"/>
      <c r="H663" s="6"/>
      <c r="I663" s="6"/>
      <c r="J663" s="6"/>
      <c r="K663" s="6"/>
      <c r="L663" s="6"/>
      <c r="M663" s="6"/>
      <c r="N663" s="8"/>
      <c r="O663" s="8"/>
      <c r="P663" s="8"/>
      <c r="Q663" s="8"/>
      <c r="R663" s="9"/>
      <c r="S663" s="10"/>
    </row>
    <row r="664" spans="1:19" ht="14.25" customHeight="1" x14ac:dyDescent="0.35">
      <c r="A664" s="6"/>
      <c r="B664" s="6"/>
      <c r="C664" s="6"/>
      <c r="D664" s="6"/>
      <c r="E664" s="7"/>
      <c r="F664" s="6"/>
      <c r="G664" s="6"/>
      <c r="H664" s="6"/>
      <c r="I664" s="6"/>
      <c r="J664" s="6"/>
      <c r="K664" s="6"/>
      <c r="L664" s="6"/>
      <c r="M664" s="6"/>
      <c r="N664" s="8"/>
      <c r="O664" s="8"/>
      <c r="P664" s="8"/>
      <c r="Q664" s="8"/>
      <c r="R664" s="9"/>
      <c r="S664" s="10"/>
    </row>
    <row r="665" spans="1:19" ht="14.25" customHeight="1" x14ac:dyDescent="0.35">
      <c r="A665" s="6"/>
      <c r="B665" s="6"/>
      <c r="C665" s="6"/>
      <c r="D665" s="6"/>
      <c r="E665" s="7"/>
      <c r="F665" s="6"/>
      <c r="G665" s="6"/>
      <c r="H665" s="6"/>
      <c r="I665" s="6"/>
      <c r="J665" s="6"/>
      <c r="K665" s="6"/>
      <c r="L665" s="6"/>
      <c r="M665" s="6"/>
      <c r="N665" s="8"/>
      <c r="O665" s="8"/>
      <c r="P665" s="8"/>
      <c r="Q665" s="8"/>
      <c r="R665" s="9"/>
      <c r="S665" s="10"/>
    </row>
    <row r="666" spans="1:19" ht="14.25" customHeight="1" x14ac:dyDescent="0.35">
      <c r="A666" s="6"/>
      <c r="B666" s="6"/>
      <c r="C666" s="6"/>
      <c r="D666" s="6"/>
      <c r="E666" s="7"/>
      <c r="F666" s="6"/>
      <c r="G666" s="6"/>
      <c r="H666" s="6"/>
      <c r="I666" s="6"/>
      <c r="J666" s="6"/>
      <c r="K666" s="6"/>
      <c r="L666" s="6"/>
      <c r="M666" s="6"/>
      <c r="N666" s="8"/>
      <c r="O666" s="8"/>
      <c r="P666" s="8"/>
      <c r="Q666" s="8"/>
      <c r="R666" s="9"/>
      <c r="S666" s="10"/>
    </row>
    <row r="667" spans="1:19" ht="14.25" customHeight="1" x14ac:dyDescent="0.35">
      <c r="A667" s="6"/>
      <c r="B667" s="6"/>
      <c r="C667" s="6"/>
      <c r="D667" s="6"/>
      <c r="E667" s="7"/>
      <c r="F667" s="6"/>
      <c r="G667" s="6"/>
      <c r="H667" s="6"/>
      <c r="I667" s="6"/>
      <c r="J667" s="6"/>
      <c r="K667" s="6"/>
      <c r="L667" s="6"/>
      <c r="M667" s="6"/>
      <c r="N667" s="8"/>
      <c r="O667" s="8"/>
      <c r="P667" s="8"/>
      <c r="Q667" s="8"/>
      <c r="R667" s="9"/>
      <c r="S667" s="10"/>
    </row>
    <row r="668" spans="1:19" ht="14.25" customHeight="1" x14ac:dyDescent="0.35">
      <c r="A668" s="6"/>
      <c r="B668" s="6"/>
      <c r="C668" s="6"/>
      <c r="D668" s="6"/>
      <c r="E668" s="7"/>
      <c r="F668" s="6"/>
      <c r="G668" s="6"/>
      <c r="H668" s="6"/>
      <c r="I668" s="6"/>
      <c r="J668" s="6"/>
      <c r="K668" s="6"/>
      <c r="L668" s="6"/>
      <c r="M668" s="6"/>
      <c r="N668" s="8"/>
      <c r="O668" s="8"/>
      <c r="P668" s="8"/>
      <c r="Q668" s="8"/>
      <c r="R668" s="9"/>
      <c r="S668" s="10"/>
    </row>
    <row r="669" spans="1:19" ht="14.25" customHeight="1" x14ac:dyDescent="0.35">
      <c r="A669" s="6"/>
      <c r="B669" s="6"/>
      <c r="C669" s="6"/>
      <c r="D669" s="6"/>
      <c r="E669" s="7"/>
      <c r="F669" s="6"/>
      <c r="G669" s="6"/>
      <c r="H669" s="6"/>
      <c r="I669" s="6"/>
      <c r="J669" s="6"/>
      <c r="K669" s="6"/>
      <c r="L669" s="6"/>
      <c r="M669" s="6"/>
      <c r="N669" s="8"/>
      <c r="O669" s="8"/>
      <c r="P669" s="8"/>
      <c r="Q669" s="8"/>
      <c r="R669" s="9"/>
      <c r="S669" s="10"/>
    </row>
    <row r="670" spans="1:19" ht="14.25" customHeight="1" x14ac:dyDescent="0.35">
      <c r="A670" s="6"/>
      <c r="B670" s="6"/>
      <c r="C670" s="6"/>
      <c r="D670" s="6"/>
      <c r="E670" s="7"/>
      <c r="F670" s="6"/>
      <c r="G670" s="6"/>
      <c r="H670" s="6"/>
      <c r="I670" s="6"/>
      <c r="J670" s="6"/>
      <c r="K670" s="6"/>
      <c r="L670" s="6"/>
      <c r="M670" s="6"/>
      <c r="N670" s="8"/>
      <c r="O670" s="8"/>
      <c r="P670" s="8"/>
      <c r="Q670" s="8"/>
      <c r="R670" s="9"/>
      <c r="S670" s="10"/>
    </row>
    <row r="671" spans="1:19" ht="14.25" customHeight="1" x14ac:dyDescent="0.35">
      <c r="A671" s="6"/>
      <c r="B671" s="6"/>
      <c r="C671" s="6"/>
      <c r="D671" s="6"/>
      <c r="E671" s="7"/>
      <c r="F671" s="6"/>
      <c r="G671" s="6"/>
      <c r="H671" s="6"/>
      <c r="I671" s="6"/>
      <c r="J671" s="6"/>
      <c r="K671" s="6"/>
      <c r="L671" s="6"/>
      <c r="M671" s="6"/>
      <c r="N671" s="8"/>
      <c r="O671" s="8"/>
      <c r="P671" s="8"/>
      <c r="Q671" s="8"/>
      <c r="R671" s="9"/>
      <c r="S671" s="10"/>
    </row>
    <row r="672" spans="1:19" ht="14.25" customHeight="1" x14ac:dyDescent="0.35">
      <c r="A672" s="6"/>
      <c r="B672" s="6"/>
      <c r="C672" s="6"/>
      <c r="D672" s="6"/>
      <c r="E672" s="7"/>
      <c r="F672" s="6"/>
      <c r="G672" s="6"/>
      <c r="H672" s="6"/>
      <c r="I672" s="6"/>
      <c r="J672" s="6"/>
      <c r="K672" s="6"/>
      <c r="L672" s="6"/>
      <c r="M672" s="6"/>
      <c r="N672" s="8"/>
      <c r="O672" s="8"/>
      <c r="P672" s="8"/>
      <c r="Q672" s="8"/>
      <c r="R672" s="9"/>
      <c r="S672" s="10"/>
    </row>
    <row r="673" spans="1:19" ht="14.25" customHeight="1" x14ac:dyDescent="0.35">
      <c r="A673" s="6"/>
      <c r="B673" s="6"/>
      <c r="C673" s="6"/>
      <c r="D673" s="6"/>
      <c r="E673" s="7"/>
      <c r="F673" s="6"/>
      <c r="G673" s="6"/>
      <c r="H673" s="6"/>
      <c r="I673" s="6"/>
      <c r="J673" s="6"/>
      <c r="K673" s="6"/>
      <c r="L673" s="6"/>
      <c r="M673" s="6"/>
      <c r="N673" s="8"/>
      <c r="O673" s="8"/>
      <c r="P673" s="8"/>
      <c r="Q673" s="8"/>
      <c r="R673" s="9"/>
      <c r="S673" s="10"/>
    </row>
    <row r="674" spans="1:19" ht="14.25" customHeight="1" x14ac:dyDescent="0.35">
      <c r="A674" s="6"/>
      <c r="B674" s="6"/>
      <c r="C674" s="6"/>
      <c r="D674" s="6"/>
      <c r="E674" s="7"/>
      <c r="F674" s="6"/>
      <c r="G674" s="6"/>
      <c r="H674" s="6"/>
      <c r="I674" s="6"/>
      <c r="J674" s="6"/>
      <c r="K674" s="6"/>
      <c r="L674" s="6"/>
      <c r="M674" s="6"/>
      <c r="N674" s="8"/>
      <c r="O674" s="8"/>
      <c r="P674" s="8"/>
      <c r="Q674" s="8"/>
      <c r="R674" s="9"/>
      <c r="S674" s="10"/>
    </row>
    <row r="675" spans="1:19" ht="14.25" customHeight="1" x14ac:dyDescent="0.35">
      <c r="A675" s="6"/>
      <c r="B675" s="6"/>
      <c r="C675" s="6"/>
      <c r="D675" s="6"/>
      <c r="E675" s="7"/>
      <c r="F675" s="6"/>
      <c r="G675" s="6"/>
      <c r="H675" s="6"/>
      <c r="I675" s="6"/>
      <c r="J675" s="6"/>
      <c r="K675" s="6"/>
      <c r="L675" s="6"/>
      <c r="M675" s="6"/>
      <c r="N675" s="8"/>
      <c r="O675" s="8"/>
      <c r="P675" s="8"/>
      <c r="Q675" s="8"/>
      <c r="R675" s="9"/>
      <c r="S675" s="10"/>
    </row>
    <row r="676" spans="1:19" ht="14.25" customHeight="1" x14ac:dyDescent="0.35">
      <c r="A676" s="6"/>
      <c r="B676" s="6"/>
      <c r="C676" s="6"/>
      <c r="D676" s="6"/>
      <c r="E676" s="7"/>
      <c r="F676" s="6"/>
      <c r="G676" s="6"/>
      <c r="H676" s="6"/>
      <c r="I676" s="6"/>
      <c r="J676" s="6"/>
      <c r="K676" s="6"/>
      <c r="L676" s="6"/>
      <c r="M676" s="6"/>
      <c r="N676" s="8"/>
      <c r="O676" s="8"/>
      <c r="P676" s="8"/>
      <c r="Q676" s="8"/>
      <c r="R676" s="9"/>
      <c r="S676" s="10"/>
    </row>
    <row r="677" spans="1:19" ht="14.25" customHeight="1" x14ac:dyDescent="0.35">
      <c r="A677" s="6"/>
      <c r="B677" s="6"/>
      <c r="C677" s="6"/>
      <c r="D677" s="6"/>
      <c r="E677" s="7"/>
      <c r="F677" s="6"/>
      <c r="G677" s="6"/>
      <c r="H677" s="6"/>
      <c r="I677" s="6"/>
      <c r="J677" s="6"/>
      <c r="K677" s="6"/>
      <c r="L677" s="6"/>
      <c r="M677" s="6"/>
      <c r="N677" s="8"/>
      <c r="O677" s="8"/>
      <c r="P677" s="8"/>
      <c r="Q677" s="8"/>
      <c r="R677" s="9"/>
      <c r="S677" s="10"/>
    </row>
    <row r="678" spans="1:19" ht="14.25" customHeight="1" x14ac:dyDescent="0.35">
      <c r="A678" s="6"/>
      <c r="B678" s="6"/>
      <c r="C678" s="6"/>
      <c r="D678" s="6"/>
      <c r="E678" s="7"/>
      <c r="F678" s="6"/>
      <c r="G678" s="6"/>
      <c r="H678" s="6"/>
      <c r="I678" s="6"/>
      <c r="J678" s="6"/>
      <c r="K678" s="6"/>
      <c r="L678" s="6"/>
      <c r="M678" s="6"/>
      <c r="N678" s="8"/>
      <c r="O678" s="8"/>
      <c r="P678" s="8"/>
      <c r="Q678" s="8"/>
      <c r="R678" s="9"/>
      <c r="S678" s="10"/>
    </row>
    <row r="679" spans="1:19" ht="14.25" customHeight="1" x14ac:dyDescent="0.35">
      <c r="A679" s="6"/>
      <c r="B679" s="6"/>
      <c r="C679" s="6"/>
      <c r="D679" s="6"/>
      <c r="E679" s="7"/>
      <c r="F679" s="6"/>
      <c r="G679" s="6"/>
      <c r="H679" s="6"/>
      <c r="I679" s="6"/>
      <c r="J679" s="6"/>
      <c r="K679" s="6"/>
      <c r="L679" s="6"/>
      <c r="M679" s="6"/>
      <c r="N679" s="8"/>
      <c r="O679" s="8"/>
      <c r="P679" s="8"/>
      <c r="Q679" s="8"/>
      <c r="R679" s="9"/>
      <c r="S679" s="10"/>
    </row>
    <row r="680" spans="1:19" ht="14.25" customHeight="1" x14ac:dyDescent="0.35">
      <c r="A680" s="6"/>
      <c r="B680" s="6"/>
      <c r="C680" s="6"/>
      <c r="E680" s="7"/>
      <c r="F680" s="6"/>
      <c r="G680" s="6"/>
      <c r="J680" s="6"/>
      <c r="K680" s="6"/>
      <c r="L680" s="6"/>
      <c r="M680" s="6"/>
      <c r="N680" s="8"/>
      <c r="O680" s="8"/>
      <c r="P680" s="8"/>
      <c r="Q680" s="8"/>
      <c r="R680" s="9"/>
      <c r="S680" s="10"/>
    </row>
    <row r="681" spans="1:19" ht="14.25" customHeight="1" x14ac:dyDescent="0.35">
      <c r="A681" s="6"/>
      <c r="B681" s="6"/>
      <c r="C681" s="6"/>
      <c r="D681" s="6"/>
      <c r="E681" s="7"/>
      <c r="F681" s="6"/>
      <c r="G681" s="6"/>
      <c r="J681" s="6"/>
      <c r="K681" s="6"/>
      <c r="L681" s="6"/>
      <c r="M681" s="6"/>
      <c r="N681" s="8"/>
      <c r="O681" s="8"/>
      <c r="P681" s="8"/>
      <c r="Q681" s="8"/>
      <c r="R681" s="9"/>
      <c r="S681" s="10"/>
    </row>
    <row r="682" spans="1:19" ht="14.25" customHeight="1" x14ac:dyDescent="0.35">
      <c r="A682" s="6"/>
      <c r="B682" s="6"/>
      <c r="C682" s="6"/>
      <c r="D682" s="6"/>
      <c r="E682" s="7"/>
      <c r="F682" s="6"/>
      <c r="G682" s="6"/>
      <c r="H682" s="6"/>
      <c r="I682" s="6"/>
      <c r="J682" s="6"/>
      <c r="K682" s="6"/>
      <c r="L682" s="6"/>
      <c r="M682" s="6"/>
      <c r="N682" s="8"/>
      <c r="O682" s="8"/>
      <c r="P682" s="8"/>
      <c r="Q682" s="8"/>
      <c r="R682" s="9"/>
      <c r="S682" s="10"/>
    </row>
    <row r="683" spans="1:19" ht="14.25" customHeight="1" x14ac:dyDescent="0.35">
      <c r="A683" s="6"/>
      <c r="B683" s="6"/>
      <c r="C683" s="6"/>
      <c r="D683" s="6"/>
      <c r="E683" s="7"/>
      <c r="F683" s="6"/>
      <c r="G683" s="6"/>
      <c r="H683" s="6"/>
      <c r="I683" s="6"/>
      <c r="J683" s="6"/>
      <c r="K683" s="6"/>
      <c r="L683" s="6"/>
      <c r="M683" s="6"/>
      <c r="N683" s="8"/>
      <c r="O683" s="8"/>
      <c r="P683" s="8"/>
      <c r="Q683" s="8"/>
      <c r="R683" s="9"/>
      <c r="S683" s="10"/>
    </row>
    <row r="684" spans="1:19" ht="14.25" customHeight="1" x14ac:dyDescent="0.35">
      <c r="A684" s="6"/>
      <c r="B684" s="6"/>
      <c r="C684" s="6"/>
      <c r="D684" s="6"/>
      <c r="E684" s="7"/>
      <c r="F684" s="6"/>
      <c r="G684" s="6"/>
      <c r="H684" s="6"/>
      <c r="I684" s="6"/>
      <c r="J684" s="6"/>
      <c r="K684" s="6"/>
      <c r="L684" s="6"/>
      <c r="M684" s="6"/>
      <c r="N684" s="8"/>
      <c r="O684" s="8"/>
      <c r="P684" s="8"/>
      <c r="Q684" s="8"/>
      <c r="R684" s="9"/>
      <c r="S684" s="10"/>
    </row>
    <row r="685" spans="1:19" ht="14.25" customHeight="1" x14ac:dyDescent="0.35">
      <c r="A685" s="6"/>
      <c r="B685" s="6"/>
      <c r="C685" s="6"/>
      <c r="D685" s="6"/>
      <c r="E685" s="7"/>
      <c r="F685" s="6"/>
      <c r="G685" s="6"/>
      <c r="H685" s="6"/>
      <c r="I685" s="6"/>
      <c r="J685" s="6"/>
      <c r="K685" s="6"/>
      <c r="L685" s="6"/>
      <c r="M685" s="6"/>
      <c r="N685" s="8"/>
      <c r="O685" s="8"/>
      <c r="P685" s="8"/>
      <c r="Q685" s="8"/>
      <c r="R685" s="9"/>
      <c r="S685" s="10"/>
    </row>
    <row r="686" spans="1:19" ht="14.25" customHeight="1" x14ac:dyDescent="0.35">
      <c r="A686" s="6"/>
      <c r="B686" s="6"/>
      <c r="C686" s="6"/>
      <c r="D686" s="6"/>
      <c r="E686" s="7"/>
      <c r="F686" s="6"/>
      <c r="G686" s="6"/>
      <c r="H686" s="6"/>
      <c r="I686" s="6"/>
      <c r="J686" s="6"/>
      <c r="K686" s="6"/>
      <c r="L686" s="6"/>
      <c r="M686" s="6"/>
      <c r="N686" s="8"/>
      <c r="O686" s="8"/>
      <c r="P686" s="8"/>
      <c r="Q686" s="8"/>
      <c r="R686" s="9"/>
      <c r="S686" s="10"/>
    </row>
    <row r="687" spans="1:19" ht="14.25" customHeight="1" x14ac:dyDescent="0.35">
      <c r="A687" s="6"/>
      <c r="B687" s="6"/>
      <c r="C687" s="6"/>
      <c r="D687" s="6"/>
      <c r="E687" s="7"/>
      <c r="F687" s="6"/>
      <c r="G687" s="6"/>
      <c r="H687" s="6"/>
      <c r="I687" s="6"/>
      <c r="J687" s="6"/>
      <c r="K687" s="6"/>
      <c r="L687" s="6"/>
      <c r="M687" s="6"/>
      <c r="N687" s="8"/>
      <c r="O687" s="8"/>
      <c r="P687" s="8"/>
      <c r="Q687" s="8"/>
      <c r="R687" s="9"/>
      <c r="S687" s="10"/>
    </row>
    <row r="688" spans="1:19" ht="14.25" customHeight="1" x14ac:dyDescent="0.35">
      <c r="A688" s="6"/>
      <c r="B688" s="6"/>
      <c r="C688" s="6"/>
      <c r="D688" s="6"/>
      <c r="E688" s="7"/>
      <c r="F688" s="6"/>
      <c r="G688" s="6"/>
      <c r="H688" s="6"/>
      <c r="I688" s="6"/>
      <c r="J688" s="6"/>
      <c r="K688" s="6"/>
      <c r="L688" s="6"/>
      <c r="M688" s="6"/>
      <c r="N688" s="8"/>
      <c r="O688" s="8"/>
      <c r="P688" s="8"/>
      <c r="Q688" s="8"/>
      <c r="R688" s="9"/>
      <c r="S688" s="10"/>
    </row>
    <row r="689" spans="1:19" ht="14.25" customHeight="1" x14ac:dyDescent="0.35">
      <c r="A689" s="6"/>
      <c r="B689" s="6"/>
      <c r="C689" s="6"/>
      <c r="D689" s="6"/>
      <c r="E689" s="7"/>
      <c r="F689" s="6"/>
      <c r="G689" s="6"/>
      <c r="H689" s="6"/>
      <c r="I689" s="6"/>
      <c r="J689" s="6"/>
      <c r="K689" s="6"/>
      <c r="L689" s="6"/>
      <c r="M689" s="6"/>
      <c r="N689" s="8"/>
      <c r="O689" s="8"/>
      <c r="P689" s="8"/>
      <c r="Q689" s="8"/>
      <c r="R689" s="9"/>
      <c r="S689" s="10"/>
    </row>
    <row r="690" spans="1:19" ht="14.25" customHeight="1" x14ac:dyDescent="0.35">
      <c r="A690" s="6"/>
      <c r="B690" s="6"/>
      <c r="C690" s="6"/>
      <c r="D690" s="6"/>
      <c r="E690" s="7"/>
      <c r="F690" s="6"/>
      <c r="G690" s="6"/>
      <c r="J690" s="6"/>
      <c r="K690" s="6"/>
      <c r="L690" s="6"/>
      <c r="M690" s="6"/>
      <c r="N690" s="8"/>
      <c r="O690" s="8"/>
      <c r="P690" s="8"/>
      <c r="Q690" s="8"/>
      <c r="R690" s="9"/>
      <c r="S690" s="10"/>
    </row>
    <row r="691" spans="1:19" ht="14.25" customHeight="1" x14ac:dyDescent="0.35">
      <c r="A691" s="6"/>
      <c r="B691" s="6"/>
      <c r="C691" s="6"/>
      <c r="D691" s="6"/>
      <c r="E691" s="7"/>
      <c r="F691" s="6"/>
      <c r="G691" s="6"/>
      <c r="H691" s="6"/>
      <c r="I691" s="6"/>
      <c r="J691" s="6"/>
      <c r="K691" s="6"/>
      <c r="L691" s="6"/>
      <c r="M691" s="6"/>
      <c r="N691" s="8"/>
      <c r="O691" s="8"/>
      <c r="P691" s="8"/>
      <c r="Q691" s="8"/>
      <c r="R691" s="9"/>
      <c r="S691" s="10"/>
    </row>
    <row r="692" spans="1:19" ht="14.25" customHeight="1" x14ac:dyDescent="0.35">
      <c r="A692" s="6"/>
      <c r="B692" s="6"/>
      <c r="C692" s="6"/>
      <c r="D692" s="6"/>
      <c r="E692" s="7"/>
      <c r="F692" s="6"/>
      <c r="G692" s="6"/>
      <c r="H692" s="6"/>
      <c r="I692" s="6"/>
      <c r="J692" s="6"/>
      <c r="K692" s="6"/>
      <c r="L692" s="6"/>
      <c r="M692" s="6"/>
      <c r="N692" s="8"/>
      <c r="O692" s="8"/>
      <c r="P692" s="8"/>
      <c r="Q692" s="8"/>
      <c r="R692" s="9"/>
      <c r="S692" s="10"/>
    </row>
    <row r="693" spans="1:19" ht="14.25" customHeight="1" x14ac:dyDescent="0.35">
      <c r="A693" s="6"/>
      <c r="B693" s="6"/>
      <c r="C693" s="6"/>
      <c r="D693" s="6"/>
      <c r="E693" s="7"/>
      <c r="F693" s="6"/>
      <c r="G693" s="6"/>
      <c r="H693" s="6"/>
      <c r="I693" s="6"/>
      <c r="J693" s="6"/>
      <c r="K693" s="6"/>
      <c r="L693" s="6"/>
      <c r="M693" s="6"/>
      <c r="N693" s="8"/>
      <c r="O693" s="8"/>
      <c r="P693" s="8"/>
      <c r="Q693" s="8"/>
      <c r="R693" s="9"/>
      <c r="S693" s="10"/>
    </row>
    <row r="694" spans="1:19" ht="14.25" customHeight="1" x14ac:dyDescent="0.35">
      <c r="A694" s="6"/>
      <c r="B694" s="6"/>
      <c r="C694" s="6"/>
      <c r="D694" s="6"/>
      <c r="E694" s="7"/>
      <c r="F694" s="6"/>
      <c r="G694" s="6"/>
      <c r="H694" s="6"/>
      <c r="I694" s="6"/>
      <c r="J694" s="6"/>
      <c r="K694" s="6"/>
      <c r="L694" s="6"/>
      <c r="M694" s="6"/>
      <c r="N694" s="8"/>
      <c r="O694" s="8"/>
      <c r="P694" s="8"/>
      <c r="Q694" s="8"/>
      <c r="R694" s="9"/>
      <c r="S694" s="10"/>
    </row>
    <row r="695" spans="1:19" ht="14.25" customHeight="1" x14ac:dyDescent="0.35">
      <c r="A695" s="6"/>
      <c r="B695" s="6"/>
      <c r="C695" s="6"/>
      <c r="D695" s="6"/>
      <c r="E695" s="7"/>
      <c r="F695" s="6"/>
      <c r="G695" s="6"/>
      <c r="H695" s="6"/>
      <c r="I695" s="6"/>
      <c r="J695" s="6"/>
      <c r="K695" s="6"/>
      <c r="L695" s="6"/>
      <c r="M695" s="6"/>
      <c r="N695" s="8"/>
      <c r="O695" s="8"/>
      <c r="P695" s="8"/>
      <c r="Q695" s="8"/>
      <c r="R695" s="9"/>
      <c r="S695" s="10"/>
    </row>
    <row r="696" spans="1:19" ht="14.25" customHeight="1" x14ac:dyDescent="0.35">
      <c r="A696" s="6"/>
      <c r="B696" s="6"/>
      <c r="C696" s="6"/>
      <c r="D696" s="6"/>
      <c r="E696" s="7"/>
      <c r="F696" s="6"/>
      <c r="G696" s="6"/>
      <c r="H696" s="6"/>
      <c r="I696" s="6"/>
      <c r="J696" s="6"/>
      <c r="K696" s="6"/>
      <c r="L696" s="6"/>
      <c r="M696" s="6"/>
      <c r="N696" s="8"/>
      <c r="O696" s="8"/>
      <c r="P696" s="8"/>
      <c r="Q696" s="8"/>
      <c r="R696" s="9"/>
      <c r="S696" s="10"/>
    </row>
    <row r="697" spans="1:19" ht="14.25" customHeight="1" x14ac:dyDescent="0.35">
      <c r="A697" s="6"/>
      <c r="B697" s="6"/>
      <c r="C697" s="6"/>
      <c r="D697" s="6"/>
      <c r="E697" s="7"/>
      <c r="F697" s="6"/>
      <c r="G697" s="6"/>
      <c r="H697" s="6"/>
      <c r="I697" s="6"/>
      <c r="J697" s="6"/>
      <c r="K697" s="6"/>
      <c r="L697" s="6"/>
      <c r="M697" s="6"/>
      <c r="N697" s="8"/>
      <c r="O697" s="8"/>
      <c r="P697" s="8"/>
      <c r="Q697" s="8"/>
      <c r="R697" s="9"/>
      <c r="S697" s="10"/>
    </row>
    <row r="698" spans="1:19" ht="14.25" customHeight="1" x14ac:dyDescent="0.35">
      <c r="A698" s="6"/>
      <c r="B698" s="6"/>
      <c r="C698" s="6"/>
      <c r="D698" s="6"/>
      <c r="E698" s="7"/>
      <c r="F698" s="6"/>
      <c r="G698" s="6"/>
      <c r="H698" s="6"/>
      <c r="I698" s="6"/>
      <c r="J698" s="6"/>
      <c r="K698" s="6"/>
      <c r="L698" s="6"/>
      <c r="M698" s="6"/>
      <c r="N698" s="8"/>
      <c r="O698" s="8"/>
      <c r="P698" s="8"/>
      <c r="Q698" s="8"/>
      <c r="R698" s="9"/>
      <c r="S698" s="10"/>
    </row>
    <row r="699" spans="1:19" ht="14.25" customHeight="1" x14ac:dyDescent="0.35">
      <c r="A699" s="6"/>
      <c r="B699" s="6"/>
      <c r="C699" s="6"/>
      <c r="D699" s="6"/>
      <c r="E699" s="7"/>
      <c r="F699" s="6"/>
      <c r="G699" s="6"/>
      <c r="H699" s="6"/>
      <c r="I699" s="6"/>
      <c r="J699" s="6"/>
      <c r="K699" s="6"/>
      <c r="L699" s="6"/>
      <c r="M699" s="6"/>
      <c r="N699" s="8"/>
      <c r="O699" s="8"/>
      <c r="P699" s="8"/>
      <c r="Q699" s="8"/>
      <c r="R699" s="9"/>
      <c r="S699" s="10"/>
    </row>
    <row r="700" spans="1:19" ht="14.25" customHeight="1" x14ac:dyDescent="0.35">
      <c r="A700" s="6"/>
      <c r="B700" s="6"/>
      <c r="C700" s="6"/>
      <c r="D700" s="6"/>
      <c r="E700" s="7"/>
      <c r="F700" s="6"/>
      <c r="G700" s="6"/>
      <c r="H700" s="6"/>
      <c r="I700" s="6"/>
      <c r="J700" s="6"/>
      <c r="K700" s="6"/>
      <c r="L700" s="6"/>
      <c r="M700" s="6"/>
      <c r="N700" s="8"/>
      <c r="O700" s="8"/>
      <c r="P700" s="8"/>
      <c r="Q700" s="8"/>
      <c r="R700" s="9"/>
      <c r="S700" s="10"/>
    </row>
    <row r="701" spans="1:19" ht="14.25" customHeight="1" x14ac:dyDescent="0.35">
      <c r="A701" s="6"/>
      <c r="B701" s="6"/>
      <c r="C701" s="6"/>
      <c r="D701" s="6"/>
      <c r="E701" s="7"/>
      <c r="F701" s="6"/>
      <c r="G701" s="6"/>
      <c r="H701" s="6"/>
      <c r="I701" s="6"/>
      <c r="J701" s="6"/>
      <c r="K701" s="6"/>
      <c r="L701" s="6"/>
      <c r="M701" s="6"/>
      <c r="N701" s="8"/>
      <c r="O701" s="8"/>
      <c r="P701" s="8"/>
      <c r="Q701" s="8"/>
      <c r="R701" s="9"/>
      <c r="S701" s="10"/>
    </row>
    <row r="702" spans="1:19" ht="14.25" customHeight="1" x14ac:dyDescent="0.35">
      <c r="A702" s="6"/>
      <c r="B702" s="6"/>
      <c r="C702" s="6"/>
      <c r="D702" s="6"/>
      <c r="E702" s="7"/>
      <c r="F702" s="6"/>
      <c r="G702" s="6"/>
      <c r="H702" s="6"/>
      <c r="I702" s="6"/>
      <c r="J702" s="6"/>
      <c r="K702" s="6"/>
      <c r="L702" s="6"/>
      <c r="M702" s="6"/>
      <c r="N702" s="8"/>
      <c r="O702" s="8"/>
      <c r="P702" s="8"/>
      <c r="Q702" s="8"/>
      <c r="R702" s="9"/>
      <c r="S702" s="10"/>
    </row>
    <row r="703" spans="1:19" ht="14.25" customHeight="1" x14ac:dyDescent="0.35">
      <c r="A703" s="6"/>
      <c r="B703" s="6"/>
      <c r="C703" s="6"/>
      <c r="D703" s="6"/>
      <c r="E703" s="7"/>
      <c r="F703" s="6"/>
      <c r="G703" s="6"/>
      <c r="H703" s="6"/>
      <c r="I703" s="6"/>
      <c r="J703" s="6"/>
      <c r="K703" s="6"/>
      <c r="L703" s="6"/>
      <c r="M703" s="6"/>
      <c r="N703" s="8"/>
      <c r="O703" s="8"/>
      <c r="P703" s="8"/>
      <c r="Q703" s="8"/>
      <c r="R703" s="9"/>
      <c r="S703" s="10"/>
    </row>
    <row r="704" spans="1:19" ht="14.25" customHeight="1" x14ac:dyDescent="0.35">
      <c r="A704" s="6"/>
      <c r="B704" s="6"/>
      <c r="C704" s="6"/>
      <c r="D704" s="6"/>
      <c r="E704" s="7"/>
      <c r="F704" s="6"/>
      <c r="G704" s="6"/>
      <c r="H704" s="6"/>
      <c r="I704" s="6"/>
      <c r="J704" s="6"/>
      <c r="K704" s="6"/>
      <c r="L704" s="6"/>
      <c r="M704" s="6"/>
      <c r="N704" s="8"/>
      <c r="O704" s="8"/>
      <c r="P704" s="8"/>
      <c r="Q704" s="8"/>
      <c r="R704" s="9"/>
      <c r="S704" s="10"/>
    </row>
    <row r="705" spans="1:19" ht="14.25" customHeight="1" x14ac:dyDescent="0.35">
      <c r="A705" s="6"/>
      <c r="B705" s="6"/>
      <c r="C705" s="6"/>
      <c r="D705" s="6"/>
      <c r="E705" s="7"/>
      <c r="F705" s="6"/>
      <c r="G705" s="6"/>
      <c r="H705" s="6"/>
      <c r="I705" s="6"/>
      <c r="J705" s="6"/>
      <c r="K705" s="6"/>
      <c r="L705" s="6"/>
      <c r="M705" s="6"/>
      <c r="N705" s="8"/>
      <c r="O705" s="8"/>
      <c r="P705" s="8"/>
      <c r="Q705" s="8"/>
      <c r="R705" s="9"/>
      <c r="S705" s="10"/>
    </row>
    <row r="706" spans="1:19" ht="14.25" customHeight="1" x14ac:dyDescent="0.35">
      <c r="A706" s="6"/>
      <c r="B706" s="6"/>
      <c r="C706" s="6"/>
      <c r="D706" s="6"/>
      <c r="E706" s="7"/>
      <c r="F706" s="6"/>
      <c r="G706" s="6"/>
      <c r="H706" s="6"/>
      <c r="I706" s="6"/>
      <c r="J706" s="6"/>
      <c r="K706" s="6"/>
      <c r="L706" s="6"/>
      <c r="M706" s="6"/>
      <c r="N706" s="8"/>
      <c r="O706" s="8"/>
      <c r="P706" s="8"/>
      <c r="Q706" s="8"/>
      <c r="R706" s="9"/>
      <c r="S706" s="10"/>
    </row>
    <row r="707" spans="1:19" ht="14.25" customHeight="1" x14ac:dyDescent="0.35">
      <c r="A707" s="6"/>
      <c r="B707" s="6"/>
      <c r="C707" s="6"/>
      <c r="D707" s="6"/>
      <c r="E707" s="7"/>
      <c r="F707" s="6"/>
      <c r="G707" s="6"/>
      <c r="H707" s="6"/>
      <c r="I707" s="6"/>
      <c r="J707" s="6"/>
      <c r="K707" s="6"/>
      <c r="L707" s="6"/>
      <c r="M707" s="6"/>
      <c r="N707" s="8"/>
      <c r="O707" s="8"/>
      <c r="P707" s="8"/>
      <c r="Q707" s="8"/>
      <c r="R707" s="9"/>
      <c r="S707" s="10"/>
    </row>
    <row r="708" spans="1:19" ht="14.25" customHeight="1" x14ac:dyDescent="0.35">
      <c r="A708" s="6"/>
      <c r="B708" s="6"/>
      <c r="C708" s="6"/>
      <c r="D708" s="6"/>
      <c r="E708" s="7"/>
      <c r="F708" s="6"/>
      <c r="G708" s="6"/>
      <c r="H708" s="6"/>
      <c r="I708" s="6"/>
      <c r="J708" s="6"/>
      <c r="K708" s="6"/>
      <c r="L708" s="6"/>
      <c r="M708" s="6"/>
      <c r="N708" s="8"/>
      <c r="O708" s="8"/>
      <c r="P708" s="8"/>
      <c r="Q708" s="8"/>
      <c r="R708" s="9"/>
      <c r="S708" s="10"/>
    </row>
    <row r="709" spans="1:19" ht="14.25" customHeight="1" x14ac:dyDescent="0.35">
      <c r="A709" s="6"/>
      <c r="B709" s="6"/>
      <c r="C709" s="6"/>
      <c r="D709" s="6"/>
      <c r="E709" s="7"/>
      <c r="F709" s="6"/>
      <c r="G709" s="6"/>
      <c r="H709" s="6"/>
      <c r="I709" s="6"/>
      <c r="J709" s="6"/>
      <c r="K709" s="6"/>
      <c r="L709" s="6"/>
      <c r="M709" s="6"/>
      <c r="N709" s="8"/>
      <c r="O709" s="8"/>
      <c r="P709" s="8"/>
      <c r="Q709" s="8"/>
      <c r="R709" s="9"/>
      <c r="S709" s="10"/>
    </row>
    <row r="710" spans="1:19" ht="14.25" customHeight="1" x14ac:dyDescent="0.35">
      <c r="A710" s="6"/>
      <c r="B710" s="6"/>
      <c r="C710" s="6"/>
      <c r="D710" s="6"/>
      <c r="E710" s="7"/>
      <c r="F710" s="6"/>
      <c r="G710" s="6"/>
      <c r="H710" s="6"/>
      <c r="I710" s="6"/>
      <c r="J710" s="6"/>
      <c r="K710" s="6"/>
      <c r="L710" s="6"/>
      <c r="M710" s="6"/>
      <c r="N710" s="8"/>
      <c r="O710" s="8"/>
      <c r="P710" s="8"/>
      <c r="Q710" s="8"/>
      <c r="R710" s="9"/>
      <c r="S710" s="10"/>
    </row>
    <row r="711" spans="1:19" ht="14.25" customHeight="1" x14ac:dyDescent="0.35">
      <c r="A711" s="6"/>
      <c r="B711" s="6"/>
      <c r="C711" s="6"/>
      <c r="D711" s="6"/>
      <c r="E711" s="7"/>
      <c r="F711" s="6"/>
      <c r="G711" s="6"/>
      <c r="H711" s="6"/>
      <c r="I711" s="6"/>
      <c r="J711" s="6"/>
      <c r="K711" s="6"/>
      <c r="L711" s="6"/>
      <c r="M711" s="6"/>
      <c r="N711" s="8"/>
      <c r="O711" s="8"/>
      <c r="P711" s="8"/>
      <c r="Q711" s="8"/>
      <c r="R711" s="9"/>
      <c r="S711" s="10"/>
    </row>
    <row r="712" spans="1:19" ht="14.25" customHeight="1" x14ac:dyDescent="0.35">
      <c r="A712" s="6"/>
      <c r="B712" s="6"/>
      <c r="C712" s="6"/>
      <c r="D712" s="6"/>
      <c r="E712" s="7"/>
      <c r="F712" s="6"/>
      <c r="G712" s="6"/>
      <c r="H712" s="6"/>
      <c r="I712" s="6"/>
      <c r="J712" s="6"/>
      <c r="K712" s="6"/>
      <c r="L712" s="6"/>
      <c r="M712" s="6"/>
      <c r="N712" s="8"/>
      <c r="O712" s="8"/>
      <c r="P712" s="8"/>
      <c r="Q712" s="8"/>
      <c r="R712" s="9"/>
      <c r="S712" s="10"/>
    </row>
    <row r="713" spans="1:19" ht="14.25" customHeight="1" x14ac:dyDescent="0.35">
      <c r="A713" s="6"/>
      <c r="B713" s="6"/>
      <c r="C713" s="6"/>
      <c r="D713" s="6"/>
      <c r="E713" s="7"/>
      <c r="F713" s="6"/>
      <c r="G713" s="6"/>
      <c r="H713" s="6"/>
      <c r="I713" s="6"/>
      <c r="J713" s="6"/>
      <c r="K713" s="6"/>
      <c r="L713" s="6"/>
      <c r="M713" s="6"/>
      <c r="N713" s="8"/>
      <c r="O713" s="8"/>
      <c r="P713" s="8"/>
      <c r="Q713" s="8"/>
      <c r="R713" s="9"/>
      <c r="S713" s="10"/>
    </row>
    <row r="714" spans="1:19" ht="14.25" customHeight="1" x14ac:dyDescent="0.35">
      <c r="A714" s="6"/>
      <c r="B714" s="6"/>
      <c r="C714" s="6"/>
      <c r="D714" s="6"/>
      <c r="E714" s="7"/>
      <c r="F714" s="6"/>
      <c r="G714" s="6"/>
      <c r="H714" s="6"/>
      <c r="I714" s="6"/>
      <c r="J714" s="6"/>
      <c r="K714" s="6"/>
      <c r="L714" s="6"/>
      <c r="M714" s="6"/>
      <c r="N714" s="8"/>
      <c r="O714" s="8"/>
      <c r="P714" s="8"/>
      <c r="Q714" s="8"/>
      <c r="R714" s="9"/>
      <c r="S714" s="10"/>
    </row>
    <row r="715" spans="1:19" ht="14.25" customHeight="1" x14ac:dyDescent="0.35">
      <c r="A715" s="6"/>
      <c r="B715" s="6"/>
      <c r="C715" s="6"/>
      <c r="D715" s="6"/>
      <c r="E715" s="7"/>
      <c r="F715" s="6"/>
      <c r="G715" s="6"/>
      <c r="H715" s="6"/>
      <c r="I715" s="6"/>
      <c r="J715" s="6"/>
      <c r="K715" s="6"/>
      <c r="L715" s="6"/>
      <c r="M715" s="6"/>
      <c r="N715" s="8"/>
      <c r="O715" s="8"/>
      <c r="P715" s="8"/>
      <c r="Q715" s="8"/>
      <c r="R715" s="9"/>
      <c r="S715" s="10"/>
    </row>
    <row r="716" spans="1:19" ht="14.25" customHeight="1" x14ac:dyDescent="0.35">
      <c r="A716" s="6"/>
      <c r="B716" s="6"/>
      <c r="C716" s="6"/>
      <c r="D716" s="6"/>
      <c r="E716" s="7"/>
      <c r="F716" s="6"/>
      <c r="G716" s="6"/>
      <c r="H716" s="6"/>
      <c r="I716" s="6"/>
      <c r="J716" s="6"/>
      <c r="K716" s="6"/>
      <c r="L716" s="6"/>
      <c r="M716" s="6"/>
      <c r="N716" s="8"/>
      <c r="O716" s="8"/>
      <c r="P716" s="8"/>
      <c r="Q716" s="8"/>
      <c r="R716" s="9"/>
      <c r="S716" s="10"/>
    </row>
    <row r="717" spans="1:19" ht="14.25" customHeight="1" x14ac:dyDescent="0.35">
      <c r="A717" s="6"/>
      <c r="B717" s="6"/>
      <c r="C717" s="6"/>
      <c r="D717" s="6"/>
      <c r="E717" s="7"/>
      <c r="F717" s="6"/>
      <c r="G717" s="6"/>
      <c r="H717" s="6"/>
      <c r="I717" s="6"/>
      <c r="J717" s="6"/>
      <c r="K717" s="6"/>
      <c r="L717" s="6"/>
      <c r="M717" s="6"/>
      <c r="N717" s="8"/>
      <c r="O717" s="8"/>
      <c r="P717" s="8"/>
      <c r="Q717" s="8"/>
      <c r="R717" s="9"/>
      <c r="S717" s="10"/>
    </row>
    <row r="718" spans="1:19" ht="14.25" customHeight="1" x14ac:dyDescent="0.35">
      <c r="A718" s="6"/>
      <c r="B718" s="6"/>
      <c r="C718" s="6"/>
      <c r="D718" s="6"/>
      <c r="E718" s="7"/>
      <c r="F718" s="6"/>
      <c r="G718" s="6"/>
      <c r="H718" s="6"/>
      <c r="I718" s="6"/>
      <c r="J718" s="6"/>
      <c r="K718" s="6"/>
      <c r="L718" s="6"/>
      <c r="M718" s="6"/>
      <c r="N718" s="8"/>
      <c r="O718" s="8"/>
      <c r="P718" s="8"/>
      <c r="Q718" s="8"/>
      <c r="R718" s="9"/>
      <c r="S718" s="10"/>
    </row>
    <row r="719" spans="1:19" ht="14.25" customHeight="1" x14ac:dyDescent="0.35">
      <c r="A719" s="6"/>
      <c r="B719" s="6"/>
      <c r="C719" s="6"/>
      <c r="D719" s="6"/>
      <c r="E719" s="7"/>
      <c r="F719" s="6"/>
      <c r="G719" s="6"/>
      <c r="H719" s="6"/>
      <c r="I719" s="6"/>
      <c r="J719" s="6"/>
      <c r="K719" s="6"/>
      <c r="L719" s="6"/>
      <c r="M719" s="6"/>
      <c r="N719" s="8"/>
      <c r="O719" s="8"/>
      <c r="P719" s="8"/>
      <c r="Q719" s="8"/>
      <c r="R719" s="9"/>
      <c r="S719" s="10"/>
    </row>
    <row r="720" spans="1:19" ht="14.25" customHeight="1" x14ac:dyDescent="0.35">
      <c r="A720" s="6"/>
      <c r="B720" s="6"/>
      <c r="C720" s="6"/>
      <c r="D720" s="6"/>
      <c r="E720" s="7"/>
      <c r="F720" s="6"/>
      <c r="G720" s="6"/>
      <c r="H720" s="6"/>
      <c r="I720" s="6"/>
      <c r="J720" s="6"/>
      <c r="K720" s="6"/>
      <c r="L720" s="6"/>
      <c r="M720" s="6"/>
      <c r="N720" s="8"/>
      <c r="O720" s="8"/>
      <c r="P720" s="8"/>
      <c r="Q720" s="8"/>
      <c r="R720" s="9"/>
      <c r="S720" s="10"/>
    </row>
    <row r="721" spans="1:19" ht="14.25" customHeight="1" x14ac:dyDescent="0.35">
      <c r="A721" s="6"/>
      <c r="B721" s="6"/>
      <c r="C721" s="6"/>
      <c r="D721" s="6"/>
      <c r="E721" s="7"/>
      <c r="F721" s="6"/>
      <c r="G721" s="6"/>
      <c r="H721" s="6"/>
      <c r="I721" s="6"/>
      <c r="J721" s="6"/>
      <c r="K721" s="6"/>
      <c r="L721" s="6"/>
      <c r="M721" s="6"/>
      <c r="N721" s="8"/>
      <c r="O721" s="8"/>
      <c r="P721" s="8"/>
      <c r="Q721" s="8"/>
      <c r="R721" s="9"/>
      <c r="S721" s="10"/>
    </row>
    <row r="722" spans="1:19" ht="14.25" customHeight="1" x14ac:dyDescent="0.35">
      <c r="A722" s="6"/>
      <c r="B722" s="6"/>
      <c r="C722" s="6"/>
      <c r="D722" s="6"/>
      <c r="E722" s="7"/>
      <c r="F722" s="6"/>
      <c r="G722" s="6"/>
      <c r="H722" s="6"/>
      <c r="I722" s="6"/>
      <c r="J722" s="6"/>
      <c r="K722" s="6"/>
      <c r="L722" s="6"/>
      <c r="M722" s="6"/>
      <c r="N722" s="8"/>
      <c r="O722" s="8"/>
      <c r="P722" s="8"/>
      <c r="Q722" s="8"/>
      <c r="R722" s="9"/>
      <c r="S722" s="10"/>
    </row>
    <row r="723" spans="1:19" ht="14.25" customHeight="1" x14ac:dyDescent="0.35">
      <c r="A723" s="6"/>
      <c r="B723" s="6"/>
      <c r="C723" s="6"/>
      <c r="D723" s="6"/>
      <c r="E723" s="7"/>
      <c r="F723" s="6"/>
      <c r="G723" s="6"/>
      <c r="H723" s="6"/>
      <c r="I723" s="6"/>
      <c r="J723" s="6"/>
      <c r="K723" s="6"/>
      <c r="L723" s="6"/>
      <c r="M723" s="6"/>
      <c r="N723" s="8"/>
      <c r="O723" s="8"/>
      <c r="P723" s="8"/>
      <c r="Q723" s="8"/>
      <c r="R723" s="9"/>
      <c r="S723" s="10"/>
    </row>
    <row r="724" spans="1:19" ht="14.25" customHeight="1" x14ac:dyDescent="0.35">
      <c r="A724" s="6"/>
      <c r="B724" s="6"/>
      <c r="C724" s="6"/>
      <c r="D724" s="6"/>
      <c r="E724" s="7"/>
      <c r="F724" s="6"/>
      <c r="G724" s="6"/>
      <c r="H724" s="6"/>
      <c r="I724" s="6"/>
      <c r="J724" s="6"/>
      <c r="K724" s="6"/>
      <c r="L724" s="6"/>
      <c r="M724" s="6"/>
      <c r="N724" s="8"/>
      <c r="O724" s="8"/>
      <c r="P724" s="8"/>
      <c r="Q724" s="8"/>
      <c r="R724" s="9"/>
      <c r="S724" s="10"/>
    </row>
    <row r="725" spans="1:19" ht="14.25" customHeight="1" x14ac:dyDescent="0.35">
      <c r="A725" s="6"/>
      <c r="B725" s="6"/>
      <c r="C725" s="6"/>
      <c r="D725" s="6"/>
      <c r="E725" s="7"/>
      <c r="F725" s="6"/>
      <c r="G725" s="6"/>
      <c r="H725" s="6"/>
      <c r="I725" s="6"/>
      <c r="J725" s="6"/>
      <c r="K725" s="6"/>
      <c r="L725" s="6"/>
      <c r="M725" s="6"/>
      <c r="N725" s="8"/>
      <c r="O725" s="8"/>
      <c r="P725" s="8"/>
      <c r="Q725" s="8"/>
      <c r="R725" s="9"/>
      <c r="S725" s="10"/>
    </row>
    <row r="726" spans="1:19" ht="14.25" customHeight="1" x14ac:dyDescent="0.35">
      <c r="A726" s="6"/>
      <c r="B726" s="6"/>
      <c r="C726" s="6"/>
      <c r="D726" s="6"/>
      <c r="E726" s="7"/>
      <c r="F726" s="6"/>
      <c r="G726" s="6"/>
      <c r="H726" s="6"/>
      <c r="I726" s="6"/>
      <c r="J726" s="6"/>
      <c r="K726" s="6"/>
      <c r="L726" s="6"/>
      <c r="M726" s="6"/>
      <c r="N726" s="8"/>
      <c r="O726" s="8"/>
      <c r="P726" s="8"/>
      <c r="Q726" s="8"/>
      <c r="R726" s="9"/>
      <c r="S726" s="10"/>
    </row>
    <row r="727" spans="1:19" ht="14.25" customHeight="1" x14ac:dyDescent="0.35">
      <c r="A727" s="6"/>
      <c r="B727" s="6"/>
      <c r="C727" s="6"/>
      <c r="D727" s="6"/>
      <c r="E727" s="7"/>
      <c r="F727" s="6"/>
      <c r="G727" s="6"/>
      <c r="H727" s="6"/>
      <c r="I727" s="6"/>
      <c r="J727" s="6"/>
      <c r="K727" s="6"/>
      <c r="L727" s="6"/>
      <c r="M727" s="6"/>
      <c r="N727" s="8"/>
      <c r="O727" s="8"/>
      <c r="P727" s="8"/>
      <c r="Q727" s="8"/>
      <c r="R727" s="9"/>
      <c r="S727" s="10"/>
    </row>
    <row r="728" spans="1:19" ht="14.25" customHeight="1" x14ac:dyDescent="0.35">
      <c r="A728" s="6"/>
      <c r="B728" s="6"/>
      <c r="C728" s="6"/>
      <c r="D728" s="6"/>
      <c r="E728" s="7"/>
      <c r="F728" s="6"/>
      <c r="G728" s="6"/>
      <c r="H728" s="6"/>
      <c r="I728" s="6"/>
      <c r="J728" s="6"/>
      <c r="K728" s="6"/>
      <c r="L728" s="6"/>
      <c r="M728" s="6"/>
      <c r="N728" s="8"/>
      <c r="O728" s="8"/>
      <c r="P728" s="8"/>
      <c r="Q728" s="8"/>
      <c r="R728" s="9"/>
      <c r="S728" s="10"/>
    </row>
    <row r="729" spans="1:19" ht="14.25" customHeight="1" x14ac:dyDescent="0.35">
      <c r="A729" s="6"/>
      <c r="B729" s="6"/>
      <c r="C729" s="6"/>
      <c r="D729" s="6"/>
      <c r="E729" s="7"/>
      <c r="F729" s="6"/>
      <c r="G729" s="6"/>
      <c r="H729" s="6"/>
      <c r="I729" s="6"/>
      <c r="J729" s="6"/>
      <c r="K729" s="6"/>
      <c r="L729" s="6"/>
      <c r="M729" s="6"/>
      <c r="N729" s="8"/>
      <c r="O729" s="8"/>
      <c r="P729" s="8"/>
      <c r="Q729" s="8"/>
      <c r="R729" s="9"/>
      <c r="S729" s="10"/>
    </row>
    <row r="730" spans="1:19" ht="14.25" customHeight="1" x14ac:dyDescent="0.35">
      <c r="A730" s="6"/>
      <c r="B730" s="6"/>
      <c r="C730" s="6"/>
      <c r="D730" s="6"/>
      <c r="E730" s="7"/>
      <c r="F730" s="6"/>
      <c r="G730" s="6"/>
      <c r="H730" s="6"/>
      <c r="I730" s="6"/>
      <c r="J730" s="6"/>
      <c r="K730" s="6"/>
      <c r="L730" s="6"/>
      <c r="M730" s="6"/>
      <c r="N730" s="8"/>
      <c r="O730" s="8"/>
      <c r="P730" s="8"/>
      <c r="Q730" s="8"/>
      <c r="R730" s="9"/>
      <c r="S730" s="10"/>
    </row>
    <row r="731" spans="1:19" ht="14.25" customHeight="1" x14ac:dyDescent="0.35">
      <c r="A731" s="6"/>
      <c r="B731" s="6"/>
      <c r="C731" s="6"/>
      <c r="D731" s="6"/>
      <c r="E731" s="7"/>
      <c r="F731" s="6"/>
      <c r="G731" s="6"/>
      <c r="H731" s="6"/>
      <c r="I731" s="6"/>
      <c r="J731" s="6"/>
      <c r="K731" s="6"/>
      <c r="L731" s="6"/>
      <c r="M731" s="6"/>
      <c r="N731" s="8"/>
      <c r="O731" s="8"/>
      <c r="P731" s="8"/>
      <c r="Q731" s="8"/>
      <c r="R731" s="9"/>
      <c r="S731" s="10"/>
    </row>
    <row r="732" spans="1:19" ht="14.25" customHeight="1" x14ac:dyDescent="0.35">
      <c r="A732" s="6"/>
      <c r="B732" s="6"/>
      <c r="C732" s="6"/>
      <c r="D732" s="6"/>
      <c r="E732" s="7"/>
      <c r="F732" s="6"/>
      <c r="G732" s="6"/>
      <c r="H732" s="6"/>
      <c r="I732" s="6"/>
      <c r="J732" s="6"/>
      <c r="K732" s="6"/>
      <c r="L732" s="6"/>
      <c r="M732" s="6"/>
      <c r="N732" s="8"/>
      <c r="O732" s="8"/>
      <c r="P732" s="8"/>
      <c r="Q732" s="8"/>
      <c r="R732" s="9"/>
      <c r="S732" s="10"/>
    </row>
    <row r="733" spans="1:19" ht="14.25" customHeight="1" x14ac:dyDescent="0.35">
      <c r="A733" s="6"/>
      <c r="B733" s="6"/>
      <c r="C733" s="6"/>
      <c r="D733" s="6"/>
      <c r="E733" s="7"/>
      <c r="F733" s="6"/>
      <c r="G733" s="6"/>
      <c r="H733" s="6"/>
      <c r="I733" s="6"/>
      <c r="J733" s="6"/>
      <c r="K733" s="6"/>
      <c r="L733" s="6"/>
      <c r="M733" s="6"/>
      <c r="N733" s="8"/>
      <c r="O733" s="8"/>
      <c r="P733" s="8"/>
      <c r="Q733" s="8"/>
      <c r="R733" s="9"/>
      <c r="S733" s="10"/>
    </row>
    <row r="734" spans="1:19" ht="14.25" customHeight="1" x14ac:dyDescent="0.35">
      <c r="A734" s="6"/>
      <c r="B734" s="6"/>
      <c r="C734" s="6"/>
      <c r="D734" s="6"/>
      <c r="E734" s="7"/>
      <c r="F734" s="6"/>
      <c r="G734" s="6"/>
      <c r="H734" s="6"/>
      <c r="I734" s="6"/>
      <c r="J734" s="6"/>
      <c r="K734" s="6"/>
      <c r="L734" s="6"/>
      <c r="M734" s="6"/>
      <c r="N734" s="8"/>
      <c r="O734" s="8"/>
      <c r="P734" s="8"/>
      <c r="Q734" s="8"/>
      <c r="R734" s="9"/>
      <c r="S734" s="10"/>
    </row>
    <row r="735" spans="1:19" ht="14.25" customHeight="1" x14ac:dyDescent="0.35">
      <c r="A735" s="6"/>
      <c r="B735" s="6"/>
      <c r="C735" s="6"/>
      <c r="D735" s="6"/>
      <c r="E735" s="7"/>
      <c r="F735" s="6"/>
      <c r="G735" s="6"/>
      <c r="H735" s="6"/>
      <c r="I735" s="6"/>
      <c r="J735" s="6"/>
      <c r="K735" s="6"/>
      <c r="L735" s="6"/>
      <c r="M735" s="6"/>
      <c r="N735" s="8"/>
      <c r="O735" s="8"/>
      <c r="P735" s="8"/>
      <c r="Q735" s="8"/>
      <c r="R735" s="9"/>
      <c r="S735" s="10"/>
    </row>
    <row r="736" spans="1:19" ht="14.25" customHeight="1" x14ac:dyDescent="0.35">
      <c r="A736" s="6"/>
      <c r="B736" s="6"/>
      <c r="C736" s="6"/>
      <c r="D736" s="6"/>
      <c r="E736" s="7"/>
      <c r="F736" s="6"/>
      <c r="G736" s="6"/>
      <c r="H736" s="6"/>
      <c r="I736" s="6"/>
      <c r="J736" s="6"/>
      <c r="K736" s="6"/>
      <c r="L736" s="6"/>
      <c r="M736" s="6"/>
      <c r="N736" s="8"/>
      <c r="O736" s="8"/>
      <c r="P736" s="8"/>
      <c r="Q736" s="8"/>
      <c r="R736" s="9"/>
      <c r="S736" s="10"/>
    </row>
    <row r="737" spans="1:19" ht="14.25" customHeight="1" x14ac:dyDescent="0.35">
      <c r="A737" s="6"/>
      <c r="B737" s="6"/>
      <c r="C737" s="6"/>
      <c r="D737" s="6"/>
      <c r="E737" s="7"/>
      <c r="F737" s="6"/>
      <c r="G737" s="6"/>
      <c r="H737" s="6"/>
      <c r="I737" s="6"/>
      <c r="J737" s="6"/>
      <c r="K737" s="6"/>
      <c r="L737" s="6"/>
      <c r="M737" s="6"/>
      <c r="N737" s="8"/>
      <c r="O737" s="8"/>
      <c r="P737" s="8"/>
      <c r="Q737" s="8"/>
      <c r="R737" s="9"/>
      <c r="S737" s="10"/>
    </row>
    <row r="738" spans="1:19" ht="14.25" customHeight="1" x14ac:dyDescent="0.35">
      <c r="A738" s="6"/>
      <c r="B738" s="6"/>
      <c r="C738" s="6"/>
      <c r="D738" s="6"/>
      <c r="E738" s="7"/>
      <c r="F738" s="6"/>
      <c r="G738" s="6"/>
      <c r="H738" s="6"/>
      <c r="I738" s="6"/>
      <c r="J738" s="6"/>
      <c r="K738" s="6"/>
      <c r="L738" s="6"/>
      <c r="M738" s="6"/>
      <c r="N738" s="8"/>
      <c r="O738" s="8"/>
      <c r="P738" s="8"/>
      <c r="Q738" s="8"/>
      <c r="R738" s="9"/>
      <c r="S738" s="10"/>
    </row>
    <row r="739" spans="1:19" ht="14.25" customHeight="1" x14ac:dyDescent="0.35">
      <c r="A739" s="6"/>
      <c r="B739" s="6"/>
      <c r="C739" s="6"/>
      <c r="D739" s="6"/>
      <c r="E739" s="7"/>
      <c r="F739" s="6"/>
      <c r="G739" s="6"/>
      <c r="H739" s="6"/>
      <c r="I739" s="6"/>
      <c r="J739" s="6"/>
      <c r="K739" s="6"/>
      <c r="L739" s="6"/>
      <c r="M739" s="6"/>
      <c r="N739" s="8"/>
      <c r="O739" s="8"/>
      <c r="P739" s="8"/>
      <c r="Q739" s="8"/>
      <c r="R739" s="9"/>
      <c r="S739" s="10"/>
    </row>
    <row r="740" spans="1:19" ht="14.25" customHeight="1" x14ac:dyDescent="0.35">
      <c r="A740" s="6"/>
      <c r="B740" s="6"/>
      <c r="C740" s="6"/>
      <c r="D740" s="6"/>
      <c r="E740" s="7"/>
      <c r="F740" s="6"/>
      <c r="G740" s="6"/>
      <c r="H740" s="6"/>
      <c r="I740" s="6"/>
      <c r="J740" s="6"/>
      <c r="K740" s="6"/>
      <c r="L740" s="6"/>
      <c r="M740" s="6"/>
      <c r="N740" s="8"/>
      <c r="O740" s="8"/>
      <c r="P740" s="8"/>
      <c r="Q740" s="8"/>
      <c r="R740" s="9"/>
      <c r="S740" s="10"/>
    </row>
    <row r="741" spans="1:19" ht="14.25" customHeight="1" x14ac:dyDescent="0.35">
      <c r="A741" s="6"/>
      <c r="B741" s="6"/>
      <c r="C741" s="6"/>
      <c r="D741" s="6"/>
      <c r="E741" s="7"/>
      <c r="F741" s="6"/>
      <c r="G741" s="6"/>
      <c r="H741" s="6"/>
      <c r="I741" s="6"/>
      <c r="J741" s="6"/>
      <c r="K741" s="6"/>
      <c r="L741" s="6"/>
      <c r="M741" s="6"/>
      <c r="N741" s="8"/>
      <c r="O741" s="8"/>
      <c r="P741" s="8"/>
      <c r="Q741" s="8"/>
      <c r="R741" s="9"/>
      <c r="S741" s="10"/>
    </row>
    <row r="742" spans="1:19" ht="14.25" customHeight="1" x14ac:dyDescent="0.35">
      <c r="A742" s="6"/>
      <c r="B742" s="6"/>
      <c r="C742" s="6"/>
      <c r="D742" s="6"/>
      <c r="E742" s="7"/>
      <c r="F742" s="6"/>
      <c r="G742" s="6"/>
      <c r="H742" s="6"/>
      <c r="I742" s="6"/>
      <c r="J742" s="6"/>
      <c r="K742" s="6"/>
      <c r="L742" s="6"/>
      <c r="M742" s="6"/>
      <c r="N742" s="8"/>
      <c r="O742" s="8"/>
      <c r="P742" s="8"/>
      <c r="Q742" s="8"/>
      <c r="R742" s="9"/>
      <c r="S742" s="10"/>
    </row>
    <row r="743" spans="1:19" ht="14.25" customHeight="1" x14ac:dyDescent="0.35">
      <c r="A743" s="6"/>
      <c r="B743" s="6"/>
      <c r="C743" s="6"/>
      <c r="D743" s="6"/>
      <c r="E743" s="7"/>
      <c r="F743" s="6"/>
      <c r="G743" s="6"/>
      <c r="H743" s="6"/>
      <c r="I743" s="6"/>
      <c r="J743" s="6"/>
      <c r="K743" s="6"/>
      <c r="L743" s="6"/>
      <c r="M743" s="6"/>
      <c r="N743" s="8"/>
      <c r="O743" s="8"/>
      <c r="P743" s="8"/>
      <c r="Q743" s="8"/>
      <c r="R743" s="9"/>
      <c r="S743" s="10"/>
    </row>
    <row r="744" spans="1:19" ht="14.25" customHeight="1" x14ac:dyDescent="0.35">
      <c r="A744" s="6"/>
      <c r="B744" s="6"/>
      <c r="C744" s="6"/>
      <c r="D744" s="6"/>
      <c r="E744" s="7"/>
      <c r="F744" s="6"/>
      <c r="G744" s="6"/>
      <c r="H744" s="6"/>
      <c r="I744" s="6"/>
      <c r="J744" s="6"/>
      <c r="K744" s="6"/>
      <c r="L744" s="6"/>
      <c r="M744" s="6"/>
      <c r="N744" s="8"/>
      <c r="O744" s="8"/>
      <c r="P744" s="8"/>
      <c r="Q744" s="8"/>
      <c r="R744" s="9"/>
      <c r="S744" s="10"/>
    </row>
    <row r="745" spans="1:19" ht="14.25" customHeight="1" x14ac:dyDescent="0.35">
      <c r="A745" s="6"/>
      <c r="B745" s="6"/>
      <c r="C745" s="6"/>
      <c r="D745" s="6"/>
      <c r="E745" s="7"/>
      <c r="F745" s="6"/>
      <c r="G745" s="6"/>
      <c r="H745" s="6"/>
      <c r="I745" s="6"/>
      <c r="J745" s="6"/>
      <c r="K745" s="6"/>
      <c r="L745" s="6"/>
      <c r="M745" s="6"/>
      <c r="N745" s="8"/>
      <c r="O745" s="8"/>
      <c r="P745" s="8"/>
      <c r="Q745" s="8"/>
      <c r="R745" s="9"/>
      <c r="S745" s="10"/>
    </row>
    <row r="746" spans="1:19" ht="14.25" customHeight="1" x14ac:dyDescent="0.35">
      <c r="A746" s="6"/>
      <c r="B746" s="6"/>
      <c r="C746" s="6"/>
      <c r="D746" s="6"/>
      <c r="E746" s="7"/>
      <c r="F746" s="6"/>
      <c r="G746" s="6"/>
      <c r="H746" s="6"/>
      <c r="I746" s="6"/>
      <c r="J746" s="6"/>
      <c r="K746" s="6"/>
      <c r="L746" s="6"/>
      <c r="M746" s="6"/>
      <c r="N746" s="8"/>
      <c r="O746" s="8"/>
      <c r="P746" s="8"/>
      <c r="Q746" s="8"/>
      <c r="R746" s="9"/>
      <c r="S746" s="10"/>
    </row>
    <row r="747" spans="1:19" ht="14.25" customHeight="1" x14ac:dyDescent="0.35">
      <c r="A747" s="6"/>
      <c r="B747" s="6"/>
      <c r="C747" s="6"/>
      <c r="D747" s="6"/>
      <c r="E747" s="7"/>
      <c r="F747" s="6"/>
      <c r="G747" s="6"/>
      <c r="H747" s="6"/>
      <c r="I747" s="6"/>
      <c r="J747" s="6"/>
      <c r="K747" s="6"/>
      <c r="L747" s="6"/>
      <c r="M747" s="6"/>
      <c r="N747" s="8"/>
      <c r="O747" s="8"/>
      <c r="P747" s="8"/>
      <c r="Q747" s="8"/>
      <c r="R747" s="9"/>
      <c r="S747" s="10"/>
    </row>
    <row r="748" spans="1:19" ht="14.25" customHeight="1" x14ac:dyDescent="0.35">
      <c r="A748" s="6"/>
      <c r="B748" s="6"/>
      <c r="C748" s="6"/>
      <c r="D748" s="6"/>
      <c r="E748" s="7"/>
      <c r="F748" s="6"/>
      <c r="G748" s="6"/>
      <c r="H748" s="6"/>
      <c r="I748" s="6"/>
      <c r="J748" s="6"/>
      <c r="K748" s="6"/>
      <c r="L748" s="6"/>
      <c r="M748" s="6"/>
      <c r="N748" s="8"/>
      <c r="O748" s="8"/>
      <c r="P748" s="8"/>
      <c r="Q748" s="8"/>
      <c r="R748" s="9"/>
      <c r="S748" s="10"/>
    </row>
    <row r="749" spans="1:19" ht="14.25" customHeight="1" x14ac:dyDescent="0.35">
      <c r="A749" s="6"/>
      <c r="B749" s="6"/>
      <c r="C749" s="6"/>
      <c r="D749" s="6"/>
      <c r="E749" s="7"/>
      <c r="F749" s="6"/>
      <c r="G749" s="6"/>
      <c r="H749" s="6"/>
      <c r="I749" s="6"/>
      <c r="J749" s="6"/>
      <c r="K749" s="6"/>
      <c r="L749" s="6"/>
      <c r="M749" s="6"/>
      <c r="N749" s="8"/>
      <c r="O749" s="8"/>
      <c r="P749" s="8"/>
      <c r="Q749" s="8"/>
      <c r="R749" s="9"/>
      <c r="S749" s="10"/>
    </row>
    <row r="750" spans="1:19" ht="14.25" customHeight="1" x14ac:dyDescent="0.35">
      <c r="A750" s="6"/>
      <c r="B750" s="6"/>
      <c r="C750" s="6"/>
      <c r="D750" s="6"/>
      <c r="E750" s="7"/>
      <c r="F750" s="6"/>
      <c r="G750" s="6"/>
      <c r="H750" s="6"/>
      <c r="I750" s="6"/>
      <c r="J750" s="6"/>
      <c r="K750" s="6"/>
      <c r="L750" s="6"/>
      <c r="M750" s="6"/>
      <c r="N750" s="8"/>
      <c r="O750" s="8"/>
      <c r="P750" s="8"/>
      <c r="Q750" s="8"/>
      <c r="R750" s="9"/>
      <c r="S750" s="10"/>
    </row>
    <row r="751" spans="1:19" ht="14.25" customHeight="1" x14ac:dyDescent="0.35">
      <c r="A751" s="6"/>
      <c r="B751" s="6"/>
      <c r="C751" s="6"/>
      <c r="D751" s="6"/>
      <c r="E751" s="7"/>
      <c r="F751" s="6"/>
      <c r="G751" s="6"/>
      <c r="H751" s="6"/>
      <c r="I751" s="6"/>
      <c r="J751" s="6"/>
      <c r="K751" s="6"/>
      <c r="L751" s="6"/>
      <c r="M751" s="6"/>
      <c r="N751" s="8"/>
      <c r="O751" s="8"/>
      <c r="P751" s="8"/>
      <c r="Q751" s="8"/>
      <c r="R751" s="9"/>
      <c r="S751" s="10"/>
    </row>
    <row r="752" spans="1:19" ht="14.25" customHeight="1" x14ac:dyDescent="0.35">
      <c r="A752" s="6"/>
      <c r="B752" s="6"/>
      <c r="C752" s="6"/>
      <c r="D752" s="6"/>
      <c r="E752" s="7"/>
      <c r="F752" s="6"/>
      <c r="G752" s="6"/>
      <c r="H752" s="6"/>
      <c r="I752" s="6"/>
      <c r="J752" s="6"/>
      <c r="K752" s="6"/>
      <c r="L752" s="6"/>
      <c r="M752" s="6"/>
      <c r="N752" s="8"/>
      <c r="O752" s="8"/>
      <c r="P752" s="8"/>
      <c r="Q752" s="8"/>
      <c r="R752" s="9"/>
      <c r="S752" s="10"/>
    </row>
    <row r="753" spans="1:19" ht="14.25" customHeight="1" x14ac:dyDescent="0.35">
      <c r="A753" s="6"/>
      <c r="B753" s="6"/>
      <c r="C753" s="6"/>
      <c r="D753" s="6"/>
      <c r="E753" s="7"/>
      <c r="F753" s="6"/>
      <c r="G753" s="6"/>
      <c r="H753" s="6"/>
      <c r="I753" s="6"/>
      <c r="J753" s="6"/>
      <c r="K753" s="6"/>
      <c r="L753" s="6"/>
      <c r="M753" s="6"/>
      <c r="N753" s="8"/>
      <c r="O753" s="8"/>
      <c r="P753" s="8"/>
      <c r="Q753" s="8"/>
      <c r="R753" s="9"/>
      <c r="S753" s="10"/>
    </row>
    <row r="754" spans="1:19" ht="14.25" customHeight="1" x14ac:dyDescent="0.35">
      <c r="A754" s="6"/>
      <c r="B754" s="6"/>
      <c r="C754" s="6"/>
      <c r="D754" s="6"/>
      <c r="E754" s="7"/>
      <c r="F754" s="6"/>
      <c r="G754" s="6"/>
      <c r="H754" s="6"/>
      <c r="I754" s="6"/>
      <c r="J754" s="6"/>
      <c r="K754" s="6"/>
      <c r="L754" s="6"/>
      <c r="M754" s="6"/>
      <c r="N754" s="8"/>
      <c r="O754" s="8"/>
      <c r="P754" s="8"/>
      <c r="Q754" s="8"/>
      <c r="R754" s="9"/>
      <c r="S754" s="10"/>
    </row>
    <row r="755" spans="1:19" ht="14.25" customHeight="1" x14ac:dyDescent="0.35">
      <c r="A755" s="6"/>
      <c r="B755" s="6"/>
      <c r="C755" s="6"/>
      <c r="D755" s="6"/>
      <c r="E755" s="7"/>
      <c r="F755" s="6"/>
      <c r="G755" s="6"/>
      <c r="H755" s="6"/>
      <c r="I755" s="6"/>
      <c r="J755" s="6"/>
      <c r="K755" s="6"/>
      <c r="L755" s="6"/>
      <c r="M755" s="6"/>
      <c r="N755" s="8"/>
      <c r="O755" s="8"/>
      <c r="P755" s="8"/>
      <c r="Q755" s="8"/>
      <c r="R755" s="9"/>
      <c r="S755" s="10"/>
    </row>
    <row r="756" spans="1:19" ht="14.25" customHeight="1" x14ac:dyDescent="0.35">
      <c r="A756" s="6"/>
      <c r="B756" s="6"/>
      <c r="C756" s="6"/>
      <c r="D756" s="6"/>
      <c r="E756" s="7"/>
      <c r="F756" s="6"/>
      <c r="G756" s="6"/>
      <c r="H756" s="6"/>
      <c r="I756" s="6"/>
      <c r="J756" s="6"/>
      <c r="K756" s="6"/>
      <c r="L756" s="6"/>
      <c r="M756" s="6"/>
      <c r="N756" s="8"/>
      <c r="O756" s="8"/>
      <c r="P756" s="8"/>
      <c r="Q756" s="8"/>
      <c r="R756" s="9"/>
      <c r="S756" s="10"/>
    </row>
    <row r="757" spans="1:19" ht="14.25" customHeight="1" x14ac:dyDescent="0.35">
      <c r="A757" s="6"/>
      <c r="B757" s="6"/>
      <c r="C757" s="6"/>
      <c r="D757" s="6"/>
      <c r="E757" s="7"/>
      <c r="F757" s="6"/>
      <c r="G757" s="6"/>
      <c r="H757" s="6"/>
      <c r="I757" s="6"/>
      <c r="J757" s="6"/>
      <c r="K757" s="6"/>
      <c r="L757" s="6"/>
      <c r="M757" s="6"/>
      <c r="N757" s="8"/>
      <c r="O757" s="8"/>
      <c r="P757" s="8"/>
      <c r="Q757" s="8"/>
      <c r="R757" s="9"/>
      <c r="S757" s="10"/>
    </row>
    <row r="758" spans="1:19" ht="14.25" customHeight="1" x14ac:dyDescent="0.35">
      <c r="A758" s="6"/>
      <c r="B758" s="6"/>
      <c r="C758" s="6"/>
      <c r="D758" s="6"/>
      <c r="E758" s="7"/>
      <c r="F758" s="6"/>
      <c r="G758" s="6"/>
      <c r="H758" s="6"/>
      <c r="I758" s="6"/>
      <c r="J758" s="6"/>
      <c r="K758" s="6"/>
      <c r="L758" s="6"/>
      <c r="M758" s="6"/>
      <c r="N758" s="8"/>
      <c r="O758" s="8"/>
      <c r="P758" s="8"/>
      <c r="Q758" s="8"/>
      <c r="R758" s="9"/>
      <c r="S758" s="10"/>
    </row>
    <row r="759" spans="1:19" ht="14.25" customHeight="1" x14ac:dyDescent="0.35">
      <c r="A759" s="6"/>
      <c r="B759" s="6"/>
      <c r="C759" s="6"/>
      <c r="D759" s="6"/>
      <c r="E759" s="7"/>
      <c r="F759" s="6"/>
      <c r="G759" s="6"/>
      <c r="H759" s="6"/>
      <c r="I759" s="6"/>
      <c r="J759" s="6"/>
      <c r="K759" s="6"/>
      <c r="L759" s="6"/>
      <c r="M759" s="6"/>
      <c r="N759" s="8"/>
      <c r="O759" s="8"/>
      <c r="P759" s="8"/>
      <c r="Q759" s="8"/>
      <c r="R759" s="9"/>
      <c r="S759" s="10"/>
    </row>
    <row r="760" spans="1:19" ht="14.25" customHeight="1" x14ac:dyDescent="0.35">
      <c r="A760" s="6"/>
      <c r="B760" s="6"/>
      <c r="C760" s="6"/>
      <c r="D760" s="6"/>
      <c r="E760" s="7"/>
      <c r="F760" s="6"/>
      <c r="G760" s="6"/>
      <c r="H760" s="6"/>
      <c r="I760" s="6"/>
      <c r="J760" s="6"/>
      <c r="K760" s="6"/>
      <c r="L760" s="6"/>
      <c r="M760" s="6"/>
      <c r="N760" s="8"/>
      <c r="O760" s="8"/>
      <c r="P760" s="8"/>
      <c r="Q760" s="8"/>
      <c r="R760" s="9"/>
      <c r="S760" s="10"/>
    </row>
    <row r="761" spans="1:19" ht="14.25" customHeight="1" x14ac:dyDescent="0.35">
      <c r="A761" s="6"/>
      <c r="B761" s="6"/>
      <c r="C761" s="6"/>
      <c r="D761" s="6"/>
      <c r="E761" s="7"/>
      <c r="F761" s="6"/>
      <c r="G761" s="6"/>
      <c r="H761" s="6"/>
      <c r="I761" s="6"/>
      <c r="J761" s="6"/>
      <c r="K761" s="6"/>
      <c r="L761" s="6"/>
      <c r="M761" s="6"/>
      <c r="N761" s="8"/>
      <c r="O761" s="8"/>
      <c r="P761" s="8"/>
      <c r="Q761" s="8"/>
      <c r="R761" s="9"/>
      <c r="S761" s="10"/>
    </row>
    <row r="762" spans="1:19" ht="14.25" customHeight="1" x14ac:dyDescent="0.35">
      <c r="A762" s="6"/>
      <c r="B762" s="6"/>
      <c r="C762" s="6"/>
      <c r="D762" s="6"/>
      <c r="E762" s="7"/>
      <c r="F762" s="6"/>
      <c r="G762" s="6"/>
      <c r="H762" s="6"/>
      <c r="I762" s="6"/>
      <c r="J762" s="6"/>
      <c r="K762" s="6"/>
      <c r="L762" s="6"/>
      <c r="M762" s="6"/>
      <c r="N762" s="8"/>
      <c r="O762" s="8"/>
      <c r="P762" s="8"/>
      <c r="Q762" s="8"/>
      <c r="R762" s="9"/>
      <c r="S762" s="10"/>
    </row>
    <row r="763" spans="1:19" ht="14.25" customHeight="1" x14ac:dyDescent="0.35">
      <c r="A763" s="6"/>
      <c r="B763" s="6"/>
      <c r="C763" s="6"/>
      <c r="D763" s="6"/>
      <c r="E763" s="7"/>
      <c r="F763" s="6"/>
      <c r="G763" s="6"/>
      <c r="H763" s="6"/>
      <c r="I763" s="6"/>
      <c r="J763" s="6"/>
      <c r="K763" s="6"/>
      <c r="L763" s="6"/>
      <c r="M763" s="6"/>
      <c r="N763" s="8"/>
      <c r="O763" s="8"/>
      <c r="P763" s="8"/>
      <c r="Q763" s="8"/>
      <c r="R763" s="9"/>
      <c r="S763" s="10"/>
    </row>
    <row r="764" spans="1:19" ht="14.25" customHeight="1" x14ac:dyDescent="0.35">
      <c r="A764" s="6"/>
      <c r="B764" s="6"/>
      <c r="C764" s="6"/>
      <c r="D764" s="6"/>
      <c r="E764" s="7"/>
      <c r="F764" s="6"/>
      <c r="G764" s="6"/>
      <c r="H764" s="6"/>
      <c r="I764" s="6"/>
      <c r="J764" s="6"/>
      <c r="K764" s="6"/>
      <c r="L764" s="6"/>
      <c r="M764" s="6"/>
      <c r="N764" s="8"/>
      <c r="O764" s="8"/>
      <c r="P764" s="8"/>
      <c r="Q764" s="8"/>
      <c r="R764" s="9"/>
      <c r="S764" s="10"/>
    </row>
    <row r="765" spans="1:19" ht="14.25" customHeight="1" x14ac:dyDescent="0.35">
      <c r="A765" s="6"/>
      <c r="B765" s="6"/>
      <c r="C765" s="6"/>
      <c r="D765" s="6"/>
      <c r="E765" s="7"/>
      <c r="F765" s="6"/>
      <c r="G765" s="6"/>
      <c r="H765" s="6"/>
      <c r="I765" s="6"/>
      <c r="J765" s="6"/>
      <c r="K765" s="6"/>
      <c r="L765" s="6"/>
      <c r="M765" s="6"/>
      <c r="N765" s="8"/>
      <c r="O765" s="8"/>
      <c r="P765" s="8"/>
      <c r="Q765" s="8"/>
      <c r="R765" s="9"/>
      <c r="S765" s="10"/>
    </row>
    <row r="766" spans="1:19" ht="14.25" customHeight="1" x14ac:dyDescent="0.35">
      <c r="A766" s="6"/>
      <c r="B766" s="6"/>
      <c r="C766" s="6"/>
      <c r="D766" s="6"/>
      <c r="E766" s="7"/>
      <c r="F766" s="6"/>
      <c r="G766" s="6"/>
      <c r="H766" s="6"/>
      <c r="I766" s="6"/>
      <c r="J766" s="6"/>
      <c r="K766" s="6"/>
      <c r="L766" s="6"/>
      <c r="M766" s="6"/>
      <c r="N766" s="8"/>
      <c r="O766" s="8"/>
      <c r="P766" s="8"/>
      <c r="Q766" s="8"/>
      <c r="R766" s="9"/>
      <c r="S766" s="10"/>
    </row>
    <row r="767" spans="1:19" ht="14.25" customHeight="1" x14ac:dyDescent="0.35">
      <c r="A767" s="6"/>
      <c r="B767" s="6"/>
      <c r="C767" s="6"/>
      <c r="D767" s="6"/>
      <c r="E767" s="7"/>
      <c r="F767" s="6"/>
      <c r="G767" s="6"/>
      <c r="H767" s="6"/>
      <c r="I767" s="6"/>
      <c r="J767" s="6"/>
      <c r="K767" s="6"/>
      <c r="L767" s="6"/>
      <c r="M767" s="6"/>
      <c r="N767" s="8"/>
      <c r="O767" s="8"/>
      <c r="P767" s="8"/>
      <c r="Q767" s="8"/>
      <c r="R767" s="9"/>
      <c r="S767" s="10"/>
    </row>
    <row r="768" spans="1:19" ht="14.25" customHeight="1" x14ac:dyDescent="0.35">
      <c r="A768" s="6"/>
      <c r="B768" s="6"/>
      <c r="C768" s="6"/>
      <c r="D768" s="6"/>
      <c r="E768" s="7"/>
      <c r="F768" s="6"/>
      <c r="G768" s="6"/>
      <c r="H768" s="6"/>
      <c r="I768" s="6"/>
      <c r="J768" s="6"/>
      <c r="K768" s="6"/>
      <c r="L768" s="6"/>
      <c r="M768" s="6"/>
      <c r="N768" s="8"/>
      <c r="O768" s="8"/>
      <c r="P768" s="8"/>
      <c r="Q768" s="8"/>
      <c r="R768" s="9"/>
      <c r="S768" s="10"/>
    </row>
    <row r="769" spans="1:19" ht="14.25" customHeight="1" x14ac:dyDescent="0.35">
      <c r="A769" s="6"/>
      <c r="B769" s="6"/>
      <c r="C769" s="6"/>
      <c r="D769" s="6"/>
      <c r="E769" s="7"/>
      <c r="F769" s="6"/>
      <c r="G769" s="6"/>
      <c r="H769" s="6"/>
      <c r="I769" s="6"/>
      <c r="J769" s="6"/>
      <c r="K769" s="6"/>
      <c r="L769" s="6"/>
      <c r="M769" s="6"/>
      <c r="N769" s="8"/>
      <c r="O769" s="8"/>
      <c r="P769" s="8"/>
      <c r="Q769" s="8"/>
      <c r="R769" s="9"/>
      <c r="S769" s="10"/>
    </row>
    <row r="770" spans="1:19" ht="14.25" customHeight="1" x14ac:dyDescent="0.35">
      <c r="A770" s="6"/>
      <c r="B770" s="6"/>
      <c r="C770" s="6"/>
      <c r="D770" s="6"/>
      <c r="E770" s="7"/>
      <c r="F770" s="6"/>
      <c r="G770" s="6"/>
      <c r="H770" s="6"/>
      <c r="I770" s="6"/>
      <c r="J770" s="6"/>
      <c r="K770" s="6"/>
      <c r="L770" s="6"/>
      <c r="M770" s="6"/>
      <c r="N770" s="8"/>
      <c r="O770" s="8"/>
      <c r="P770" s="8"/>
      <c r="Q770" s="8"/>
      <c r="R770" s="9"/>
      <c r="S770" s="10"/>
    </row>
    <row r="771" spans="1:19" ht="14.25" customHeight="1" x14ac:dyDescent="0.35">
      <c r="A771" s="6"/>
      <c r="B771" s="6"/>
      <c r="C771" s="6"/>
      <c r="D771" s="6"/>
      <c r="E771" s="7"/>
      <c r="F771" s="6"/>
      <c r="G771" s="6"/>
      <c r="H771" s="6"/>
      <c r="I771" s="6"/>
      <c r="J771" s="6"/>
      <c r="K771" s="6"/>
      <c r="L771" s="6"/>
      <c r="M771" s="6"/>
      <c r="N771" s="8"/>
      <c r="O771" s="8"/>
      <c r="P771" s="8"/>
      <c r="Q771" s="8"/>
      <c r="R771" s="9"/>
      <c r="S771" s="10"/>
    </row>
    <row r="772" spans="1:19" ht="14.25" customHeight="1" x14ac:dyDescent="0.35">
      <c r="A772" s="6"/>
      <c r="B772" s="6"/>
      <c r="C772" s="6"/>
      <c r="D772" s="6"/>
      <c r="E772" s="7"/>
      <c r="F772" s="6"/>
      <c r="G772" s="6"/>
      <c r="H772" s="6"/>
      <c r="I772" s="6"/>
      <c r="J772" s="6"/>
      <c r="K772" s="6"/>
      <c r="L772" s="6"/>
      <c r="M772" s="6"/>
      <c r="N772" s="8"/>
      <c r="O772" s="8"/>
      <c r="P772" s="8"/>
      <c r="Q772" s="8"/>
      <c r="R772" s="9"/>
      <c r="S772" s="10"/>
    </row>
    <row r="773" spans="1:19" ht="14.25" customHeight="1" x14ac:dyDescent="0.35">
      <c r="A773" s="6"/>
      <c r="B773" s="6"/>
      <c r="C773" s="6"/>
      <c r="D773" s="6"/>
      <c r="E773" s="7"/>
      <c r="F773" s="6"/>
      <c r="G773" s="6"/>
      <c r="H773" s="6"/>
      <c r="I773" s="6"/>
      <c r="J773" s="6"/>
      <c r="K773" s="6"/>
      <c r="L773" s="6"/>
      <c r="M773" s="6"/>
      <c r="N773" s="8"/>
      <c r="O773" s="8"/>
      <c r="P773" s="8"/>
      <c r="Q773" s="8"/>
      <c r="R773" s="9"/>
      <c r="S773" s="10"/>
    </row>
    <row r="774" spans="1:19" ht="14.25" customHeight="1" x14ac:dyDescent="0.35">
      <c r="A774" s="6"/>
      <c r="B774" s="6"/>
      <c r="C774" s="6"/>
      <c r="D774" s="6"/>
      <c r="E774" s="7"/>
      <c r="F774" s="6"/>
      <c r="G774" s="6"/>
      <c r="H774" s="6"/>
      <c r="I774" s="6"/>
      <c r="J774" s="6"/>
      <c r="K774" s="6"/>
      <c r="L774" s="6"/>
      <c r="M774" s="6"/>
      <c r="N774" s="8"/>
      <c r="O774" s="8"/>
      <c r="P774" s="8"/>
      <c r="Q774" s="8"/>
      <c r="R774" s="9"/>
      <c r="S774" s="10"/>
    </row>
    <row r="775" spans="1:19" ht="14.25" customHeight="1" x14ac:dyDescent="0.35">
      <c r="A775" s="6"/>
      <c r="B775" s="6"/>
      <c r="C775" s="6"/>
      <c r="D775" s="6"/>
      <c r="E775" s="7"/>
      <c r="F775" s="6"/>
      <c r="G775" s="6"/>
      <c r="H775" s="6"/>
      <c r="I775" s="6"/>
      <c r="J775" s="6"/>
      <c r="K775" s="6"/>
      <c r="L775" s="6"/>
      <c r="M775" s="6"/>
      <c r="N775" s="8"/>
      <c r="O775" s="8"/>
      <c r="P775" s="8"/>
      <c r="Q775" s="8"/>
      <c r="R775" s="9"/>
      <c r="S775" s="10"/>
    </row>
    <row r="776" spans="1:19" ht="14.25" customHeight="1" x14ac:dyDescent="0.35">
      <c r="A776" s="6"/>
      <c r="B776" s="6"/>
      <c r="C776" s="6"/>
      <c r="D776" s="6"/>
      <c r="E776" s="7"/>
      <c r="F776" s="6"/>
      <c r="G776" s="6"/>
      <c r="H776" s="6"/>
      <c r="I776" s="6"/>
      <c r="J776" s="6"/>
      <c r="K776" s="6"/>
      <c r="L776" s="6"/>
      <c r="M776" s="6"/>
      <c r="N776" s="8"/>
      <c r="O776" s="8"/>
      <c r="P776" s="8"/>
      <c r="Q776" s="8"/>
      <c r="R776" s="9"/>
      <c r="S776" s="10"/>
    </row>
    <row r="777" spans="1:19" ht="14.25" customHeight="1" x14ac:dyDescent="0.35">
      <c r="A777" s="6"/>
      <c r="B777" s="6"/>
      <c r="C777" s="6"/>
      <c r="D777" s="6"/>
      <c r="E777" s="7"/>
      <c r="F777" s="6"/>
      <c r="G777" s="6"/>
      <c r="H777" s="6"/>
      <c r="I777" s="6"/>
      <c r="J777" s="6"/>
      <c r="K777" s="6"/>
      <c r="L777" s="6"/>
      <c r="M777" s="6"/>
      <c r="N777" s="8"/>
      <c r="O777" s="8"/>
      <c r="P777" s="8"/>
      <c r="Q777" s="8"/>
      <c r="R777" s="9"/>
      <c r="S777" s="10"/>
    </row>
    <row r="778" spans="1:19" ht="14.25" customHeight="1" x14ac:dyDescent="0.35">
      <c r="A778" s="6"/>
      <c r="B778" s="6"/>
      <c r="C778" s="6"/>
      <c r="D778" s="6"/>
      <c r="E778" s="7"/>
      <c r="F778" s="6"/>
      <c r="G778" s="6"/>
      <c r="H778" s="6"/>
      <c r="I778" s="6"/>
      <c r="J778" s="6"/>
      <c r="K778" s="6"/>
      <c r="L778" s="6"/>
      <c r="M778" s="6"/>
      <c r="N778" s="8"/>
      <c r="O778" s="8"/>
      <c r="P778" s="8"/>
      <c r="Q778" s="8"/>
      <c r="R778" s="9"/>
      <c r="S778" s="10"/>
    </row>
    <row r="779" spans="1:19" ht="14.25" customHeight="1" x14ac:dyDescent="0.35">
      <c r="A779" s="6"/>
      <c r="B779" s="6"/>
      <c r="C779" s="6"/>
      <c r="D779" s="6"/>
      <c r="E779" s="7"/>
      <c r="F779" s="6"/>
      <c r="G779" s="6"/>
      <c r="H779" s="6"/>
      <c r="I779" s="6"/>
      <c r="J779" s="6"/>
      <c r="K779" s="6"/>
      <c r="L779" s="6"/>
      <c r="M779" s="6"/>
      <c r="N779" s="8"/>
      <c r="O779" s="8"/>
      <c r="P779" s="8"/>
      <c r="Q779" s="8"/>
      <c r="R779" s="9"/>
      <c r="S779" s="10"/>
    </row>
    <row r="780" spans="1:19" ht="14.25" customHeight="1" x14ac:dyDescent="0.35">
      <c r="A780" s="6"/>
      <c r="B780" s="6"/>
      <c r="C780" s="6"/>
      <c r="D780" s="6"/>
      <c r="E780" s="7"/>
      <c r="F780" s="6"/>
      <c r="G780" s="6"/>
      <c r="H780" s="6"/>
      <c r="I780" s="6"/>
      <c r="J780" s="6"/>
      <c r="K780" s="6"/>
      <c r="L780" s="6"/>
      <c r="M780" s="6"/>
      <c r="N780" s="8"/>
      <c r="O780" s="8"/>
      <c r="P780" s="8"/>
      <c r="Q780" s="8"/>
      <c r="R780" s="9"/>
      <c r="S780" s="10"/>
    </row>
    <row r="781" spans="1:19" ht="14.25" customHeight="1" x14ac:dyDescent="0.35">
      <c r="A781" s="6"/>
      <c r="B781" s="6"/>
      <c r="C781" s="6"/>
      <c r="D781" s="6"/>
      <c r="E781" s="7"/>
      <c r="F781" s="6"/>
      <c r="G781" s="6"/>
      <c r="H781" s="6"/>
      <c r="I781" s="6"/>
      <c r="J781" s="6"/>
      <c r="K781" s="6"/>
      <c r="L781" s="6"/>
      <c r="M781" s="6"/>
      <c r="N781" s="8"/>
      <c r="O781" s="8"/>
      <c r="P781" s="8"/>
      <c r="Q781" s="8"/>
      <c r="R781" s="9"/>
      <c r="S781" s="10"/>
    </row>
    <row r="782" spans="1:19" ht="14.25" customHeight="1" x14ac:dyDescent="0.35">
      <c r="A782" s="6"/>
      <c r="B782" s="6"/>
      <c r="C782" s="6"/>
      <c r="D782" s="6"/>
      <c r="E782" s="7"/>
      <c r="F782" s="6"/>
      <c r="G782" s="6"/>
      <c r="H782" s="6"/>
      <c r="I782" s="6"/>
      <c r="J782" s="6"/>
      <c r="K782" s="6"/>
      <c r="L782" s="6"/>
      <c r="M782" s="6"/>
      <c r="N782" s="8"/>
      <c r="O782" s="8"/>
      <c r="P782" s="8"/>
      <c r="Q782" s="8"/>
      <c r="R782" s="9"/>
      <c r="S782" s="10"/>
    </row>
    <row r="783" spans="1:19" ht="14.25" customHeight="1" x14ac:dyDescent="0.35">
      <c r="A783" s="6"/>
      <c r="B783" s="6"/>
      <c r="C783" s="6"/>
      <c r="D783" s="6"/>
      <c r="E783" s="7"/>
      <c r="F783" s="6"/>
      <c r="G783" s="6"/>
      <c r="H783" s="6"/>
      <c r="I783" s="6"/>
      <c r="J783" s="6"/>
      <c r="K783" s="6"/>
      <c r="L783" s="6"/>
      <c r="M783" s="6"/>
      <c r="N783" s="8"/>
      <c r="O783" s="8"/>
      <c r="P783" s="8"/>
      <c r="Q783" s="8"/>
      <c r="R783" s="9"/>
      <c r="S783" s="10"/>
    </row>
    <row r="784" spans="1:19" ht="14.25" customHeight="1" x14ac:dyDescent="0.35">
      <c r="A784" s="6"/>
      <c r="B784" s="6"/>
      <c r="C784" s="6"/>
      <c r="D784" s="6"/>
      <c r="E784" s="7"/>
      <c r="F784" s="6"/>
      <c r="G784" s="6"/>
      <c r="H784" s="6"/>
      <c r="I784" s="6"/>
      <c r="J784" s="6"/>
      <c r="K784" s="6"/>
      <c r="L784" s="6"/>
      <c r="M784" s="6"/>
      <c r="N784" s="8"/>
      <c r="O784" s="8"/>
      <c r="P784" s="8"/>
      <c r="Q784" s="8"/>
      <c r="R784" s="9"/>
      <c r="S784" s="10"/>
    </row>
    <row r="785" spans="1:19" ht="14.25" customHeight="1" x14ac:dyDescent="0.35">
      <c r="A785" s="6"/>
      <c r="B785" s="6"/>
      <c r="C785" s="6"/>
      <c r="D785" s="6"/>
      <c r="E785" s="7"/>
      <c r="F785" s="6"/>
      <c r="G785" s="6"/>
      <c r="H785" s="6"/>
      <c r="I785" s="6"/>
      <c r="J785" s="6"/>
      <c r="K785" s="6"/>
      <c r="L785" s="6"/>
      <c r="M785" s="6"/>
      <c r="N785" s="8"/>
      <c r="O785" s="8"/>
      <c r="P785" s="8"/>
      <c r="Q785" s="8"/>
      <c r="R785" s="9"/>
      <c r="S785" s="10"/>
    </row>
    <row r="786" spans="1:19" ht="14.25" customHeight="1" x14ac:dyDescent="0.35">
      <c r="A786" s="6"/>
      <c r="B786" s="6"/>
      <c r="C786" s="6"/>
      <c r="D786" s="6"/>
      <c r="E786" s="7"/>
      <c r="F786" s="6"/>
      <c r="G786" s="6"/>
      <c r="H786" s="6"/>
      <c r="I786" s="6"/>
      <c r="J786" s="6"/>
      <c r="K786" s="6"/>
      <c r="L786" s="6"/>
      <c r="M786" s="6"/>
      <c r="N786" s="8"/>
      <c r="O786" s="8"/>
      <c r="P786" s="8"/>
      <c r="Q786" s="8"/>
      <c r="R786" s="9"/>
      <c r="S786" s="10"/>
    </row>
    <row r="787" spans="1:19" ht="14.25" customHeight="1" x14ac:dyDescent="0.35">
      <c r="A787" s="6"/>
      <c r="B787" s="6"/>
      <c r="C787" s="6"/>
      <c r="D787" s="6"/>
      <c r="E787" s="7"/>
      <c r="F787" s="6"/>
      <c r="G787" s="6"/>
      <c r="H787" s="6"/>
      <c r="I787" s="6"/>
      <c r="J787" s="6"/>
      <c r="K787" s="6"/>
      <c r="L787" s="6"/>
      <c r="M787" s="6"/>
      <c r="N787" s="8"/>
      <c r="O787" s="8"/>
      <c r="P787" s="8"/>
      <c r="Q787" s="8"/>
      <c r="R787" s="9"/>
      <c r="S787" s="10"/>
    </row>
    <row r="788" spans="1:19" ht="14.25" customHeight="1" x14ac:dyDescent="0.35">
      <c r="A788" s="6"/>
      <c r="B788" s="6"/>
      <c r="C788" s="6"/>
      <c r="D788" s="6"/>
      <c r="E788" s="7"/>
      <c r="F788" s="6"/>
      <c r="G788" s="6"/>
      <c r="H788" s="6"/>
      <c r="I788" s="6"/>
      <c r="J788" s="6"/>
      <c r="K788" s="6"/>
      <c r="L788" s="6"/>
      <c r="M788" s="6"/>
      <c r="N788" s="8"/>
      <c r="O788" s="8"/>
      <c r="P788" s="8"/>
      <c r="Q788" s="8"/>
      <c r="R788" s="9"/>
      <c r="S788" s="10"/>
    </row>
    <row r="789" spans="1:19" ht="14.25" customHeight="1" x14ac:dyDescent="0.35">
      <c r="A789" s="6"/>
      <c r="B789" s="6"/>
      <c r="C789" s="6"/>
      <c r="D789" s="6"/>
      <c r="E789" s="7"/>
      <c r="F789" s="6"/>
      <c r="G789" s="6"/>
      <c r="H789" s="6"/>
      <c r="I789" s="6"/>
      <c r="J789" s="6"/>
      <c r="K789" s="6"/>
      <c r="L789" s="6"/>
      <c r="M789" s="6"/>
      <c r="N789" s="8"/>
      <c r="O789" s="8"/>
      <c r="P789" s="8"/>
      <c r="Q789" s="8"/>
      <c r="R789" s="9"/>
      <c r="S789" s="10"/>
    </row>
    <row r="790" spans="1:19" ht="14.25" customHeight="1" x14ac:dyDescent="0.35">
      <c r="A790" s="6"/>
      <c r="B790" s="6"/>
      <c r="C790" s="6"/>
      <c r="D790" s="6"/>
      <c r="E790" s="7"/>
      <c r="F790" s="6"/>
      <c r="G790" s="6"/>
      <c r="H790" s="6"/>
      <c r="I790" s="6"/>
      <c r="J790" s="6"/>
      <c r="K790" s="6"/>
      <c r="L790" s="6"/>
      <c r="M790" s="6"/>
      <c r="N790" s="8"/>
      <c r="O790" s="8"/>
      <c r="P790" s="8"/>
      <c r="Q790" s="8"/>
      <c r="R790" s="9"/>
      <c r="S790" s="10"/>
    </row>
    <row r="791" spans="1:19" ht="14.25" customHeight="1" x14ac:dyDescent="0.35">
      <c r="A791" s="6"/>
      <c r="B791" s="6"/>
      <c r="C791" s="6"/>
      <c r="D791" s="6"/>
      <c r="E791" s="7"/>
      <c r="F791" s="6"/>
      <c r="G791" s="6"/>
      <c r="H791" s="6"/>
      <c r="I791" s="6"/>
      <c r="J791" s="6"/>
      <c r="K791" s="6"/>
      <c r="L791" s="6"/>
      <c r="M791" s="6"/>
      <c r="N791" s="8"/>
      <c r="O791" s="8"/>
      <c r="P791" s="8"/>
      <c r="Q791" s="8"/>
      <c r="R791" s="9"/>
      <c r="S791" s="10"/>
    </row>
    <row r="792" spans="1:19" ht="14.25" customHeight="1" x14ac:dyDescent="0.35">
      <c r="A792" s="6"/>
      <c r="B792" s="6"/>
      <c r="C792" s="6"/>
      <c r="D792" s="6"/>
      <c r="E792" s="7"/>
      <c r="F792" s="6"/>
      <c r="G792" s="6"/>
      <c r="H792" s="6"/>
      <c r="I792" s="6"/>
      <c r="J792" s="6"/>
      <c r="K792" s="6"/>
      <c r="L792" s="6"/>
      <c r="M792" s="6"/>
      <c r="N792" s="8"/>
      <c r="O792" s="8"/>
      <c r="P792" s="8"/>
      <c r="Q792" s="8"/>
      <c r="R792" s="9"/>
      <c r="S792" s="10"/>
    </row>
    <row r="793" spans="1:19" ht="14.25" customHeight="1" x14ac:dyDescent="0.35">
      <c r="A793" s="6"/>
      <c r="B793" s="6"/>
      <c r="C793" s="6"/>
      <c r="D793" s="6"/>
      <c r="E793" s="7"/>
      <c r="F793" s="6"/>
      <c r="G793" s="6"/>
      <c r="H793" s="6"/>
      <c r="I793" s="6"/>
      <c r="J793" s="6"/>
      <c r="K793" s="6"/>
      <c r="L793" s="6"/>
      <c r="M793" s="6"/>
      <c r="N793" s="8"/>
      <c r="O793" s="8"/>
      <c r="P793" s="8"/>
      <c r="Q793" s="8"/>
      <c r="R793" s="9"/>
      <c r="S793" s="10"/>
    </row>
    <row r="794" spans="1:19" ht="14.25" customHeight="1" x14ac:dyDescent="0.35">
      <c r="A794" s="6"/>
      <c r="B794" s="6"/>
      <c r="C794" s="6"/>
      <c r="D794" s="6"/>
      <c r="E794" s="7"/>
      <c r="F794" s="6"/>
      <c r="G794" s="6"/>
      <c r="H794" s="6"/>
      <c r="I794" s="6"/>
      <c r="J794" s="6"/>
      <c r="K794" s="6"/>
      <c r="L794" s="6"/>
      <c r="M794" s="6"/>
      <c r="N794" s="8"/>
      <c r="O794" s="8"/>
      <c r="P794" s="8"/>
      <c r="Q794" s="8"/>
      <c r="R794" s="9"/>
      <c r="S794" s="10"/>
    </row>
    <row r="795" spans="1:19" ht="14.25" customHeight="1" x14ac:dyDescent="0.35">
      <c r="A795" s="6"/>
      <c r="B795" s="6"/>
      <c r="C795" s="6"/>
      <c r="D795" s="6"/>
      <c r="E795" s="7"/>
      <c r="F795" s="6"/>
      <c r="G795" s="6"/>
      <c r="H795" s="6"/>
      <c r="I795" s="6"/>
      <c r="J795" s="6"/>
      <c r="K795" s="6"/>
      <c r="L795" s="6"/>
      <c r="M795" s="6"/>
      <c r="N795" s="8"/>
      <c r="O795" s="8"/>
      <c r="P795" s="8"/>
      <c r="Q795" s="8"/>
      <c r="R795" s="9"/>
      <c r="S795" s="10"/>
    </row>
    <row r="796" spans="1:19" ht="14.25" customHeight="1" x14ac:dyDescent="0.35">
      <c r="A796" s="6"/>
      <c r="B796" s="6"/>
      <c r="C796" s="6"/>
      <c r="D796" s="6"/>
      <c r="E796" s="7"/>
      <c r="F796" s="6"/>
      <c r="G796" s="6"/>
      <c r="H796" s="6"/>
      <c r="I796" s="6"/>
      <c r="J796" s="6"/>
      <c r="K796" s="6"/>
      <c r="L796" s="6"/>
      <c r="M796" s="6"/>
      <c r="N796" s="8"/>
      <c r="O796" s="8"/>
      <c r="P796" s="8"/>
      <c r="Q796" s="8"/>
      <c r="R796" s="9"/>
      <c r="S796" s="10"/>
    </row>
    <row r="797" spans="1:19" ht="14.25" customHeight="1" x14ac:dyDescent="0.35">
      <c r="A797" s="6"/>
      <c r="B797" s="6"/>
      <c r="C797" s="6"/>
      <c r="D797" s="6"/>
      <c r="E797" s="7"/>
      <c r="F797" s="6"/>
      <c r="G797" s="6"/>
      <c r="H797" s="6"/>
      <c r="I797" s="6"/>
      <c r="J797" s="6"/>
      <c r="K797" s="6"/>
      <c r="L797" s="6"/>
      <c r="M797" s="6"/>
      <c r="N797" s="8"/>
      <c r="O797" s="8"/>
      <c r="P797" s="8"/>
      <c r="Q797" s="8"/>
      <c r="R797" s="9"/>
      <c r="S797" s="10"/>
    </row>
    <row r="798" spans="1:19" ht="14.25" customHeight="1" x14ac:dyDescent="0.35">
      <c r="A798" s="6"/>
      <c r="B798" s="6"/>
      <c r="C798" s="6"/>
      <c r="D798" s="6"/>
      <c r="E798" s="7"/>
      <c r="F798" s="6"/>
      <c r="G798" s="6"/>
      <c r="H798" s="6"/>
      <c r="I798" s="6"/>
      <c r="J798" s="6"/>
      <c r="K798" s="6"/>
      <c r="L798" s="6"/>
      <c r="M798" s="6"/>
      <c r="N798" s="8"/>
      <c r="O798" s="8"/>
      <c r="P798" s="8"/>
      <c r="Q798" s="8"/>
      <c r="R798" s="9"/>
      <c r="S798" s="10"/>
    </row>
    <row r="799" spans="1:19" ht="14.25" customHeight="1" x14ac:dyDescent="0.35">
      <c r="A799" s="6"/>
      <c r="B799" s="6"/>
      <c r="C799" s="6"/>
      <c r="D799" s="6"/>
      <c r="E799" s="7"/>
      <c r="F799" s="6"/>
      <c r="G799" s="6"/>
      <c r="H799" s="6"/>
      <c r="I799" s="6"/>
      <c r="J799" s="6"/>
      <c r="K799" s="6"/>
      <c r="L799" s="6"/>
      <c r="M799" s="6"/>
      <c r="N799" s="8"/>
      <c r="O799" s="8"/>
      <c r="P799" s="8"/>
      <c r="Q799" s="8"/>
      <c r="R799" s="9"/>
      <c r="S799" s="10"/>
    </row>
    <row r="800" spans="1:19" ht="14.25" customHeight="1" x14ac:dyDescent="0.35">
      <c r="A800" s="6"/>
      <c r="B800" s="6"/>
      <c r="C800" s="6"/>
      <c r="D800" s="6"/>
      <c r="E800" s="7"/>
      <c r="F800" s="6"/>
      <c r="G800" s="6"/>
      <c r="H800" s="6"/>
      <c r="I800" s="6"/>
      <c r="J800" s="6"/>
      <c r="K800" s="6"/>
      <c r="L800" s="6"/>
      <c r="M800" s="6"/>
      <c r="N800" s="8"/>
      <c r="O800" s="8"/>
      <c r="P800" s="8"/>
      <c r="Q800" s="8"/>
      <c r="R800" s="9"/>
      <c r="S800" s="10"/>
    </row>
    <row r="801" spans="1:19" ht="14.25" customHeight="1" x14ac:dyDescent="0.35">
      <c r="A801" s="6"/>
      <c r="B801" s="6"/>
      <c r="C801" s="6"/>
      <c r="D801" s="6"/>
      <c r="E801" s="7"/>
      <c r="F801" s="6"/>
      <c r="G801" s="6"/>
      <c r="H801" s="6"/>
      <c r="J801" s="6"/>
      <c r="K801" s="6"/>
      <c r="L801" s="6"/>
      <c r="M801" s="6"/>
      <c r="N801" s="8"/>
      <c r="O801" s="8"/>
      <c r="P801" s="8"/>
      <c r="Q801" s="8"/>
      <c r="R801" s="9"/>
      <c r="S801" s="10"/>
    </row>
    <row r="802" spans="1:19" ht="14.25" customHeight="1" x14ac:dyDescent="0.35">
      <c r="A802" s="6"/>
      <c r="B802" s="6"/>
      <c r="C802" s="6"/>
      <c r="D802" s="6"/>
      <c r="E802" s="7"/>
      <c r="F802" s="6"/>
      <c r="G802" s="6"/>
      <c r="H802" s="6"/>
      <c r="I802" s="6"/>
      <c r="J802" s="6"/>
      <c r="K802" s="6"/>
      <c r="L802" s="6"/>
      <c r="M802" s="6"/>
      <c r="N802" s="8"/>
      <c r="O802" s="8"/>
      <c r="P802" s="8"/>
      <c r="Q802" s="8"/>
      <c r="R802" s="9"/>
      <c r="S802" s="10"/>
    </row>
    <row r="803" spans="1:19" ht="14.25" customHeight="1" x14ac:dyDescent="0.35">
      <c r="A803" s="6"/>
      <c r="B803" s="6"/>
      <c r="C803" s="6"/>
      <c r="D803" s="6"/>
      <c r="E803" s="7"/>
      <c r="F803" s="6"/>
      <c r="G803" s="6"/>
      <c r="H803" s="6"/>
      <c r="I803" s="6"/>
      <c r="J803" s="6"/>
      <c r="K803" s="6"/>
      <c r="L803" s="6"/>
      <c r="M803" s="6"/>
      <c r="N803" s="8"/>
      <c r="O803" s="8"/>
      <c r="P803" s="8"/>
      <c r="Q803" s="8"/>
      <c r="R803" s="9"/>
      <c r="S803" s="10"/>
    </row>
    <row r="804" spans="1:19" ht="14.25" customHeight="1" x14ac:dyDescent="0.35">
      <c r="A804" s="6"/>
      <c r="B804" s="6"/>
      <c r="C804" s="6"/>
      <c r="D804" s="6"/>
      <c r="E804" s="7"/>
      <c r="F804" s="6"/>
      <c r="G804" s="6"/>
      <c r="H804" s="6"/>
      <c r="I804" s="6"/>
      <c r="J804" s="6"/>
      <c r="K804" s="6"/>
      <c r="L804" s="6"/>
      <c r="M804" s="6"/>
      <c r="N804" s="8"/>
      <c r="O804" s="8"/>
      <c r="P804" s="8"/>
      <c r="Q804" s="8"/>
      <c r="R804" s="9"/>
      <c r="S804" s="10"/>
    </row>
    <row r="805" spans="1:19" ht="14.25" customHeight="1" x14ac:dyDescent="0.35">
      <c r="A805" s="6"/>
      <c r="B805" s="6"/>
      <c r="C805" s="6"/>
      <c r="D805" s="6"/>
      <c r="E805" s="7"/>
      <c r="F805" s="6"/>
      <c r="G805" s="6"/>
      <c r="H805" s="6"/>
      <c r="I805" s="6"/>
      <c r="J805" s="6"/>
      <c r="K805" s="6"/>
      <c r="L805" s="6"/>
      <c r="M805" s="6"/>
      <c r="N805" s="8"/>
      <c r="O805" s="8"/>
      <c r="P805" s="8"/>
      <c r="Q805" s="8"/>
      <c r="R805" s="9"/>
      <c r="S805" s="10"/>
    </row>
    <row r="806" spans="1:19" ht="14.25" customHeight="1" x14ac:dyDescent="0.35">
      <c r="A806" s="6"/>
      <c r="B806" s="6"/>
      <c r="C806" s="6"/>
      <c r="D806" s="6"/>
      <c r="E806" s="7"/>
      <c r="F806" s="6"/>
      <c r="G806" s="6"/>
      <c r="H806" s="6"/>
      <c r="I806" s="6"/>
      <c r="J806" s="6"/>
      <c r="K806" s="6"/>
      <c r="L806" s="6"/>
      <c r="M806" s="6"/>
      <c r="N806" s="8"/>
      <c r="O806" s="8"/>
      <c r="P806" s="8"/>
      <c r="Q806" s="8"/>
      <c r="R806" s="9"/>
      <c r="S806" s="10"/>
    </row>
    <row r="807" spans="1:19" ht="14.25" customHeight="1" x14ac:dyDescent="0.35">
      <c r="A807" s="6"/>
      <c r="B807" s="6"/>
      <c r="C807" s="6"/>
      <c r="D807" s="6"/>
      <c r="E807" s="7"/>
      <c r="F807" s="6"/>
      <c r="G807" s="6"/>
      <c r="H807" s="6"/>
      <c r="I807" s="6"/>
      <c r="J807" s="6"/>
      <c r="K807" s="6"/>
      <c r="L807" s="6"/>
      <c r="M807" s="6"/>
      <c r="N807" s="8"/>
      <c r="O807" s="8"/>
      <c r="P807" s="8"/>
      <c r="Q807" s="8"/>
      <c r="R807" s="9"/>
      <c r="S807" s="10"/>
    </row>
    <row r="808" spans="1:19" ht="14.25" customHeight="1" x14ac:dyDescent="0.35">
      <c r="A808" s="6"/>
      <c r="B808" s="6"/>
      <c r="C808" s="6"/>
      <c r="D808" s="6"/>
      <c r="E808" s="7"/>
      <c r="F808" s="6"/>
      <c r="G808" s="6"/>
      <c r="H808" s="6"/>
      <c r="I808" s="6"/>
      <c r="J808" s="6"/>
      <c r="K808" s="6"/>
      <c r="L808" s="6"/>
      <c r="M808" s="6"/>
      <c r="N808" s="8"/>
      <c r="O808" s="8"/>
      <c r="P808" s="8"/>
      <c r="Q808" s="8"/>
      <c r="R808" s="9"/>
      <c r="S808" s="10"/>
    </row>
    <row r="809" spans="1:19" ht="14.25" customHeight="1" x14ac:dyDescent="0.35">
      <c r="A809" s="6"/>
      <c r="B809" s="6"/>
      <c r="C809" s="6"/>
      <c r="D809" s="6"/>
      <c r="E809" s="7"/>
      <c r="F809" s="6"/>
      <c r="G809" s="6"/>
      <c r="H809" s="6"/>
      <c r="I809" s="6"/>
      <c r="J809" s="6"/>
      <c r="K809" s="6"/>
      <c r="L809" s="6"/>
      <c r="M809" s="6"/>
      <c r="N809" s="8"/>
      <c r="O809" s="8"/>
      <c r="P809" s="8"/>
      <c r="Q809" s="8"/>
      <c r="R809" s="9"/>
      <c r="S809" s="10"/>
    </row>
    <row r="810" spans="1:19" ht="14.25" customHeight="1" x14ac:dyDescent="0.35">
      <c r="A810" s="6"/>
      <c r="B810" s="6"/>
      <c r="C810" s="6"/>
      <c r="D810" s="6"/>
      <c r="E810" s="7"/>
      <c r="F810" s="6"/>
      <c r="G810" s="6"/>
      <c r="H810" s="6"/>
      <c r="I810" s="6"/>
      <c r="J810" s="6"/>
      <c r="K810" s="6"/>
      <c r="L810" s="6"/>
      <c r="M810" s="6"/>
      <c r="N810" s="8"/>
      <c r="O810" s="8"/>
      <c r="P810" s="8"/>
      <c r="Q810" s="8"/>
      <c r="R810" s="9"/>
      <c r="S810" s="10"/>
    </row>
    <row r="811" spans="1:19" ht="14.25" customHeight="1" x14ac:dyDescent="0.35">
      <c r="A811" s="6"/>
      <c r="B811" s="6"/>
      <c r="C811" s="6"/>
      <c r="D811" s="6"/>
      <c r="E811" s="7"/>
      <c r="F811" s="6"/>
      <c r="G811" s="6"/>
      <c r="H811" s="6"/>
      <c r="I811" s="6"/>
      <c r="J811" s="6"/>
      <c r="K811" s="6"/>
      <c r="L811" s="6"/>
      <c r="M811" s="6"/>
      <c r="N811" s="8"/>
      <c r="O811" s="8"/>
      <c r="P811" s="8"/>
      <c r="Q811" s="8"/>
      <c r="R811" s="9"/>
      <c r="S811" s="10"/>
    </row>
    <row r="812" spans="1:19" ht="14.25" customHeight="1" x14ac:dyDescent="0.35">
      <c r="A812" s="6"/>
      <c r="B812" s="6"/>
      <c r="C812" s="6"/>
      <c r="D812" s="6"/>
      <c r="E812" s="7"/>
      <c r="F812" s="6"/>
      <c r="G812" s="6"/>
      <c r="H812" s="6"/>
      <c r="I812" s="6"/>
      <c r="J812" s="6"/>
      <c r="K812" s="6"/>
      <c r="L812" s="6"/>
      <c r="M812" s="6"/>
      <c r="N812" s="8"/>
      <c r="O812" s="8"/>
      <c r="P812" s="8"/>
      <c r="Q812" s="8"/>
      <c r="R812" s="9"/>
      <c r="S812" s="10"/>
    </row>
    <row r="813" spans="1:19" ht="14.25" customHeight="1" x14ac:dyDescent="0.35">
      <c r="A813" s="6"/>
      <c r="B813" s="6"/>
      <c r="C813" s="6"/>
      <c r="D813" s="6"/>
      <c r="E813" s="7"/>
      <c r="F813" s="6"/>
      <c r="G813" s="6"/>
      <c r="H813" s="6"/>
      <c r="I813" s="6"/>
      <c r="J813" s="6"/>
      <c r="K813" s="6"/>
      <c r="L813" s="6"/>
      <c r="M813" s="6"/>
      <c r="N813" s="8"/>
      <c r="O813" s="8"/>
      <c r="P813" s="8"/>
      <c r="Q813" s="8"/>
      <c r="R813" s="9"/>
      <c r="S813" s="10"/>
    </row>
    <row r="814" spans="1:19" ht="14.25" customHeight="1" x14ac:dyDescent="0.35">
      <c r="A814" s="6"/>
      <c r="B814" s="6"/>
      <c r="C814" s="6"/>
      <c r="D814" s="6"/>
      <c r="E814" s="7"/>
      <c r="F814" s="6"/>
      <c r="G814" s="6"/>
      <c r="H814" s="6"/>
      <c r="I814" s="6"/>
      <c r="J814" s="6"/>
      <c r="K814" s="6"/>
      <c r="L814" s="6"/>
      <c r="M814" s="6"/>
      <c r="N814" s="8"/>
      <c r="O814" s="8"/>
      <c r="P814" s="8"/>
      <c r="Q814" s="8"/>
      <c r="R814" s="9"/>
      <c r="S814" s="10"/>
    </row>
    <row r="815" spans="1:19" ht="14.25" customHeight="1" x14ac:dyDescent="0.35">
      <c r="A815" s="6"/>
      <c r="B815" s="6"/>
      <c r="C815" s="6"/>
      <c r="D815" s="6"/>
      <c r="E815" s="7"/>
      <c r="F815" s="6"/>
      <c r="G815" s="6"/>
      <c r="H815" s="6"/>
      <c r="I815" s="6"/>
      <c r="J815" s="6"/>
      <c r="K815" s="6"/>
      <c r="L815" s="6"/>
      <c r="M815" s="6"/>
      <c r="N815" s="8"/>
      <c r="O815" s="8"/>
      <c r="P815" s="8"/>
      <c r="Q815" s="8"/>
      <c r="R815" s="9"/>
      <c r="S815" s="10"/>
    </row>
    <row r="816" spans="1:19" ht="14.25" customHeight="1" x14ac:dyDescent="0.35">
      <c r="A816" s="6"/>
      <c r="B816" s="6"/>
      <c r="C816" s="6"/>
      <c r="D816" s="6"/>
      <c r="E816" s="7"/>
      <c r="F816" s="6"/>
      <c r="G816" s="6"/>
      <c r="H816" s="6"/>
      <c r="I816" s="6"/>
      <c r="J816" s="6"/>
      <c r="K816" s="6"/>
      <c r="L816" s="6"/>
      <c r="M816" s="6"/>
      <c r="N816" s="8"/>
      <c r="O816" s="8"/>
      <c r="P816" s="8"/>
      <c r="Q816" s="8"/>
      <c r="R816" s="9"/>
      <c r="S816" s="10"/>
    </row>
    <row r="817" spans="1:22" ht="14.25" customHeight="1" x14ac:dyDescent="0.35">
      <c r="A817" s="6"/>
      <c r="B817" s="6"/>
      <c r="C817" s="6"/>
      <c r="D817" s="6"/>
      <c r="E817" s="7"/>
      <c r="F817" s="6"/>
      <c r="G817" s="6"/>
      <c r="H817" s="6"/>
      <c r="I817" s="6"/>
      <c r="J817" s="6"/>
      <c r="K817" s="6"/>
      <c r="L817" s="6"/>
      <c r="M817" s="6"/>
      <c r="N817" s="8"/>
      <c r="O817" s="8"/>
      <c r="P817" s="8"/>
      <c r="Q817" s="8"/>
      <c r="R817" s="9"/>
      <c r="S817" s="10"/>
    </row>
    <row r="818" spans="1:22" ht="14.25" customHeight="1" x14ac:dyDescent="0.35">
      <c r="A818" s="6"/>
      <c r="B818" s="6"/>
      <c r="C818" s="6"/>
      <c r="D818" s="6"/>
      <c r="E818" s="7"/>
      <c r="F818" s="6"/>
      <c r="G818" s="6"/>
      <c r="H818" s="6"/>
      <c r="I818" s="6"/>
      <c r="J818" s="6"/>
      <c r="K818" s="6"/>
      <c r="L818" s="6"/>
      <c r="M818" s="6"/>
      <c r="N818" s="8"/>
      <c r="O818" s="8"/>
      <c r="P818" s="8"/>
      <c r="Q818" s="8"/>
      <c r="R818" s="9"/>
      <c r="S818" s="10"/>
    </row>
    <row r="819" spans="1:22" ht="14.25" customHeight="1" x14ac:dyDescent="0.35">
      <c r="A819" s="6"/>
      <c r="B819" s="6"/>
      <c r="C819" s="6"/>
      <c r="D819" s="6"/>
      <c r="E819" s="7"/>
      <c r="F819" s="6"/>
      <c r="G819" s="6"/>
      <c r="H819" s="6"/>
      <c r="I819" s="6"/>
      <c r="J819" s="6"/>
      <c r="K819" s="6"/>
      <c r="L819" s="6"/>
      <c r="M819" s="6"/>
      <c r="N819" s="8"/>
      <c r="O819" s="8"/>
      <c r="P819" s="8"/>
      <c r="Q819" s="8"/>
      <c r="R819" s="9"/>
      <c r="S819" s="10"/>
    </row>
    <row r="820" spans="1:22" ht="14.25" customHeight="1" x14ac:dyDescent="0.35">
      <c r="A820" s="6"/>
      <c r="B820" s="6"/>
      <c r="C820" s="6"/>
      <c r="D820" s="6"/>
      <c r="E820" s="7"/>
      <c r="F820" s="6"/>
      <c r="G820" s="6"/>
      <c r="H820" s="6"/>
      <c r="I820" s="6"/>
      <c r="J820" s="6"/>
      <c r="K820" s="6"/>
      <c r="L820" s="6"/>
      <c r="M820" s="6"/>
      <c r="N820" s="8"/>
      <c r="O820" s="8"/>
      <c r="P820" s="8"/>
      <c r="Q820" s="8"/>
      <c r="R820" s="9"/>
      <c r="S820" s="10"/>
    </row>
    <row r="821" spans="1:22" ht="14.25" customHeight="1" x14ac:dyDescent="0.35">
      <c r="E821" s="7"/>
      <c r="L821" s="8"/>
      <c r="M821" s="8"/>
      <c r="N821" s="8"/>
      <c r="O821" s="8"/>
      <c r="R821" s="12"/>
      <c r="S821" s="13"/>
    </row>
    <row r="822" spans="1:22" ht="14.25" customHeight="1" x14ac:dyDescent="0.35">
      <c r="E822" s="7"/>
      <c r="L822" s="8"/>
      <c r="M822" s="8"/>
      <c r="N822" s="8"/>
      <c r="O822" s="8"/>
      <c r="P822" s="8"/>
      <c r="Q822" s="8"/>
      <c r="R822" s="8"/>
      <c r="S822" s="8"/>
      <c r="T822" s="8"/>
      <c r="U822" s="8"/>
    </row>
    <row r="823" spans="1:22" ht="15" customHeight="1" x14ac:dyDescent="0.35"/>
    <row r="824" spans="1:22" ht="15" customHeight="1" x14ac:dyDescent="0.35">
      <c r="S824" s="15"/>
    </row>
    <row r="825" spans="1:22" ht="52" customHeight="1" x14ac:dyDescent="0.35">
      <c r="S825" s="17"/>
      <c r="T825" s="18"/>
      <c r="V825" s="15"/>
    </row>
    <row r="826" spans="1:22" ht="52" customHeight="1" x14ac:dyDescent="0.35">
      <c r="S826" s="17"/>
      <c r="T826" s="18"/>
      <c r="V826" s="15"/>
    </row>
    <row r="827" spans="1:22" ht="52" customHeight="1" x14ac:dyDescent="0.35">
      <c r="S827" s="17"/>
      <c r="T827" s="18"/>
      <c r="V827" s="15"/>
    </row>
    <row r="828" spans="1:22" ht="52" customHeight="1" x14ac:dyDescent="0.35">
      <c r="S828" s="17"/>
      <c r="T828" s="14"/>
      <c r="V828" s="15"/>
    </row>
    <row r="829" spans="1:22" ht="15" customHeight="1" x14ac:dyDescent="0.35">
      <c r="S829" s="17"/>
      <c r="V829" s="14"/>
    </row>
    <row r="830" spans="1:22" ht="15" customHeight="1" x14ac:dyDescent="0.35">
      <c r="S830" s="17"/>
    </row>
    <row r="831" spans="1:22" ht="15" customHeight="1" x14ac:dyDescent="0.35">
      <c r="S831" s="17"/>
    </row>
    <row r="832" spans="1:22" ht="15" customHeight="1" x14ac:dyDescent="0.35">
      <c r="S832" s="17"/>
    </row>
    <row r="833" spans="19:19" ht="15" customHeight="1" x14ac:dyDescent="0.35">
      <c r="S833" s="17"/>
    </row>
    <row r="834" spans="19:19" ht="15" customHeight="1" x14ac:dyDescent="0.35">
      <c r="S83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Phoenix &amp; CG Account List with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Donnie O'Neal</cp:lastModifiedBy>
  <dcterms:created xsi:type="dcterms:W3CDTF">2025-12-03T01:29:30Z</dcterms:created>
  <dcterms:modified xsi:type="dcterms:W3CDTF">2025-12-12T05:09:11Z</dcterms:modified>
</cp:coreProperties>
</file>