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j/Downloads/"/>
    </mc:Choice>
  </mc:AlternateContent>
  <xr:revisionPtr revIDLastSave="0" documentId="13_ncr:1_{5C7DFDCB-48FC-5949-9ACC-97FFEF6B6E53}" xr6:coauthVersionLast="47" xr6:coauthVersionMax="47" xr10:uidLastSave="{00000000-0000-0000-0000-000000000000}"/>
  <bookViews>
    <workbookView xWindow="0" yWindow="780" windowWidth="34200" windowHeight="20060" activeTab="1" xr2:uid="{00000000-000D-0000-FFFF-FFFF00000000}"/>
  </bookViews>
  <sheets>
    <sheet name="FOR SJ USE" sheetId="3" r:id="rId1"/>
    <sheet name="Pool 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5" i="3" l="1"/>
  <c r="O44" i="3"/>
  <c r="I44" i="3"/>
  <c r="C44" i="3"/>
  <c r="O42" i="3"/>
  <c r="I42" i="3"/>
  <c r="U41" i="3"/>
  <c r="U37" i="3"/>
  <c r="U47" i="3" s="1"/>
  <c r="U36" i="3"/>
  <c r="U44" i="3" s="1"/>
  <c r="O36" i="3"/>
  <c r="O47" i="3" s="1"/>
  <c r="C36" i="3"/>
  <c r="C47" i="3" s="1"/>
  <c r="U35" i="3"/>
  <c r="U43" i="3" s="1"/>
  <c r="U45" i="3" s="1"/>
  <c r="O35" i="3"/>
  <c r="O37" i="3" s="1"/>
  <c r="C35" i="3"/>
  <c r="C46" i="3" s="1"/>
  <c r="C48" i="3" s="1"/>
  <c r="Q32" i="3"/>
  <c r="O55" i="3" s="1"/>
  <c r="Z28" i="3"/>
  <c r="Z27" i="3"/>
  <c r="K27" i="3"/>
  <c r="I36" i="3" s="1"/>
  <c r="I47" i="3" s="1"/>
  <c r="E27" i="3"/>
  <c r="C55" i="3" s="1"/>
  <c r="Z24" i="3"/>
  <c r="AC14" i="3"/>
  <c r="Z57" i="3" s="1"/>
  <c r="D6" i="2"/>
  <c r="D5" i="2"/>
  <c r="D4" i="2"/>
  <c r="D3" i="2"/>
  <c r="D2" i="2"/>
  <c r="O50" i="3" l="1"/>
  <c r="Z15" i="3"/>
  <c r="O46" i="3"/>
  <c r="O48" i="3" s="1"/>
  <c r="U49" i="3"/>
  <c r="V49" i="3" s="1"/>
  <c r="C37" i="3"/>
  <c r="I35" i="3"/>
  <c r="I55" i="3"/>
  <c r="Z26" i="3" l="1"/>
  <c r="Z29" i="3" s="1"/>
  <c r="Z18" i="3"/>
  <c r="I37" i="3"/>
  <c r="I46" i="3"/>
  <c r="I48" i="3" s="1"/>
  <c r="O52" i="3"/>
  <c r="P52" i="3" s="1"/>
  <c r="C50" i="3"/>
  <c r="C52" i="3" s="1"/>
  <c r="D52" i="3" s="1"/>
  <c r="I50" i="3" l="1"/>
  <c r="I52" i="3" s="1"/>
  <c r="J52" i="3" s="1"/>
  <c r="Z31" i="3"/>
  <c r="Z33" i="3"/>
  <c r="AA33" i="3" s="1"/>
</calcChain>
</file>

<file path=xl/sharedStrings.xml><?xml version="1.0" encoding="utf-8"?>
<sst xmlns="http://schemas.openxmlformats.org/spreadsheetml/2006/main" count="149" uniqueCount="93">
  <si>
    <t>West</t>
  </si>
  <si>
    <t>Central/ Scotts</t>
  </si>
  <si>
    <t>Tucson</t>
  </si>
  <si>
    <t>Commercial</t>
  </si>
  <si>
    <t>Talynn - GM</t>
  </si>
  <si>
    <t>Sales/ Biz Development - Kevin Sullivan</t>
  </si>
  <si>
    <t>Accounts</t>
  </si>
  <si>
    <t xml:space="preserve">Reyandres Vega </t>
  </si>
  <si>
    <t>Angel Ortiz</t>
  </si>
  <si>
    <t>Mike Montgomery</t>
  </si>
  <si>
    <t>Victor Alvaredo</t>
  </si>
  <si>
    <t>Repair Pro-Open future role</t>
  </si>
  <si>
    <t>Wilfred Lambert</t>
  </si>
  <si>
    <t>Kenje DalMacio</t>
  </si>
  <si>
    <t>Nicolas Cavazos</t>
  </si>
  <si>
    <t>Gerrytt Nikolaus</t>
  </si>
  <si>
    <t>Michael Grant</t>
  </si>
  <si>
    <t>Michael Vendetti</t>
  </si>
  <si>
    <t>Tony Pangburn</t>
  </si>
  <si>
    <t>David Bontrager</t>
  </si>
  <si>
    <t>Matt</t>
  </si>
  <si>
    <t>Hassan El Bouqa</t>
  </si>
  <si>
    <t>Qualen Cunningham</t>
  </si>
  <si>
    <t>Maint</t>
  </si>
  <si>
    <t>Mason Constable</t>
  </si>
  <si>
    <t>William Odell</t>
  </si>
  <si>
    <t>Anthony Garcia</t>
  </si>
  <si>
    <t>Repair</t>
  </si>
  <si>
    <t>Remodel</t>
  </si>
  <si>
    <t>Christian Carlson</t>
  </si>
  <si>
    <t>Joseph String</t>
  </si>
  <si>
    <t>Total</t>
  </si>
  <si>
    <t>Jovany Cardenas</t>
  </si>
  <si>
    <t>Cristian Ramirez</t>
  </si>
  <si>
    <t>Kent Armor</t>
  </si>
  <si>
    <t>Talynn</t>
  </si>
  <si>
    <t>Thom Rau</t>
  </si>
  <si>
    <t>Juan Garivo</t>
  </si>
  <si>
    <t>in training</t>
  </si>
  <si>
    <t>Ray Saltsman</t>
  </si>
  <si>
    <t>Ivan Martinez CG</t>
  </si>
  <si>
    <t>Service Pros</t>
  </si>
  <si>
    <t>Repair Pro</t>
  </si>
  <si>
    <t>Miranda Loveland</t>
  </si>
  <si>
    <t>Kenneth Felix - CG</t>
  </si>
  <si>
    <t>Total Labor</t>
  </si>
  <si>
    <t>Corey Cox - CG</t>
  </si>
  <si>
    <t>Maint Cogs</t>
  </si>
  <si>
    <t>Repair Cogs</t>
  </si>
  <si>
    <t>Miguel Rivero - CG/ TUC Commercial</t>
  </si>
  <si>
    <t>Remodel Cogs</t>
  </si>
  <si>
    <t>Total Cogs</t>
  </si>
  <si>
    <t>Christian Nolan</t>
  </si>
  <si>
    <t>Other Costs</t>
  </si>
  <si>
    <t>Ebitda</t>
  </si>
  <si>
    <t>Steve Lucas</t>
  </si>
  <si>
    <t>Steve Gutierrez</t>
  </si>
  <si>
    <t>Todd</t>
  </si>
  <si>
    <t xml:space="preserve">Oney </t>
  </si>
  <si>
    <t>Megan</t>
  </si>
  <si>
    <t>Charles</t>
  </si>
  <si>
    <t xml:space="preserve">Alexis </t>
  </si>
  <si>
    <t>Chris</t>
  </si>
  <si>
    <t>Taryn</t>
  </si>
  <si>
    <t>Repair Pros</t>
  </si>
  <si>
    <t>Pool Count Growth</t>
  </si>
  <si>
    <t>Branch</t>
  </si>
  <si>
    <t>Starting Count</t>
  </si>
  <si>
    <t>End County</t>
  </si>
  <si>
    <t>Growth</t>
  </si>
  <si>
    <t>Central</t>
  </si>
  <si>
    <t>East</t>
  </si>
  <si>
    <t>Tuscon</t>
  </si>
  <si>
    <t>Steve Lucas - West GM</t>
  </si>
  <si>
    <t>Steve Gutierrez - Central GM</t>
  </si>
  <si>
    <t>Todd Johnston- GM</t>
  </si>
  <si>
    <t>Matthew Halteman - GM</t>
  </si>
  <si>
    <t>Customer Service Manager - Alexis Butler</t>
  </si>
  <si>
    <t>Customer Service Manager - Chris Bentley</t>
  </si>
  <si>
    <t>Customer Service Manager - Taryn Takeda</t>
  </si>
  <si>
    <t>Customer Service Manager - Open</t>
  </si>
  <si>
    <t>Customer Service Manager-Open</t>
  </si>
  <si>
    <t>Repair-John McCowan</t>
  </si>
  <si>
    <t>Assistant Director of Service - Oney Uriquiza</t>
  </si>
  <si>
    <t>Repair-Bryan Walters</t>
  </si>
  <si>
    <t>Assistant Director of Service - Megan Bradley</t>
  </si>
  <si>
    <t>Repair-Jordan Garcia</t>
  </si>
  <si>
    <t>Asst Director of Service - Charles Gay</t>
  </si>
  <si>
    <t>Repair - Vacant</t>
  </si>
  <si>
    <t>Assistant Director of Service - Tucson - Open</t>
  </si>
  <si>
    <t>Assistant Director of Service - Commercial - Thomas Rau</t>
  </si>
  <si>
    <t>Ray Vega</t>
  </si>
  <si>
    <t>Joan Magnana-Chavez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</si>
</sst>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4" xfId="0" applyFont="1" applyBorder="1"/>
    <xf numFmtId="164" fontId="1" fillId="0" borderId="5" xfId="0" applyNumberFormat="1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6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3" fontId="1" fillId="0" borderId="0" xfId="0" applyNumberFormat="1" applyFont="1"/>
    <xf numFmtId="165" fontId="1" fillId="0" borderId="0" xfId="0" applyNumberFormat="1" applyFont="1"/>
    <xf numFmtId="3" fontId="1" fillId="8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0" fontId="1" fillId="0" borderId="0" xfId="0" applyNumberFormat="1" applyFont="1"/>
    <xf numFmtId="3" fontId="1" fillId="10" borderId="0" xfId="0" applyNumberFormat="1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7" borderId="0" xfId="0" applyNumberFormat="1" applyFont="1" applyFill="1" applyAlignment="1">
      <alignment horizontal="center"/>
    </xf>
    <xf numFmtId="0" fontId="4" fillId="0" borderId="0" xfId="0" applyFont="1"/>
    <xf numFmtId="10" fontId="4" fillId="0" borderId="0" xfId="0" applyNumberFormat="1" applyFont="1"/>
    <xf numFmtId="0" fontId="1" fillId="0" borderId="0" xfId="0" applyFont="1" applyAlignment="1">
      <alignment wrapText="1"/>
    </xf>
    <xf numFmtId="0" fontId="1" fillId="6" borderId="2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3" fillId="0" borderId="3" xfId="0" applyFont="1" applyBorder="1"/>
    <xf numFmtId="0" fontId="1" fillId="5" borderId="2" xfId="0" applyFont="1" applyFill="1" applyBorder="1" applyAlignment="1">
      <alignment horizontal="center" wrapText="1"/>
    </xf>
    <xf numFmtId="0" fontId="1" fillId="7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0" fillId="0" borderId="0" xfId="0"/>
    <xf numFmtId="0" fontId="1" fillId="7" borderId="0" xfId="0" applyFont="1" applyFill="1" applyAlignment="1">
      <alignment horizontal="center"/>
    </xf>
    <xf numFmtId="0" fontId="1" fillId="1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988"/>
  <sheetViews>
    <sheetView workbookViewId="0"/>
  </sheetViews>
  <sheetFormatPr baseColWidth="10" defaultColWidth="12.6640625" defaultRowHeight="15.75" customHeight="1" x14ac:dyDescent="0.15"/>
  <cols>
    <col min="2" max="2" width="15.1640625" customWidth="1"/>
    <col min="7" max="7" width="18.5" customWidth="1"/>
    <col min="8" max="8" width="15.1640625" customWidth="1"/>
    <col min="14" max="14" width="15.1640625" customWidth="1"/>
    <col min="16" max="16" width="22.1640625" customWidth="1"/>
    <col min="19" max="19" width="18.5" customWidth="1"/>
    <col min="20" max="20" width="15.1640625" customWidth="1"/>
    <col min="21" max="21" width="12.1640625" customWidth="1"/>
    <col min="22" max="22" width="14.1640625" customWidth="1"/>
    <col min="23" max="23" width="7.83203125" customWidth="1"/>
    <col min="24" max="25" width="21.5" customWidth="1"/>
    <col min="26" max="26" width="12.6640625" customWidth="1"/>
    <col min="27" max="27" width="13.83203125" customWidth="1"/>
  </cols>
  <sheetData>
    <row r="1" spans="1:31" ht="15.75" customHeight="1" x14ac:dyDescent="0.15">
      <c r="A1" s="1"/>
      <c r="B1" s="1"/>
      <c r="C1" s="1"/>
      <c r="D1" s="2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2"/>
      <c r="W1" s="1"/>
      <c r="X1" s="1"/>
      <c r="Y1" s="1"/>
      <c r="Z1" s="1"/>
      <c r="AA1" s="1"/>
      <c r="AB1" s="2"/>
      <c r="AC1" s="1"/>
      <c r="AD1" s="3"/>
      <c r="AE1" s="3"/>
    </row>
    <row r="2" spans="1:31" ht="15.75" customHeight="1" x14ac:dyDescent="0.15">
      <c r="A2" s="3"/>
      <c r="B2" s="3"/>
      <c r="C2" s="4" t="s">
        <v>0</v>
      </c>
      <c r="D2" s="33" t="s">
        <v>73</v>
      </c>
      <c r="E2" s="30"/>
      <c r="F2" s="3"/>
      <c r="G2" s="3"/>
      <c r="H2" s="3"/>
      <c r="I2" s="4" t="s">
        <v>1</v>
      </c>
      <c r="J2" s="33" t="s">
        <v>74</v>
      </c>
      <c r="K2" s="30"/>
      <c r="L2" s="3"/>
      <c r="M2" s="3"/>
      <c r="N2" s="3"/>
      <c r="O2" s="4" t="s">
        <v>71</v>
      </c>
      <c r="P2" s="33" t="s">
        <v>75</v>
      </c>
      <c r="Q2" s="30"/>
      <c r="R2" s="3"/>
      <c r="S2" s="3"/>
      <c r="T2" s="3"/>
      <c r="U2" s="4" t="s">
        <v>2</v>
      </c>
      <c r="V2" s="33" t="s">
        <v>76</v>
      </c>
      <c r="W2" s="30"/>
      <c r="X2" s="3"/>
      <c r="Y2" s="3"/>
      <c r="Z2" s="3"/>
      <c r="AA2" s="4" t="s">
        <v>3</v>
      </c>
      <c r="AB2" s="33" t="s">
        <v>4</v>
      </c>
      <c r="AC2" s="30"/>
      <c r="AD2" s="3"/>
      <c r="AE2" s="3"/>
    </row>
    <row r="3" spans="1:31" ht="15.75" customHeight="1" x14ac:dyDescent="0.15">
      <c r="A3" s="3"/>
      <c r="B3" s="5"/>
      <c r="C3" s="5"/>
      <c r="D3" s="3"/>
      <c r="E3" s="6"/>
      <c r="F3" s="26"/>
      <c r="G3" s="3"/>
      <c r="H3" s="5"/>
      <c r="I3" s="5"/>
      <c r="J3" s="3"/>
      <c r="K3" s="6"/>
      <c r="L3" s="3"/>
      <c r="M3" s="3"/>
      <c r="N3" s="5"/>
      <c r="O3" s="5"/>
      <c r="P3" s="3"/>
      <c r="Q3" s="6"/>
      <c r="R3" s="3"/>
      <c r="S3" s="3"/>
      <c r="T3" s="5"/>
      <c r="U3" s="5"/>
      <c r="V3" s="3"/>
      <c r="W3" s="6"/>
      <c r="X3" s="3"/>
      <c r="Y3" s="3"/>
      <c r="Z3" s="5"/>
      <c r="AA3" s="5"/>
      <c r="AB3" s="3"/>
      <c r="AC3" s="6"/>
      <c r="AD3" s="3"/>
      <c r="AE3" s="3"/>
    </row>
    <row r="4" spans="1:31" ht="15.75" customHeight="1" x14ac:dyDescent="0.15">
      <c r="A4" s="3"/>
      <c r="B4" s="5"/>
      <c r="C4" s="7"/>
      <c r="D4" s="8"/>
      <c r="E4" s="9"/>
      <c r="F4" s="3"/>
      <c r="G4" s="3"/>
      <c r="H4" s="5"/>
      <c r="I4" s="7"/>
      <c r="J4" s="8"/>
      <c r="K4" s="9"/>
      <c r="L4" s="3"/>
      <c r="M4" s="3"/>
      <c r="N4" s="5"/>
      <c r="O4" s="7"/>
      <c r="P4" s="8"/>
      <c r="Q4" s="9"/>
      <c r="R4" s="3"/>
      <c r="S4" s="3"/>
      <c r="T4" s="5"/>
      <c r="U4" s="7"/>
      <c r="V4" s="8"/>
      <c r="W4" s="9"/>
      <c r="X4" s="3"/>
      <c r="Y4" s="3"/>
      <c r="Z4" s="5"/>
      <c r="AA4" s="7"/>
      <c r="AB4" s="8"/>
      <c r="AC4" s="9"/>
      <c r="AD4" s="10"/>
      <c r="AE4" s="3"/>
    </row>
    <row r="5" spans="1:31" ht="15.75" customHeight="1" x14ac:dyDescent="0.15">
      <c r="A5" s="3"/>
      <c r="B5" s="3"/>
      <c r="C5" s="9"/>
      <c r="D5" s="29" t="s">
        <v>77</v>
      </c>
      <c r="E5" s="30"/>
      <c r="F5" s="3"/>
      <c r="G5" s="3"/>
      <c r="H5" s="3"/>
      <c r="I5" s="9"/>
      <c r="J5" s="29" t="s">
        <v>78</v>
      </c>
      <c r="K5" s="30"/>
      <c r="L5" s="3"/>
      <c r="M5" s="3"/>
      <c r="N5" s="3"/>
      <c r="O5" s="9"/>
      <c r="P5" s="29" t="s">
        <v>79</v>
      </c>
      <c r="Q5" s="30"/>
      <c r="R5" s="3"/>
      <c r="S5" s="3"/>
      <c r="T5" s="3"/>
      <c r="U5" s="9"/>
      <c r="V5" s="29" t="s">
        <v>80</v>
      </c>
      <c r="W5" s="30"/>
      <c r="X5" s="3"/>
      <c r="Y5" s="3"/>
      <c r="Z5" s="3"/>
      <c r="AA5" s="9"/>
      <c r="AB5" s="29" t="s">
        <v>81</v>
      </c>
      <c r="AC5" s="30"/>
      <c r="AD5" s="31" t="s">
        <v>5</v>
      </c>
      <c r="AE5" s="30"/>
    </row>
    <row r="6" spans="1:31" ht="15.75" customHeight="1" x14ac:dyDescent="0.15">
      <c r="A6" s="3"/>
      <c r="B6" s="3"/>
      <c r="C6" s="9"/>
      <c r="D6" s="3"/>
      <c r="E6" s="3"/>
      <c r="F6" s="3"/>
      <c r="G6" s="3"/>
      <c r="H6" s="3"/>
      <c r="I6" s="9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9"/>
      <c r="V6" s="3"/>
      <c r="W6" s="3"/>
      <c r="X6" s="3"/>
      <c r="Y6" s="3"/>
      <c r="Z6" s="3"/>
      <c r="AA6" s="9"/>
      <c r="AB6" s="3"/>
      <c r="AC6" s="3"/>
      <c r="AD6" s="3"/>
      <c r="AE6" s="3"/>
    </row>
    <row r="7" spans="1:31" ht="15.75" customHeight="1" x14ac:dyDescent="0.15">
      <c r="A7" s="11"/>
      <c r="B7" s="8"/>
      <c r="C7" s="10"/>
      <c r="D7" s="3"/>
      <c r="E7" s="3" t="s">
        <v>6</v>
      </c>
      <c r="F7" s="3"/>
      <c r="G7" s="11"/>
      <c r="H7" s="8"/>
      <c r="I7" s="10"/>
      <c r="J7" s="3"/>
      <c r="K7" s="3" t="s">
        <v>6</v>
      </c>
      <c r="L7" s="3"/>
      <c r="M7" s="11"/>
      <c r="N7" s="8"/>
      <c r="O7" s="10"/>
      <c r="P7" s="3"/>
      <c r="Q7" s="3" t="s">
        <v>6</v>
      </c>
      <c r="R7" s="3"/>
      <c r="S7" s="11"/>
      <c r="T7" s="8"/>
      <c r="U7" s="10"/>
      <c r="V7" s="3"/>
      <c r="W7" s="3" t="s">
        <v>6</v>
      </c>
      <c r="X7" s="3"/>
      <c r="Y7" s="11"/>
      <c r="Z7" s="8"/>
      <c r="AA7" s="10"/>
      <c r="AB7" s="3"/>
      <c r="AC7" s="3" t="s">
        <v>6</v>
      </c>
      <c r="AD7" s="3"/>
    </row>
    <row r="8" spans="1:31" ht="15.75" customHeight="1" x14ac:dyDescent="0.15">
      <c r="A8" s="27" t="s">
        <v>82</v>
      </c>
      <c r="B8" s="27" t="s">
        <v>83</v>
      </c>
      <c r="C8" s="32" t="s">
        <v>7</v>
      </c>
      <c r="D8" s="30"/>
      <c r="E8" s="13">
        <v>104</v>
      </c>
      <c r="F8" s="4"/>
      <c r="G8" s="12" t="s">
        <v>84</v>
      </c>
      <c r="H8" s="27" t="s">
        <v>85</v>
      </c>
      <c r="I8" s="32" t="s">
        <v>8</v>
      </c>
      <c r="J8" s="30"/>
      <c r="K8" s="4">
        <v>75</v>
      </c>
      <c r="L8" s="4"/>
      <c r="M8" s="28" t="s">
        <v>86</v>
      </c>
      <c r="N8" s="27" t="s">
        <v>87</v>
      </c>
      <c r="O8" s="32" t="s">
        <v>9</v>
      </c>
      <c r="P8" s="30"/>
      <c r="Q8" s="4">
        <v>85</v>
      </c>
      <c r="R8" s="4"/>
      <c r="S8" s="12" t="s">
        <v>88</v>
      </c>
      <c r="T8" s="12" t="s">
        <v>89</v>
      </c>
      <c r="U8" s="32" t="s">
        <v>10</v>
      </c>
      <c r="V8" s="30"/>
      <c r="W8" s="14">
        <v>70</v>
      </c>
      <c r="X8" s="4"/>
      <c r="Y8" s="12" t="s">
        <v>11</v>
      </c>
      <c r="Z8" s="27" t="s">
        <v>90</v>
      </c>
      <c r="AA8" s="32" t="s">
        <v>12</v>
      </c>
      <c r="AB8" s="30"/>
      <c r="AC8" s="3">
        <v>24</v>
      </c>
      <c r="AD8" s="3"/>
    </row>
    <row r="9" spans="1:31" ht="15.75" customHeight="1" x14ac:dyDescent="0.15">
      <c r="A9" s="3"/>
      <c r="B9" s="3"/>
      <c r="C9" s="3"/>
      <c r="D9" s="3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15.75" customHeight="1" x14ac:dyDescent="0.15">
      <c r="A10" s="3"/>
      <c r="B10" s="3"/>
      <c r="C10" s="32" t="s">
        <v>13</v>
      </c>
      <c r="D10" s="30"/>
      <c r="E10" s="13">
        <v>79</v>
      </c>
      <c r="F10" s="3"/>
      <c r="G10" s="3"/>
      <c r="H10" s="3"/>
      <c r="I10" s="32" t="s">
        <v>14</v>
      </c>
      <c r="J10" s="30"/>
      <c r="K10" s="4">
        <v>83</v>
      </c>
      <c r="L10" s="3"/>
      <c r="M10" s="3"/>
      <c r="N10" s="3"/>
      <c r="O10" s="32" t="s">
        <v>15</v>
      </c>
      <c r="P10" s="30"/>
      <c r="Q10" s="4">
        <v>80</v>
      </c>
      <c r="R10" s="3"/>
      <c r="S10" s="3"/>
      <c r="T10" s="3"/>
      <c r="U10" s="3"/>
      <c r="V10" s="14"/>
      <c r="W10" s="15">
        <v>70</v>
      </c>
      <c r="X10" s="3"/>
      <c r="Y10" s="3"/>
      <c r="Z10" s="3"/>
      <c r="AA10" s="32" t="s">
        <v>16</v>
      </c>
      <c r="AB10" s="30"/>
      <c r="AC10" s="16">
        <v>19</v>
      </c>
      <c r="AD10" s="3"/>
    </row>
    <row r="11" spans="1:31" ht="15.75" customHeight="1" x14ac:dyDescent="0.15">
      <c r="A11" s="3"/>
      <c r="B11" s="3"/>
      <c r="C11" s="3"/>
      <c r="D11" s="3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9"/>
      <c r="AC11" s="16"/>
      <c r="AD11" s="17"/>
    </row>
    <row r="12" spans="1:31" ht="15.75" customHeight="1" x14ac:dyDescent="0.15">
      <c r="A12" s="3"/>
      <c r="B12" s="3"/>
      <c r="C12" s="32" t="s">
        <v>17</v>
      </c>
      <c r="D12" s="30"/>
      <c r="E12" s="13">
        <v>82</v>
      </c>
      <c r="F12" s="3"/>
      <c r="G12" s="3"/>
      <c r="H12" s="3"/>
      <c r="I12" s="34" t="s">
        <v>18</v>
      </c>
      <c r="J12" s="30"/>
      <c r="K12" s="4">
        <v>79</v>
      </c>
      <c r="L12" s="3"/>
      <c r="M12" s="3"/>
      <c r="N12" s="3"/>
      <c r="O12" s="32" t="s">
        <v>19</v>
      </c>
      <c r="P12" s="30"/>
      <c r="Q12" s="4">
        <v>80</v>
      </c>
      <c r="R12" s="3"/>
      <c r="S12" s="3"/>
      <c r="T12" s="3"/>
      <c r="U12" s="5"/>
      <c r="V12" s="3"/>
      <c r="W12" s="3"/>
      <c r="X12" s="3"/>
      <c r="Y12" s="3"/>
      <c r="Z12" s="3"/>
      <c r="AA12" s="32" t="s">
        <v>21</v>
      </c>
      <c r="AB12" s="30"/>
      <c r="AC12" s="16">
        <v>21</v>
      </c>
      <c r="AD12" s="17"/>
    </row>
    <row r="13" spans="1:31" ht="15.75" customHeight="1" x14ac:dyDescent="0.15">
      <c r="A13" s="3"/>
      <c r="B13" s="3"/>
      <c r="C13" s="3"/>
      <c r="D13" s="9"/>
      <c r="E13" s="1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5"/>
      <c r="AC13" s="3"/>
      <c r="AD13" s="3"/>
    </row>
    <row r="14" spans="1:31" ht="15.75" customHeight="1" x14ac:dyDescent="0.15">
      <c r="A14" s="3"/>
      <c r="B14" s="3"/>
      <c r="C14" s="34" t="s">
        <v>91</v>
      </c>
      <c r="D14" s="30"/>
      <c r="E14" s="13">
        <v>60</v>
      </c>
      <c r="F14" s="3"/>
      <c r="G14" s="3"/>
      <c r="H14" s="3"/>
      <c r="I14" s="34" t="s">
        <v>92</v>
      </c>
      <c r="J14" s="30"/>
      <c r="K14" s="4">
        <v>64</v>
      </c>
      <c r="L14" s="3"/>
      <c r="M14" s="3"/>
      <c r="N14" s="3"/>
      <c r="O14" s="32" t="s">
        <v>22</v>
      </c>
      <c r="P14" s="30"/>
      <c r="Q14" s="4">
        <v>70</v>
      </c>
      <c r="R14" s="3"/>
      <c r="S14" s="3"/>
      <c r="T14" s="3"/>
      <c r="U14" s="3"/>
      <c r="V14" s="3"/>
      <c r="W14" s="3"/>
      <c r="X14" s="3"/>
      <c r="AA14" s="3"/>
      <c r="AB14" s="5"/>
      <c r="AC14" s="18">
        <f>SUM(AC8:AC12)</f>
        <v>64</v>
      </c>
      <c r="AD14" s="3"/>
    </row>
    <row r="15" spans="1:31" ht="15.75" customHeight="1" x14ac:dyDescent="0.15">
      <c r="A15" s="1"/>
      <c r="B15" s="3"/>
      <c r="C15" s="3"/>
      <c r="D15" s="9"/>
      <c r="E15" s="1"/>
      <c r="F15" s="1"/>
      <c r="G15" s="1"/>
      <c r="H15" s="3"/>
      <c r="I15" s="3"/>
      <c r="J15" s="3"/>
      <c r="K15" s="3"/>
      <c r="L15" s="1"/>
      <c r="M15" s="1"/>
      <c r="N15" s="3"/>
      <c r="O15" s="3"/>
      <c r="P15" s="3"/>
      <c r="Q15" s="3"/>
      <c r="R15" s="1"/>
      <c r="S15" s="1"/>
      <c r="T15" s="3"/>
      <c r="U15" s="3"/>
      <c r="V15" s="3"/>
      <c r="W15" s="3"/>
      <c r="X15" s="1"/>
      <c r="Y15" s="3" t="s">
        <v>23</v>
      </c>
      <c r="Z15" s="5">
        <f>SUM(AC14*684*12)</f>
        <v>525312</v>
      </c>
      <c r="AA15" s="3"/>
      <c r="AB15" s="3"/>
      <c r="AC15" s="3"/>
      <c r="AD15" s="3"/>
    </row>
    <row r="16" spans="1:31" ht="15.75" customHeight="1" x14ac:dyDescent="0.15">
      <c r="A16" s="1"/>
      <c r="B16" s="3"/>
      <c r="C16" s="34" t="s">
        <v>24</v>
      </c>
      <c r="D16" s="30"/>
      <c r="E16" s="13">
        <v>64</v>
      </c>
      <c r="F16" s="1"/>
      <c r="G16" s="1"/>
      <c r="H16" s="3"/>
      <c r="I16" s="34" t="s">
        <v>25</v>
      </c>
      <c r="J16" s="30"/>
      <c r="K16" s="4">
        <v>68</v>
      </c>
      <c r="L16" s="1"/>
      <c r="M16" s="1"/>
      <c r="N16" s="3"/>
      <c r="O16" s="32" t="s">
        <v>26</v>
      </c>
      <c r="P16" s="30"/>
      <c r="Q16" s="4">
        <v>70</v>
      </c>
      <c r="R16" s="1"/>
      <c r="S16" s="1"/>
      <c r="T16" s="3"/>
      <c r="U16" s="3"/>
      <c r="V16" s="3"/>
      <c r="W16" s="3"/>
      <c r="X16" s="1"/>
      <c r="Y16" s="3" t="s">
        <v>27</v>
      </c>
      <c r="Z16" s="5">
        <v>150000</v>
      </c>
      <c r="AA16" s="3"/>
      <c r="AB16" s="3"/>
      <c r="AC16" s="3"/>
      <c r="AD16" s="3"/>
    </row>
    <row r="17" spans="1:31" ht="15.75" customHeight="1" x14ac:dyDescent="0.15">
      <c r="A17" s="3"/>
      <c r="B17" s="3"/>
      <c r="C17" s="3"/>
      <c r="D17" s="3"/>
      <c r="E17" s="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s">
        <v>28</v>
      </c>
      <c r="Z17" s="5">
        <v>300000</v>
      </c>
      <c r="AA17" s="3"/>
      <c r="AB17" s="3"/>
      <c r="AC17" s="3"/>
      <c r="AD17" s="3"/>
    </row>
    <row r="18" spans="1:31" ht="15.75" customHeight="1" x14ac:dyDescent="0.15">
      <c r="A18" s="3"/>
      <c r="B18" s="3"/>
      <c r="C18" s="34" t="s">
        <v>16</v>
      </c>
      <c r="D18" s="30"/>
      <c r="E18" s="13">
        <v>50</v>
      </c>
      <c r="F18" s="3"/>
      <c r="G18" s="3"/>
      <c r="H18" s="3"/>
      <c r="I18" s="32" t="s">
        <v>29</v>
      </c>
      <c r="J18" s="30"/>
      <c r="K18" s="4">
        <v>65</v>
      </c>
      <c r="L18" s="3"/>
      <c r="M18" s="3"/>
      <c r="N18" s="3"/>
      <c r="O18" s="32" t="s">
        <v>30</v>
      </c>
      <c r="P18" s="30"/>
      <c r="Q18" s="4">
        <v>60</v>
      </c>
      <c r="R18" s="3"/>
      <c r="S18" s="3"/>
      <c r="T18" s="3"/>
      <c r="U18" s="1"/>
      <c r="V18" s="3"/>
      <c r="W18" s="3"/>
      <c r="X18" s="3"/>
      <c r="Y18" s="3" t="s">
        <v>31</v>
      </c>
      <c r="Z18" s="5">
        <f>SUM(Z15:Z17)</f>
        <v>975312</v>
      </c>
      <c r="AA18" s="3"/>
      <c r="AB18" s="3"/>
      <c r="AC18" s="3"/>
      <c r="AD18" s="3"/>
    </row>
    <row r="19" spans="1:31" ht="15.75" customHeight="1" x14ac:dyDescent="0.15">
      <c r="A19" s="3"/>
      <c r="B19" s="3"/>
      <c r="C19" s="3"/>
      <c r="D19" s="9"/>
      <c r="E19" s="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"/>
      <c r="V19" s="3"/>
      <c r="W19" s="3"/>
      <c r="X19" s="3"/>
      <c r="Y19" s="3"/>
      <c r="Z19" s="3"/>
      <c r="AA19" s="3"/>
      <c r="AB19" s="3"/>
      <c r="AC19" s="3"/>
      <c r="AD19" s="3"/>
    </row>
    <row r="20" spans="1:31" ht="15.75" customHeight="1" x14ac:dyDescent="0.15">
      <c r="A20" s="3"/>
      <c r="B20" s="3"/>
      <c r="C20" s="34" t="s">
        <v>32</v>
      </c>
      <c r="D20" s="30"/>
      <c r="E20" s="13">
        <v>55</v>
      </c>
      <c r="F20" s="3"/>
      <c r="G20" s="3"/>
      <c r="H20" s="3"/>
      <c r="I20" s="35" t="s">
        <v>33</v>
      </c>
      <c r="J20" s="36"/>
      <c r="K20" s="3"/>
      <c r="L20" s="3"/>
      <c r="M20" s="3"/>
      <c r="N20" s="3"/>
      <c r="O20" s="32" t="s">
        <v>34</v>
      </c>
      <c r="P20" s="30"/>
      <c r="Q20" s="4">
        <v>70</v>
      </c>
      <c r="R20" s="3"/>
      <c r="S20" s="3"/>
      <c r="T20" s="3"/>
      <c r="U20" s="1"/>
      <c r="V20" s="3"/>
      <c r="W20" s="3"/>
      <c r="X20" s="3"/>
      <c r="Y20" s="3" t="s">
        <v>35</v>
      </c>
      <c r="Z20" s="5">
        <v>50031</v>
      </c>
      <c r="AA20" s="3"/>
      <c r="AB20" s="3"/>
      <c r="AC20" s="3"/>
      <c r="AD20" s="3"/>
    </row>
    <row r="21" spans="1:31" ht="15.75" customHeight="1" x14ac:dyDescent="0.15">
      <c r="A21" s="3"/>
      <c r="B21" s="3"/>
      <c r="C21" s="3"/>
      <c r="D21" s="3"/>
      <c r="E21" s="3"/>
      <c r="F21" s="3"/>
      <c r="G21" s="3"/>
      <c r="H21" s="3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1"/>
      <c r="V21" s="3"/>
      <c r="W21" s="3"/>
      <c r="X21" s="3"/>
      <c r="Y21" s="1" t="s">
        <v>36</v>
      </c>
      <c r="Z21" s="5">
        <v>40000</v>
      </c>
      <c r="AA21" s="3"/>
      <c r="AB21" s="3"/>
      <c r="AC21" s="3"/>
      <c r="AD21" s="3"/>
    </row>
    <row r="22" spans="1:31" ht="15.75" customHeight="1" x14ac:dyDescent="0.15">
      <c r="A22" s="3"/>
      <c r="B22" s="3"/>
      <c r="C22" s="34" t="s">
        <v>37</v>
      </c>
      <c r="D22" s="30"/>
      <c r="E22" s="4" t="s">
        <v>38</v>
      </c>
      <c r="F22" s="3"/>
      <c r="G22" s="3"/>
      <c r="H22" s="3"/>
      <c r="I22" s="37" t="s">
        <v>39</v>
      </c>
      <c r="J22" s="36"/>
      <c r="K22" s="3"/>
      <c r="L22" s="3"/>
      <c r="M22" s="3"/>
      <c r="N22" s="3"/>
      <c r="O22" s="32" t="s">
        <v>40</v>
      </c>
      <c r="P22" s="30"/>
      <c r="Q22" s="4">
        <v>60</v>
      </c>
      <c r="R22" s="3"/>
      <c r="S22" s="3"/>
      <c r="T22" s="3"/>
      <c r="U22" s="1"/>
      <c r="V22" s="3"/>
      <c r="W22" s="3"/>
      <c r="X22" s="3"/>
      <c r="Y22" s="1" t="s">
        <v>41</v>
      </c>
      <c r="Z22" s="5">
        <v>120000</v>
      </c>
      <c r="AA22" s="3"/>
      <c r="AB22" s="3"/>
      <c r="AC22" s="3"/>
      <c r="AD22" s="3"/>
      <c r="AE22" s="3"/>
    </row>
    <row r="23" spans="1:31" ht="15.75" customHeight="1" x14ac:dyDescent="0.15">
      <c r="A23" s="3"/>
      <c r="B23" s="3"/>
      <c r="C23" s="3"/>
      <c r="D23" s="9"/>
      <c r="E23" s="3"/>
      <c r="F23" s="3"/>
      <c r="G23" s="3"/>
      <c r="H23" s="3"/>
      <c r="I23" s="19"/>
      <c r="J23" s="1"/>
      <c r="K23" s="3"/>
      <c r="L23" s="3"/>
      <c r="M23" s="3"/>
      <c r="N23" s="3"/>
      <c r="O23" s="3"/>
      <c r="P23" s="3"/>
      <c r="Q23" s="3"/>
      <c r="R23" s="3"/>
      <c r="S23" s="3"/>
      <c r="T23" s="3"/>
      <c r="U23" s="5"/>
      <c r="V23" s="3"/>
      <c r="W23" s="3"/>
      <c r="X23" s="3"/>
      <c r="Y23" s="3" t="s">
        <v>42</v>
      </c>
      <c r="Z23" s="5">
        <v>30000</v>
      </c>
      <c r="AA23" s="3"/>
      <c r="AB23" s="3"/>
      <c r="AC23" s="3"/>
      <c r="AD23" s="3"/>
      <c r="AE23" s="3"/>
    </row>
    <row r="24" spans="1:31" ht="15.75" customHeight="1" x14ac:dyDescent="0.15">
      <c r="A24" s="3"/>
      <c r="B24" s="5"/>
      <c r="C24" s="34" t="s">
        <v>43</v>
      </c>
      <c r="D24" s="30"/>
      <c r="E24" s="4" t="s">
        <v>38</v>
      </c>
      <c r="F24" s="3"/>
      <c r="G24" s="3"/>
      <c r="H24" s="5"/>
      <c r="I24" s="3"/>
      <c r="J24" s="5"/>
      <c r="K24" s="20"/>
      <c r="L24" s="3"/>
      <c r="M24" s="3"/>
      <c r="N24" s="5"/>
      <c r="O24" s="32" t="s">
        <v>44</v>
      </c>
      <c r="P24" s="30"/>
      <c r="Q24" s="4">
        <v>60</v>
      </c>
      <c r="R24" s="3"/>
      <c r="S24" s="3"/>
      <c r="T24" s="5"/>
      <c r="U24" s="3"/>
      <c r="V24" s="5"/>
      <c r="W24" s="20"/>
      <c r="X24" s="3"/>
      <c r="Y24" s="3" t="s">
        <v>45</v>
      </c>
      <c r="Z24" s="5">
        <f>SUM(Z20:Z23)</f>
        <v>240031</v>
      </c>
      <c r="AA24" s="3"/>
      <c r="AB24" s="3"/>
      <c r="AC24" s="3"/>
      <c r="AD24" s="3"/>
      <c r="AE24" s="3"/>
    </row>
    <row r="25" spans="1:31" ht="15.75" customHeight="1" x14ac:dyDescent="0.15">
      <c r="A25" s="3"/>
      <c r="B25" s="5"/>
      <c r="C25" s="3"/>
      <c r="D25" s="5"/>
      <c r="E25" s="20"/>
      <c r="F25" s="3"/>
      <c r="G25" s="3"/>
      <c r="H25" s="5"/>
      <c r="I25" s="3"/>
      <c r="J25" s="5"/>
      <c r="K25" s="20"/>
      <c r="L25" s="3"/>
      <c r="M25" s="3"/>
      <c r="N25" s="5"/>
      <c r="O25" s="3"/>
      <c r="P25" s="3"/>
      <c r="Q25" s="3"/>
      <c r="R25" s="3"/>
      <c r="S25" s="3"/>
      <c r="T25" s="5"/>
      <c r="U25" s="3"/>
      <c r="V25" s="5"/>
      <c r="W25" s="20"/>
      <c r="X25" s="3"/>
      <c r="Y25" s="3"/>
      <c r="Z25" s="5"/>
      <c r="AA25" s="3"/>
      <c r="AB25" s="3"/>
      <c r="AC25" s="3"/>
      <c r="AD25" s="3"/>
      <c r="AE25" s="3"/>
    </row>
    <row r="26" spans="1:31" ht="15.75" customHeight="1" x14ac:dyDescent="0.15">
      <c r="A26" s="3"/>
      <c r="B26" s="5"/>
      <c r="C26" s="3"/>
      <c r="D26" s="5"/>
      <c r="E26" s="20"/>
      <c r="F26" s="3"/>
      <c r="G26" s="3"/>
      <c r="H26" s="17"/>
      <c r="I26" s="3"/>
      <c r="J26" s="5"/>
      <c r="K26" s="20"/>
      <c r="L26" s="3"/>
      <c r="M26" s="3"/>
      <c r="N26" s="5"/>
      <c r="O26" s="32" t="s">
        <v>46</v>
      </c>
      <c r="P26" s="30"/>
      <c r="Q26" s="4">
        <v>55</v>
      </c>
      <c r="R26" s="3"/>
      <c r="S26" s="3"/>
      <c r="T26" s="5"/>
      <c r="U26" s="3"/>
      <c r="V26" s="5"/>
      <c r="W26" s="20"/>
      <c r="X26" s="3"/>
      <c r="Y26" s="3" t="s">
        <v>47</v>
      </c>
      <c r="Z26" s="5">
        <f>SUM(Z15*0.35)</f>
        <v>183859.19999999998</v>
      </c>
      <c r="AA26" s="3"/>
      <c r="AB26" s="3"/>
      <c r="AC26" s="3"/>
      <c r="AD26" s="3"/>
      <c r="AE26" s="3"/>
    </row>
    <row r="27" spans="1:31" ht="15.75" customHeight="1" x14ac:dyDescent="0.15">
      <c r="A27" s="3"/>
      <c r="B27" s="3"/>
      <c r="C27" s="3"/>
      <c r="D27" s="5"/>
      <c r="E27" s="18">
        <f>SUM(E8:E20)</f>
        <v>494</v>
      </c>
      <c r="F27" s="3"/>
      <c r="G27" s="3"/>
      <c r="H27" s="17"/>
      <c r="I27" s="3"/>
      <c r="J27" s="5"/>
      <c r="K27" s="18">
        <f>SUM(K8:K24)</f>
        <v>434</v>
      </c>
      <c r="L27" s="3"/>
      <c r="M27" s="3"/>
      <c r="N27" s="3"/>
      <c r="O27" s="5"/>
      <c r="P27" s="3"/>
      <c r="Q27" s="3"/>
      <c r="R27" s="3"/>
      <c r="S27" s="3"/>
      <c r="T27" s="3"/>
      <c r="U27" s="3"/>
      <c r="V27" s="3"/>
      <c r="W27" s="3"/>
      <c r="X27" s="3"/>
      <c r="Y27" s="3" t="s">
        <v>48</v>
      </c>
      <c r="Z27" s="5">
        <f>SUM(Z16*0.4)</f>
        <v>60000</v>
      </c>
      <c r="AA27" s="3"/>
      <c r="AB27" s="3"/>
      <c r="AC27" s="3"/>
      <c r="AD27" s="3"/>
      <c r="AE27" s="3"/>
    </row>
    <row r="28" spans="1:31" ht="15.75" customHeight="1" x14ac:dyDescent="0.15">
      <c r="A28" s="3"/>
      <c r="B28" s="1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7"/>
      <c r="O28" s="38" t="s">
        <v>49</v>
      </c>
      <c r="P28" s="30"/>
      <c r="Q28" s="21">
        <v>8</v>
      </c>
      <c r="R28" s="13"/>
      <c r="S28" s="13"/>
      <c r="T28" s="17"/>
      <c r="U28" s="3"/>
      <c r="V28" s="5"/>
      <c r="W28" s="20"/>
      <c r="X28" s="3"/>
      <c r="Y28" s="3" t="s">
        <v>50</v>
      </c>
      <c r="Z28" s="5">
        <f>SUM(Z17*0.69)</f>
        <v>206999.99999999997</v>
      </c>
      <c r="AA28" s="3"/>
      <c r="AB28" s="3"/>
      <c r="AC28" s="3"/>
      <c r="AD28" s="3"/>
      <c r="AE28" s="3"/>
    </row>
    <row r="29" spans="1:31" ht="15.75" customHeight="1" x14ac:dyDescent="0.15">
      <c r="A29" s="3"/>
      <c r="D29" s="3"/>
      <c r="E29" s="3"/>
      <c r="F29" s="3"/>
      <c r="G29" s="3"/>
      <c r="J29" s="3"/>
      <c r="K29" s="3"/>
      <c r="L29" s="3"/>
      <c r="M29" s="3"/>
      <c r="N29" s="17"/>
      <c r="O29" s="3"/>
      <c r="P29" s="3"/>
      <c r="Q29" s="3"/>
      <c r="R29" s="3"/>
      <c r="S29" s="3"/>
      <c r="T29" s="17"/>
      <c r="U29" s="3"/>
      <c r="V29" s="5"/>
      <c r="W29" s="20"/>
      <c r="X29" s="3"/>
      <c r="Y29" s="3" t="s">
        <v>51</v>
      </c>
      <c r="Z29" s="5">
        <f>SUM(Z26:Z28)</f>
        <v>450859.19999999995</v>
      </c>
      <c r="AA29" s="3"/>
      <c r="AB29" s="3"/>
      <c r="AC29" s="3"/>
      <c r="AD29" s="3"/>
      <c r="AE29" s="3"/>
    </row>
    <row r="30" spans="1:31" ht="15.75" customHeight="1" x14ac:dyDescent="0.15">
      <c r="A30" s="3"/>
      <c r="K30" s="3"/>
      <c r="L30" s="3"/>
      <c r="M30" s="3"/>
      <c r="N30" s="17"/>
      <c r="O30" s="32" t="s">
        <v>52</v>
      </c>
      <c r="P30" s="30"/>
      <c r="Q30" s="22" t="s">
        <v>38</v>
      </c>
      <c r="R30" s="3"/>
      <c r="S30" s="3"/>
      <c r="T30" s="17"/>
      <c r="U30" s="3"/>
      <c r="V30" s="5"/>
      <c r="W30" s="20"/>
      <c r="X30" s="3"/>
      <c r="Y30" s="3"/>
      <c r="Z30" s="3"/>
      <c r="AA30" s="3"/>
      <c r="AB30" s="3"/>
      <c r="AC30" s="3"/>
      <c r="AD30" s="3"/>
      <c r="AE30" s="3"/>
    </row>
    <row r="31" spans="1:31" ht="15.75" customHeight="1" x14ac:dyDescent="0.15">
      <c r="A31" s="3"/>
      <c r="K31" s="3"/>
      <c r="L31" s="3"/>
      <c r="M31" s="3"/>
      <c r="N31" s="3"/>
      <c r="O31" s="5"/>
      <c r="P31" s="5"/>
      <c r="Q31" s="20"/>
      <c r="R31" s="3"/>
      <c r="S31" s="3"/>
      <c r="T31" s="3"/>
      <c r="U31" s="3"/>
      <c r="V31" s="3"/>
      <c r="W31" s="3"/>
      <c r="X31" s="3"/>
      <c r="Y31" s="3" t="s">
        <v>53</v>
      </c>
      <c r="Z31" s="5">
        <f>SUM(Z18*0.15)</f>
        <v>146296.79999999999</v>
      </c>
      <c r="AA31" s="3"/>
      <c r="AB31" s="3"/>
      <c r="AC31" s="3"/>
      <c r="AD31" s="3"/>
      <c r="AE31" s="3"/>
    </row>
    <row r="32" spans="1:31" ht="15.75" customHeight="1" x14ac:dyDescent="0.15">
      <c r="A32" s="3"/>
      <c r="K32" s="3"/>
      <c r="L32" s="3"/>
      <c r="M32" s="3"/>
      <c r="N32" s="3"/>
      <c r="O32" s="5"/>
      <c r="P32" s="3"/>
      <c r="Q32" s="23">
        <f>SUM(Q8:Q26)</f>
        <v>690</v>
      </c>
      <c r="R32" s="4"/>
      <c r="S32" s="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.75" customHeight="1" x14ac:dyDescent="0.15">
      <c r="A33" s="3"/>
      <c r="K33" s="3"/>
      <c r="L33" s="3"/>
      <c r="M33" s="3"/>
      <c r="N33" s="3"/>
      <c r="O33" s="5"/>
      <c r="P33" s="3"/>
      <c r="Q33" s="3"/>
      <c r="R33" s="4"/>
      <c r="S33" s="4"/>
      <c r="T33" s="3"/>
      <c r="U33" s="3"/>
      <c r="V33" s="3"/>
      <c r="W33" s="3"/>
      <c r="X33" s="3"/>
      <c r="Y33" s="24" t="s">
        <v>54</v>
      </c>
      <c r="Z33" s="5">
        <f>SUM(Z18-Z24-Z29-Z31)</f>
        <v>138125.00000000006</v>
      </c>
      <c r="AA33" s="20">
        <f>SUM(Z33/Z18)</f>
        <v>0.1416213478353594</v>
      </c>
      <c r="AB33" s="3"/>
      <c r="AC33" s="3"/>
      <c r="AD33" s="3"/>
      <c r="AE33" s="3"/>
    </row>
    <row r="34" spans="1:31" ht="15.75" customHeight="1" x14ac:dyDescent="0.15">
      <c r="A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.75" customHeight="1" x14ac:dyDescent="0.15">
      <c r="A35" s="3"/>
      <c r="B35" s="3" t="s">
        <v>23</v>
      </c>
      <c r="C35" s="5">
        <f>SUM(E27*163*12)</f>
        <v>966264</v>
      </c>
      <c r="D35" s="3"/>
      <c r="E35" s="3"/>
      <c r="F35" s="3"/>
      <c r="G35" s="3"/>
      <c r="H35" s="3" t="s">
        <v>23</v>
      </c>
      <c r="I35" s="5">
        <f>SUM(K27*163*12)</f>
        <v>848904</v>
      </c>
      <c r="J35" s="3"/>
      <c r="K35" s="3"/>
      <c r="L35" s="3"/>
      <c r="M35" s="3"/>
      <c r="N35" s="3" t="s">
        <v>23</v>
      </c>
      <c r="O35" s="5">
        <f>SUM(Q32*163*12)</f>
        <v>1349640</v>
      </c>
      <c r="P35" s="3"/>
      <c r="Q35" s="3"/>
      <c r="R35" s="3"/>
      <c r="S35" s="3"/>
      <c r="T35" s="3" t="s">
        <v>23</v>
      </c>
      <c r="U35" s="5">
        <f>SUM(W10*163*12)</f>
        <v>136920</v>
      </c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.75" customHeight="1" x14ac:dyDescent="0.15">
      <c r="A36" s="3"/>
      <c r="B36" s="3" t="s">
        <v>27</v>
      </c>
      <c r="C36" s="5">
        <f>SUM(E27*737)</f>
        <v>364078</v>
      </c>
      <c r="D36" s="3"/>
      <c r="E36" s="3"/>
      <c r="F36" s="3"/>
      <c r="G36" s="3"/>
      <c r="H36" s="3" t="s">
        <v>27</v>
      </c>
      <c r="I36" s="5">
        <f>SUM(K27*737)</f>
        <v>319858</v>
      </c>
      <c r="J36" s="3"/>
      <c r="K36" s="3"/>
      <c r="L36" s="3"/>
      <c r="M36" s="3"/>
      <c r="N36" s="3" t="s">
        <v>27</v>
      </c>
      <c r="O36" s="5">
        <f>SUM(Q32*737)</f>
        <v>508530</v>
      </c>
      <c r="P36" s="3"/>
      <c r="Q36" s="3"/>
      <c r="R36" s="3"/>
      <c r="S36" s="3"/>
      <c r="T36" s="3" t="s">
        <v>27</v>
      </c>
      <c r="U36" s="5">
        <f>SUM(W10*737)</f>
        <v>51590</v>
      </c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.75" customHeight="1" x14ac:dyDescent="0.15">
      <c r="A37" s="3"/>
      <c r="B37" s="3" t="s">
        <v>31</v>
      </c>
      <c r="C37" s="5">
        <f>SUM(C35:C36)</f>
        <v>1330342</v>
      </c>
      <c r="D37" s="3"/>
      <c r="E37" s="3"/>
      <c r="F37" s="3"/>
      <c r="G37" s="3"/>
      <c r="H37" s="3" t="s">
        <v>31</v>
      </c>
      <c r="I37" s="5">
        <f>SUM(I35:I36)</f>
        <v>1168762</v>
      </c>
      <c r="J37" s="3"/>
      <c r="K37" s="3"/>
      <c r="L37" s="3"/>
      <c r="M37" s="3"/>
      <c r="N37" s="3" t="s">
        <v>31</v>
      </c>
      <c r="O37" s="5">
        <f>SUM(O35:O36)</f>
        <v>1858170</v>
      </c>
      <c r="P37" s="3"/>
      <c r="Q37" s="3"/>
      <c r="R37" s="3"/>
      <c r="S37" s="3"/>
      <c r="T37" s="3" t="s">
        <v>31</v>
      </c>
      <c r="U37" s="5">
        <f>SUM(U35:U36)</f>
        <v>188510</v>
      </c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.75" customHeight="1" x14ac:dyDescent="0.15">
      <c r="A38" s="3"/>
      <c r="D38" s="3"/>
      <c r="E38" s="3"/>
      <c r="F38" s="3"/>
      <c r="G38" s="3"/>
      <c r="H38" s="3"/>
      <c r="I38" s="1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.75" customHeight="1" x14ac:dyDescent="0.15">
      <c r="A39" s="3"/>
      <c r="B39" s="17" t="s">
        <v>55</v>
      </c>
      <c r="C39" s="5">
        <v>77500</v>
      </c>
      <c r="D39" s="3"/>
      <c r="E39" s="3"/>
      <c r="F39" s="3"/>
      <c r="G39" s="3"/>
      <c r="H39" s="3" t="s">
        <v>56</v>
      </c>
      <c r="I39" s="17">
        <v>64972</v>
      </c>
      <c r="J39" s="3"/>
      <c r="K39" s="3"/>
      <c r="L39" s="3"/>
      <c r="M39" s="3"/>
      <c r="N39" s="3" t="s">
        <v>57</v>
      </c>
      <c r="O39" s="5">
        <v>85027</v>
      </c>
      <c r="P39" s="3"/>
      <c r="Q39" s="3"/>
      <c r="R39" s="3"/>
      <c r="S39" s="3"/>
      <c r="T39" s="3" t="s">
        <v>20</v>
      </c>
      <c r="U39" s="5">
        <v>60000</v>
      </c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.75" customHeight="1" x14ac:dyDescent="0.15">
      <c r="A40" s="3"/>
      <c r="B40" s="17" t="s">
        <v>58</v>
      </c>
      <c r="C40" s="5">
        <v>60014</v>
      </c>
      <c r="D40" s="3"/>
      <c r="E40" s="3"/>
      <c r="F40" s="3"/>
      <c r="G40" s="3"/>
      <c r="H40" s="3" t="s">
        <v>59</v>
      </c>
      <c r="I40" s="17">
        <v>50000</v>
      </c>
      <c r="J40" s="3"/>
      <c r="K40" s="3"/>
      <c r="L40" s="3"/>
      <c r="M40" s="3"/>
      <c r="N40" s="3" t="s">
        <v>60</v>
      </c>
      <c r="O40" s="5">
        <v>60037</v>
      </c>
      <c r="P40" s="3"/>
      <c r="Q40" s="3"/>
      <c r="R40" s="3"/>
      <c r="S40" s="3"/>
      <c r="T40" s="3" t="s">
        <v>41</v>
      </c>
      <c r="U40" s="5">
        <v>40000</v>
      </c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.75" customHeight="1" x14ac:dyDescent="0.15">
      <c r="A41" s="3"/>
      <c r="B41" s="3" t="s">
        <v>61</v>
      </c>
      <c r="C41" s="5">
        <v>59155</v>
      </c>
      <c r="D41" s="3"/>
      <c r="E41" s="3"/>
      <c r="H41" s="3" t="s">
        <v>62</v>
      </c>
      <c r="I41" s="17">
        <v>45325</v>
      </c>
      <c r="J41" s="3"/>
      <c r="K41" s="3"/>
      <c r="L41" s="3"/>
      <c r="M41" s="3"/>
      <c r="N41" s="3" t="s">
        <v>63</v>
      </c>
      <c r="O41" s="5">
        <v>41008</v>
      </c>
      <c r="P41" s="3"/>
      <c r="Q41" s="3"/>
      <c r="R41" s="3"/>
      <c r="S41" s="3"/>
      <c r="T41" s="3" t="s">
        <v>45</v>
      </c>
      <c r="U41" s="5">
        <f>SUM(U39:U40)</f>
        <v>100000</v>
      </c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.75" customHeight="1" x14ac:dyDescent="0.15">
      <c r="A42" s="3"/>
      <c r="B42" s="3" t="s">
        <v>41</v>
      </c>
      <c r="C42" s="5">
        <v>360000</v>
      </c>
      <c r="D42" s="3"/>
      <c r="E42" s="3"/>
      <c r="H42" s="3" t="s">
        <v>41</v>
      </c>
      <c r="I42" s="17">
        <f>(8*40000)</f>
        <v>320000</v>
      </c>
      <c r="J42" s="3"/>
      <c r="K42" s="3"/>
      <c r="L42" s="3"/>
      <c r="M42" s="3"/>
      <c r="N42" s="3" t="s">
        <v>41</v>
      </c>
      <c r="O42" s="5">
        <f>(12*40000)</f>
        <v>480000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.75" customHeight="1" x14ac:dyDescent="0.15">
      <c r="A43" s="3"/>
      <c r="B43" s="3" t="s">
        <v>64</v>
      </c>
      <c r="C43" s="5">
        <v>60000</v>
      </c>
      <c r="D43" s="3"/>
      <c r="E43" s="3"/>
      <c r="H43" s="3" t="s">
        <v>64</v>
      </c>
      <c r="I43" s="17">
        <v>60000</v>
      </c>
      <c r="J43" s="3"/>
      <c r="K43" s="3"/>
      <c r="L43" s="3"/>
      <c r="M43" s="3"/>
      <c r="N43" s="3" t="s">
        <v>64</v>
      </c>
      <c r="O43" s="5">
        <v>90000</v>
      </c>
      <c r="P43" s="3"/>
      <c r="Q43" s="3"/>
      <c r="R43" s="3"/>
      <c r="S43" s="3"/>
      <c r="T43" s="3" t="s">
        <v>47</v>
      </c>
      <c r="U43" s="5">
        <f>SUM(U35*0.35)</f>
        <v>47922</v>
      </c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.75" customHeight="1" x14ac:dyDescent="0.15">
      <c r="A44" s="3"/>
      <c r="B44" s="3" t="s">
        <v>45</v>
      </c>
      <c r="C44" s="5">
        <f>SUM(C39:C43)</f>
        <v>616669</v>
      </c>
      <c r="D44" s="3"/>
      <c r="E44" s="3"/>
      <c r="F44" s="3"/>
      <c r="G44" s="3"/>
      <c r="H44" s="3" t="s">
        <v>45</v>
      </c>
      <c r="I44" s="17">
        <f>SUM(I39:I43)</f>
        <v>540297</v>
      </c>
      <c r="J44" s="3"/>
      <c r="K44" s="3"/>
      <c r="L44" s="3"/>
      <c r="M44" s="3"/>
      <c r="N44" s="3" t="s">
        <v>45</v>
      </c>
      <c r="O44" s="5">
        <f>SUM(O39:O43)</f>
        <v>756072</v>
      </c>
      <c r="P44" s="3"/>
      <c r="Q44" s="3"/>
      <c r="R44" s="3"/>
      <c r="S44" s="3"/>
      <c r="T44" s="3" t="s">
        <v>48</v>
      </c>
      <c r="U44" s="5">
        <f>SUM(U36*0.4)</f>
        <v>20636</v>
      </c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.75" customHeight="1" x14ac:dyDescent="0.15">
      <c r="A45" s="3"/>
      <c r="B45" s="3"/>
      <c r="C45" s="3"/>
      <c r="D45" s="3"/>
      <c r="E45" s="3"/>
      <c r="F45" s="3"/>
      <c r="G45" s="3"/>
      <c r="H45" s="3"/>
      <c r="I45" s="17"/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51</v>
      </c>
      <c r="U45" s="5">
        <f>SUM(U43:U44)</f>
        <v>68558</v>
      </c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.75" customHeight="1" x14ac:dyDescent="0.15">
      <c r="A46" s="3"/>
      <c r="B46" s="3" t="s">
        <v>47</v>
      </c>
      <c r="C46" s="5">
        <f>SUM(C35*0.35)</f>
        <v>338192.39999999997</v>
      </c>
      <c r="D46" s="3"/>
      <c r="E46" s="3"/>
      <c r="F46" s="3"/>
      <c r="G46" s="3"/>
      <c r="H46" s="3" t="s">
        <v>47</v>
      </c>
      <c r="I46" s="5">
        <f>SUM(I35*0.35)</f>
        <v>297116.39999999997</v>
      </c>
      <c r="J46" s="3"/>
      <c r="K46" s="3"/>
      <c r="L46" s="3"/>
      <c r="M46" s="3"/>
      <c r="N46" s="3" t="s">
        <v>47</v>
      </c>
      <c r="O46" s="5">
        <f>SUM(O35*0.35)</f>
        <v>472373.99999999994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.75" customHeight="1" x14ac:dyDescent="0.15">
      <c r="A47" s="3"/>
      <c r="B47" s="3" t="s">
        <v>48</v>
      </c>
      <c r="C47" s="5">
        <f>SUM(C36*0.4)</f>
        <v>145631.20000000001</v>
      </c>
      <c r="D47" s="3"/>
      <c r="E47" s="3"/>
      <c r="F47" s="3"/>
      <c r="G47" s="3"/>
      <c r="H47" s="3" t="s">
        <v>48</v>
      </c>
      <c r="I47" s="5">
        <f>SUM(I36*0.4)</f>
        <v>127943.20000000001</v>
      </c>
      <c r="J47" s="3"/>
      <c r="K47" s="3"/>
      <c r="L47" s="3"/>
      <c r="M47" s="3"/>
      <c r="N47" s="3" t="s">
        <v>48</v>
      </c>
      <c r="O47" s="5">
        <f>SUM(O36*0.4)</f>
        <v>203412</v>
      </c>
      <c r="P47" s="3"/>
      <c r="Q47" s="3"/>
      <c r="R47" s="3"/>
      <c r="S47" s="3"/>
      <c r="T47" s="3" t="s">
        <v>53</v>
      </c>
      <c r="U47" s="5">
        <f>SUM(U37*0.15)</f>
        <v>28276.5</v>
      </c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.75" customHeight="1" x14ac:dyDescent="0.15">
      <c r="A48" s="3"/>
      <c r="B48" s="3" t="s">
        <v>51</v>
      </c>
      <c r="C48" s="5">
        <f>SUM(C46:C47)</f>
        <v>483823.6</v>
      </c>
      <c r="D48" s="3"/>
      <c r="E48" s="3"/>
      <c r="F48" s="3"/>
      <c r="G48" s="3"/>
      <c r="H48" s="3" t="s">
        <v>51</v>
      </c>
      <c r="I48" s="5">
        <f>SUM(I46:I47)</f>
        <v>425059.6</v>
      </c>
      <c r="J48" s="3"/>
      <c r="K48" s="3"/>
      <c r="L48" s="3"/>
      <c r="M48" s="3"/>
      <c r="N48" s="3" t="s">
        <v>51</v>
      </c>
      <c r="O48" s="5">
        <f>SUM(O46:O47)</f>
        <v>675786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4" t="s">
        <v>54</v>
      </c>
      <c r="U49" s="5">
        <f>SUM(U37-U41-U43-U44-U47)</f>
        <v>-8324.5</v>
      </c>
      <c r="V49" s="20">
        <f>SUM(U49/U37)</f>
        <v>-4.4159461036549788E-2</v>
      </c>
      <c r="W49" s="3"/>
      <c r="X49" s="3"/>
      <c r="Y49" s="3"/>
      <c r="Z49" s="3"/>
      <c r="AA49" s="3"/>
      <c r="AB49" s="3"/>
      <c r="AC49" s="3"/>
      <c r="AD49" s="3"/>
      <c r="AE49" s="3"/>
    </row>
    <row r="50" spans="1:31" ht="15.75" customHeight="1" x14ac:dyDescent="0.15">
      <c r="A50" s="3"/>
      <c r="B50" s="3" t="s">
        <v>53</v>
      </c>
      <c r="C50" s="5">
        <f>SUM(C37*0.15)</f>
        <v>199551.3</v>
      </c>
      <c r="D50" s="3"/>
      <c r="E50" s="3"/>
      <c r="F50" s="3"/>
      <c r="G50" s="3"/>
      <c r="H50" s="3" t="s">
        <v>53</v>
      </c>
      <c r="I50" s="5">
        <f>SUM(I37*0.15)</f>
        <v>175314.3</v>
      </c>
      <c r="J50" s="3"/>
      <c r="K50" s="3"/>
      <c r="L50" s="3"/>
      <c r="M50" s="3"/>
      <c r="N50" s="3" t="s">
        <v>53</v>
      </c>
      <c r="O50" s="5">
        <f>SUM(O37*0.15)</f>
        <v>278725.5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.75" customHeight="1" x14ac:dyDescent="0.15">
      <c r="A52" s="3"/>
      <c r="B52" s="24" t="s">
        <v>54</v>
      </c>
      <c r="C52" s="5">
        <f>SUM(C37-C44-C46-C47-C50)</f>
        <v>30298.100000000035</v>
      </c>
      <c r="D52" s="20">
        <f>SUM(C52/C37)</f>
        <v>2.2774669972082395E-2</v>
      </c>
      <c r="E52" s="3"/>
      <c r="F52" s="3"/>
      <c r="G52" s="3"/>
      <c r="H52" s="24" t="s">
        <v>54</v>
      </c>
      <c r="I52" s="5">
        <f>SUM(I37-I44-I46-I47-I50)</f>
        <v>28091.100000000035</v>
      </c>
      <c r="J52" s="20">
        <f>SUM(I52/I37)</f>
        <v>2.4034918999762171E-2</v>
      </c>
      <c r="K52" s="3"/>
      <c r="L52" s="3"/>
      <c r="M52" s="3"/>
      <c r="N52" s="24" t="s">
        <v>54</v>
      </c>
      <c r="O52" s="5">
        <f>SUM(O37-O44-O46-O47-O50)</f>
        <v>147586.5</v>
      </c>
      <c r="P52" s="20">
        <f>SUM(O52/O37)</f>
        <v>7.9425725310386025E-2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ht="15.75" customHeight="1" x14ac:dyDescent="0.15">
      <c r="A54" s="3"/>
      <c r="B54" s="3" t="s">
        <v>65</v>
      </c>
      <c r="C54" s="3">
        <v>65</v>
      </c>
      <c r="D54" s="3"/>
      <c r="E54" s="3"/>
      <c r="F54" s="3"/>
      <c r="G54" s="3"/>
      <c r="H54" s="3" t="s">
        <v>65</v>
      </c>
      <c r="I54" s="3">
        <v>65</v>
      </c>
      <c r="J54" s="3"/>
      <c r="K54" s="3"/>
      <c r="L54" s="3"/>
      <c r="M54" s="3"/>
      <c r="N54" s="3" t="s">
        <v>65</v>
      </c>
      <c r="O54" s="3">
        <v>30</v>
      </c>
      <c r="P54" s="3"/>
      <c r="Q54" s="3"/>
      <c r="R54" s="3"/>
      <c r="S54" s="3"/>
      <c r="T54" s="3" t="s">
        <v>65</v>
      </c>
      <c r="U54" s="3">
        <v>65</v>
      </c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ht="15.75" customHeight="1" x14ac:dyDescent="0.15">
      <c r="A55" s="3"/>
      <c r="B55" s="3"/>
      <c r="C55" s="20">
        <f>SUM(C54/E27)</f>
        <v>0.13157894736842105</v>
      </c>
      <c r="D55" s="3"/>
      <c r="E55" s="3"/>
      <c r="F55" s="3"/>
      <c r="G55" s="3"/>
      <c r="H55" s="3"/>
      <c r="I55" s="20">
        <f>SUM(I54/K27)</f>
        <v>0.14976958525345621</v>
      </c>
      <c r="J55" s="3"/>
      <c r="K55" s="3"/>
      <c r="L55" s="3"/>
      <c r="M55" s="3"/>
      <c r="N55" s="3"/>
      <c r="O55" s="20">
        <f>SUM(O54/Q32)</f>
        <v>4.3478260869565216E-2</v>
      </c>
      <c r="P55" s="3"/>
      <c r="Q55" s="3"/>
      <c r="R55" s="3"/>
      <c r="S55" s="3"/>
      <c r="T55" s="3"/>
      <c r="U55" s="20">
        <f>SUM(U54/W10)</f>
        <v>0.9285714285714286</v>
      </c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 t="s">
        <v>65</v>
      </c>
      <c r="Z56" s="3">
        <v>22</v>
      </c>
      <c r="AA56" s="3"/>
      <c r="AB56" s="3"/>
      <c r="AC56" s="3"/>
      <c r="AD56" s="3"/>
      <c r="AE56" s="3"/>
    </row>
    <row r="57" spans="1:31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20">
        <f>SUM(Z56/AC14)</f>
        <v>0.34375</v>
      </c>
      <c r="AA57" s="3"/>
      <c r="AB57" s="3"/>
      <c r="AC57" s="3"/>
      <c r="AD57" s="3"/>
      <c r="AE57" s="3"/>
    </row>
    <row r="58" spans="1:31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D971" s="3"/>
      <c r="AE971" s="3"/>
    </row>
    <row r="972" spans="1:31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D972" s="3"/>
      <c r="AE972" s="3"/>
    </row>
    <row r="973" spans="1:31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31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31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31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N984" s="3"/>
      <c r="O984" s="3"/>
      <c r="P984" s="3"/>
      <c r="R984" s="3"/>
      <c r="S984" s="3"/>
      <c r="W984" s="3"/>
      <c r="X984" s="3"/>
      <c r="Y984" s="3"/>
      <c r="Z984" s="3"/>
    </row>
    <row r="985" spans="1:26" ht="13" x14ac:dyDescent="0.15">
      <c r="A985" s="3"/>
      <c r="B985" s="3"/>
      <c r="N985" s="3"/>
      <c r="O985" s="3"/>
      <c r="P985" s="3"/>
      <c r="R985" s="3"/>
      <c r="S985" s="3"/>
      <c r="W985" s="3"/>
      <c r="X985" s="3"/>
      <c r="Y985" s="3"/>
      <c r="Z985" s="3"/>
    </row>
    <row r="986" spans="1:26" ht="13" x14ac:dyDescent="0.15">
      <c r="A986" s="3"/>
      <c r="B986" s="3"/>
      <c r="N986" s="3"/>
      <c r="O986" s="3"/>
      <c r="P986" s="3"/>
      <c r="R986" s="3"/>
      <c r="S986" s="3"/>
      <c r="W986" s="3"/>
      <c r="X986" s="3"/>
      <c r="Y986" s="3"/>
      <c r="Z986" s="3"/>
    </row>
    <row r="987" spans="1:26" ht="13" x14ac:dyDescent="0.15">
      <c r="X987" s="3"/>
      <c r="Y987" s="3"/>
      <c r="Z987" s="3"/>
    </row>
    <row r="988" spans="1:26" ht="13" x14ac:dyDescent="0.15">
      <c r="X988" s="3"/>
      <c r="Y988" s="3"/>
      <c r="Z988" s="3"/>
    </row>
  </sheetData>
  <mergeCells count="44">
    <mergeCell ref="O24:P24"/>
    <mergeCell ref="O26:P26"/>
    <mergeCell ref="O28:P28"/>
    <mergeCell ref="O30:P30"/>
    <mergeCell ref="O8:P8"/>
    <mergeCell ref="O10:P10"/>
    <mergeCell ref="O14:P14"/>
    <mergeCell ref="O16:P16"/>
    <mergeCell ref="O18:P18"/>
    <mergeCell ref="O20:P20"/>
    <mergeCell ref="O22:P22"/>
    <mergeCell ref="C22:D22"/>
    <mergeCell ref="C24:D24"/>
    <mergeCell ref="I20:J20"/>
    <mergeCell ref="I22:J22"/>
    <mergeCell ref="I10:J10"/>
    <mergeCell ref="I12:J12"/>
    <mergeCell ref="C14:D14"/>
    <mergeCell ref="I14:J14"/>
    <mergeCell ref="C16:D16"/>
    <mergeCell ref="I16:J16"/>
    <mergeCell ref="I18:J18"/>
    <mergeCell ref="C10:D10"/>
    <mergeCell ref="C12:D12"/>
    <mergeCell ref="O12:P12"/>
    <mergeCell ref="C18:D18"/>
    <mergeCell ref="C20:D20"/>
    <mergeCell ref="D5:E5"/>
    <mergeCell ref="J5:K5"/>
    <mergeCell ref="P5:Q5"/>
    <mergeCell ref="V5:W5"/>
    <mergeCell ref="C8:D8"/>
    <mergeCell ref="I8:J8"/>
    <mergeCell ref="U8:V8"/>
    <mergeCell ref="D2:E2"/>
    <mergeCell ref="J2:K2"/>
    <mergeCell ref="P2:Q2"/>
    <mergeCell ref="V2:W2"/>
    <mergeCell ref="AB2:AC2"/>
    <mergeCell ref="AB5:AC5"/>
    <mergeCell ref="AD5:AE5"/>
    <mergeCell ref="AA8:AB8"/>
    <mergeCell ref="AA10:AB10"/>
    <mergeCell ref="AA12:A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"/>
  <sheetViews>
    <sheetView tabSelected="1"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24" t="s">
        <v>66</v>
      </c>
      <c r="B1" s="24" t="s">
        <v>67</v>
      </c>
      <c r="C1" s="24" t="s">
        <v>68</v>
      </c>
      <c r="D1" s="24" t="s">
        <v>69</v>
      </c>
    </row>
    <row r="2" spans="1:4" ht="15.75" customHeight="1" x14ac:dyDescent="0.15">
      <c r="A2" s="24" t="s">
        <v>0</v>
      </c>
      <c r="B2" s="24">
        <v>494</v>
      </c>
      <c r="C2" s="24">
        <v>559</v>
      </c>
      <c r="D2" s="25">
        <f t="shared" ref="D2:D6" si="0">SUM(C2-B2)/B2</f>
        <v>0.13157894736842105</v>
      </c>
    </row>
    <row r="3" spans="1:4" ht="15.75" customHeight="1" x14ac:dyDescent="0.15">
      <c r="A3" s="24" t="s">
        <v>70</v>
      </c>
      <c r="B3" s="24">
        <v>434</v>
      </c>
      <c r="C3" s="24">
        <v>499</v>
      </c>
      <c r="D3" s="25">
        <f t="shared" si="0"/>
        <v>0.14976958525345621</v>
      </c>
    </row>
    <row r="4" spans="1:4" ht="15.75" customHeight="1" x14ac:dyDescent="0.15">
      <c r="A4" s="24" t="s">
        <v>71</v>
      </c>
      <c r="B4" s="24">
        <v>690</v>
      </c>
      <c r="C4" s="24">
        <v>720</v>
      </c>
      <c r="D4" s="25">
        <f t="shared" si="0"/>
        <v>4.3478260869565216E-2</v>
      </c>
    </row>
    <row r="5" spans="1:4" ht="15.75" customHeight="1" x14ac:dyDescent="0.15">
      <c r="A5" s="24" t="s">
        <v>72</v>
      </c>
      <c r="B5" s="24">
        <v>70</v>
      </c>
      <c r="C5" s="24">
        <v>135</v>
      </c>
      <c r="D5" s="25">
        <f t="shared" si="0"/>
        <v>0.9285714285714286</v>
      </c>
    </row>
    <row r="6" spans="1:4" ht="15.75" customHeight="1" x14ac:dyDescent="0.15">
      <c r="A6" s="24" t="s">
        <v>3</v>
      </c>
      <c r="B6" s="24">
        <v>64</v>
      </c>
      <c r="C6" s="24">
        <v>86</v>
      </c>
      <c r="D6" s="25">
        <f t="shared" si="0"/>
        <v>0.34375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 SJ USE</vt:lpstr>
      <vt:lpstr>Pool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Sean Johnson</cp:lastModifiedBy>
  <dcterms:modified xsi:type="dcterms:W3CDTF">2025-11-13T21:26:51Z</dcterms:modified>
</cp:coreProperties>
</file>